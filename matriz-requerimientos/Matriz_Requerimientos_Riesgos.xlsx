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2.xml.rels" ContentType="application/vnd.openxmlformats-package.relationships+xml"/>
  <Override PartName="/xl/drawings/drawing3.xml" ContentType="application/vnd.openxmlformats-officedocument.drawing+xml"/>
  <Override PartName="/xl/drawings/vmlDrawing1.vml" ContentType="application/vnd.openxmlformats-officedocument.vmlDrawing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 Riesgos" sheetId="1" state="visible" r:id="rId3"/>
    <sheet name="Cruce" sheetId="2" state="visible" r:id="rId4"/>
    <sheet name="Gráficos" sheetId="3" state="visible" r:id="rId5"/>
    <sheet name="Consolidado" sheetId="4" state="visible" r:id="rId6"/>
    <sheet name="Catálogos" sheetId="5" state="visible" r:id="rId7"/>
    <sheet name="Resumen visita presencialSSF " sheetId="6" state="visible" r:id="rId8"/>
    <sheet name="Auditoria interna 1" sheetId="7" state="visible" r:id="rId9"/>
    <sheet name="Auditoria interna 2" sheetId="8" state="visible" r:id="rId10"/>
    <sheet name="Auditoria interna 3" sheetId="9" state="visible" r:id="rId11"/>
    <sheet name="Audtoria Externa" sheetId="10" state="visible" r:id="rId12"/>
  </sheets>
  <definedNames>
    <definedName function="false" hidden="true" localSheetId="3" name="_xlnm._FilterDatabase" vbProcedure="false">Consolidado!$A$4:$AA$1000</definedName>
    <definedName function="false" hidden="true" localSheetId="0" name="_xlnm._FilterDatabase" vbProcedure="false">'Resumen Riesgos'!$A$4:$Z$33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75" authorId="0">
      <text>
        <r>
          <rPr>
            <sz val="10"/>
            <rFont val="Arial"/>
            <family val="2"/>
          </rPr>
          <t xml:space="preserve">La hoja fuente no trae fecha; se usa la fecha del título de la matriz (12102026). Corríjala si la recepción fue otra.</t>
        </r>
      </text>
    </comment>
    <comment ref="B76" authorId="0">
      <text>
        <r>
          <rPr>
            <sz val="10"/>
            <rFont val="Arial"/>
            <family val="2"/>
          </rPr>
          <t xml:space="preserve">La hoja fuente no trae fecha; se usa la fecha del título de la matriz (12102026). Corríjala si la recepción fue otra.</t>
        </r>
      </text>
    </comment>
    <comment ref="B77" authorId="0">
      <text>
        <r>
          <rPr>
            <sz val="10"/>
            <rFont val="Arial"/>
            <family val="2"/>
          </rPr>
          <t xml:space="preserve">La hoja fuente no trae fecha; se usa la fecha del título de la matriz (12102026). Corríjala si la recepción fue otra.</t>
        </r>
      </text>
    </comment>
    <comment ref="B78" authorId="0">
      <text>
        <r>
          <rPr>
            <sz val="10"/>
            <rFont val="Arial"/>
            <family val="2"/>
          </rPr>
          <t xml:space="preserve">La hoja fuente no trae fecha; se usa la fecha del título de la matriz (12102026). Corríjala si la recepción fue otra.</t>
        </r>
      </text>
    </comment>
    <comment ref="B79" authorId="0">
      <text>
        <r>
          <rPr>
            <sz val="10"/>
            <rFont val="Arial"/>
            <family val="2"/>
          </rPr>
          <t xml:space="preserve">La hoja fuente no trae fecha; se usa la fecha del título de la matriz (12102026). Corríjala si la recepción fue otra.</t>
        </r>
      </text>
    </comment>
    <comment ref="B80" authorId="0">
      <text>
        <r>
          <rPr>
            <sz val="10"/>
            <rFont val="Arial"/>
            <family val="2"/>
          </rPr>
          <t xml:space="preserve">La hoja fuente no trae fecha; se usa la fecha del título de la matriz (12102026). Corríjala si la recepción fue otra.</t>
        </r>
      </text>
    </comment>
    <comment ref="B81" authorId="0">
      <text>
        <r>
          <rPr>
            <sz val="10"/>
            <rFont val="Arial"/>
            <family val="2"/>
          </rPr>
          <t xml:space="preserve">La hoja fuente no trae fecha; se usa la fecha del título de la matriz (12102026). Corríjala si la recepción fue otra.</t>
        </r>
      </text>
    </comment>
    <comment ref="B82" authorId="0">
      <text>
        <r>
          <rPr>
            <sz val="10"/>
            <rFont val="Arial"/>
            <family val="2"/>
          </rPr>
          <t xml:space="preserve">La hoja fuente no trae fecha; se usa la fecha del título de la matriz (12102026). Corríjala si la recepción fue otra.</t>
        </r>
      </text>
    </comment>
    <comment ref="B83" authorId="0">
      <text>
        <r>
          <rPr>
            <sz val="10"/>
            <rFont val="Arial"/>
            <family val="2"/>
          </rPr>
          <t xml:space="preserve">La hoja fuente no trae fecha; se usa la fecha del título de la matriz (12102026). Corríjala si la recepción fue otra.</t>
        </r>
      </text>
    </comment>
    <comment ref="B84" authorId="0">
      <text>
        <r>
          <rPr>
            <sz val="10"/>
            <rFont val="Arial"/>
            <family val="2"/>
          </rPr>
          <t xml:space="preserve">La hoja fuente no trae fecha; se usa la fecha del título de la matriz (12102026). Corríjala si la recepción fue otra.</t>
        </r>
      </text>
    </comment>
    <comment ref="B85" authorId="0">
      <text>
        <r>
          <rPr>
            <sz val="10"/>
            <rFont val="Arial"/>
            <family val="2"/>
          </rPr>
          <t xml:space="preserve">La hoja fuente no trae fecha; se usa la fecha del título de la matriz (12102026). Corríjala si la recepción fue otra.</t>
        </r>
      </text>
    </comment>
    <comment ref="B86" authorId="0">
      <text>
        <r>
          <rPr>
            <sz val="10"/>
            <rFont val="Arial"/>
            <family val="2"/>
          </rPr>
          <t xml:space="preserve">La hoja fuente no trae fecha; se usa la fecha del título de la matriz (12102026). Corríjala si la recepción fue otra.</t>
        </r>
      </text>
    </comment>
    <comment ref="B87" authorId="0">
      <text>
        <r>
          <rPr>
            <sz val="10"/>
            <rFont val="Arial"/>
            <family val="2"/>
          </rPr>
          <t xml:space="preserve">La hoja fuente no trae fecha; se usa la fecha del título de la matriz (12102026). Corríjala si la recepción fue otra.</t>
        </r>
      </text>
    </comment>
    <comment ref="B88" authorId="0">
      <text>
        <r>
          <rPr>
            <sz val="10"/>
            <rFont val="Arial"/>
            <family val="2"/>
          </rPr>
          <t xml:space="preserve">La hoja fuente no trae fecha; se usa la fecha del título de la matriz (12102026). Corríjala si la recepción fue otra.</t>
        </r>
      </text>
    </comment>
    <comment ref="B89" authorId="0">
      <text>
        <r>
          <rPr>
            <sz val="10"/>
            <rFont val="Arial"/>
            <family val="2"/>
          </rPr>
          <t xml:space="preserve">La hoja fuente no trae fecha; se usa la fecha del título de la matriz (12102026). Corríjala si la recepción fue otra.</t>
        </r>
      </text>
    </comment>
    <comment ref="B90" authorId="0">
      <text>
        <r>
          <rPr>
            <sz val="10"/>
            <rFont val="Arial"/>
            <family val="2"/>
          </rPr>
          <t xml:space="preserve">La hoja fuente no trae fecha; se usa la fecha del título de la matriz (12102026). Corríjala si la recepción fue otra.</t>
        </r>
      </text>
    </comment>
    <comment ref="B91" authorId="0">
      <text>
        <r>
          <rPr>
            <sz val="10"/>
            <rFont val="Arial"/>
            <family val="2"/>
          </rPr>
          <t xml:space="preserve">La hoja fuente no trae fecha; se usa la fecha del título de la matriz (12102026). Corríjala si la recepción fue otra.</t>
        </r>
      </text>
    </comment>
    <comment ref="B92" authorId="0">
      <text>
        <r>
          <rPr>
            <sz val="10"/>
            <rFont val="Arial"/>
            <family val="2"/>
          </rPr>
          <t xml:space="preserve">La hoja fuente no trae fecha; se usa la fecha del título de la matriz (12102026). Corríjala si la recepción fue otra.</t>
        </r>
      </text>
    </comment>
    <comment ref="B93" authorId="0">
      <text>
        <r>
          <rPr>
            <sz val="10"/>
            <rFont val="Arial"/>
            <family val="2"/>
          </rPr>
          <t xml:space="preserve">La hoja fuente no trae fecha; se usa la fecha del título de la matriz (12102026). Corríjala si la recepción fue otra.</t>
        </r>
      </text>
    </comment>
    <comment ref="B94" authorId="0">
      <text>
        <r>
          <rPr>
            <sz val="10"/>
            <rFont val="Arial"/>
            <family val="2"/>
          </rPr>
          <t xml:space="preserve">La hoja fuente no indica fecha de inicio para esta visita.</t>
        </r>
      </text>
    </comment>
  </commentList>
</comments>
</file>

<file path=xl/sharedStrings.xml><?xml version="1.0" encoding="utf-8"?>
<sst xmlns="http://schemas.openxmlformats.org/spreadsheetml/2006/main" count="928" uniqueCount="327">
  <si>
    <t xml:space="preserve">¿QUÉ ME AUDITAN REPETIDO? – RESUMEN DE RECURRENCIA POR REQUERIMIENTO</t>
  </si>
  <si>
    <t xml:space="preserve">Año a analizar:</t>
  </si>
  <si>
    <t xml:space="preserve">Todos</t>
  </si>
  <si>
    <t xml:space="preserve">← elija "Todos" o un año. Columna "¿Se repite?" = "Sí" cuando el mismo tema lo piden 2 o más orígenes (p. ej., SSF y Auditoría Interna).</t>
  </si>
  <si>
    <t xml:space="preserve">N°</t>
  </si>
  <si>
    <t xml:space="preserve">Requerimiento</t>
  </si>
  <si>
    <t xml:space="preserve">Norma</t>
  </si>
  <si>
    <t xml:space="preserve">Interna</t>
  </si>
  <si>
    <t xml:space="preserve">Externa</t>
  </si>
  <si>
    <t xml:space="preserve">SSF</t>
  </si>
  <si>
    <t xml:space="preserve">Comité Sup.</t>
  </si>
  <si>
    <t xml:space="preserve">Consejo Adm.</t>
  </si>
  <si>
    <t xml:space="preserve">Otros</t>
  </si>
  <si>
    <t xml:space="preserve">Total Veces</t>
  </si>
  <si>
    <t xml:space="preserve">Auditorías / visitas distintas</t>
  </si>
  <si>
    <t xml:space="preserve">N° de orígenes</t>
  </si>
  <si>
    <t xml:space="preserve">¿Se repite?</t>
  </si>
  <si>
    <t xml:space="preserve">Ranking</t>
  </si>
  <si>
    <t xml:space="preserve">Ene</t>
  </si>
  <si>
    <t xml:space="preserve">Feb</t>
  </si>
  <si>
    <t xml:space="preserve">Mar</t>
  </si>
  <si>
    <t xml:space="preserve">Abr</t>
  </si>
  <si>
    <t xml:space="preserve">May</t>
  </si>
  <si>
    <t xml:space="preserve">Jun</t>
  </si>
  <si>
    <t xml:space="preserve">Jul</t>
  </si>
  <si>
    <t xml:space="preserve">Ago</t>
  </si>
  <si>
    <t xml:space="preserve">Sep</t>
  </si>
  <si>
    <t xml:space="preserve">Oct</t>
  </si>
  <si>
    <t xml:space="preserve">Nov</t>
  </si>
  <si>
    <t xml:space="preserve">Dic</t>
  </si>
  <si>
    <t xml:space="preserve">TOTAL</t>
  </si>
  <si>
    <t xml:space="preserve">Notas:</t>
  </si>
  <si>
    <t xml:space="preserve">• Los conteos salen de la hoja Consolidado; cada requerimiento se agrupa en un solo "Tema" (columna E). Si un requerimiento cubre dos temas, se asignó al principal.</t>
  </si>
  <si>
    <t xml:space="preserve">• "Total Veces" cuenta ítems pedidos; "Auditorías / visitas distintas" cuenta cuántas auditorías o visitas diferentes tocaron el tema (p. ej., Continuidad: 18 ítems de una sola auditoría interna).</t>
  </si>
  <si>
    <t xml:space="preserve">• Columnas Ene–Dic: mes de recepción del requerimiento, del año elegido en C2 (con "Todos" se suman todos los años).</t>
  </si>
  <si>
    <t xml:space="preserve">• SSF: se omitieron 6 filas repetidas en la hoja "Resumen visita presencialSSF" (filas 21, 23, 25, 26, 27 y 30 de esa hoja).</t>
  </si>
  <si>
    <t xml:space="preserve">• Auditoría Interna 3 (NRP-24) no trae fecha; se usó 12/10/2026, la fecha del título de esa matriz. La visita SSF de seguimiento NRP-32 no trae fecha y no cuenta en los meses.</t>
  </si>
  <si>
    <t xml:space="preserve">• La norma por tema es una referencia; las marcadas "Por validar" deben confirmarse. Puede editarlas en la hoja Catálogos.</t>
  </si>
  <si>
    <t xml:space="preserve">¿QUIÉN MÁS ME PIDIÓ LO MISMO? – CRUCE DE UN REQUERIMIENTO</t>
  </si>
  <si>
    <t xml:space="preserve">Escriba en la celda amarilla el N° del requerimiento (columna A de la hoja Consolidado). Abajo verá todos los que piden el mismo tema, de qué origen y en qué mes.</t>
  </si>
  <si>
    <t xml:space="preserve">N° en Consolidado</t>
  </si>
  <si>
    <t xml:space="preserve">Veces que me piden este tema</t>
  </si>
  <si>
    <t xml:space="preserve">Origen</t>
  </si>
  <si>
    <t xml:space="preserve">Tema</t>
  </si>
  <si>
    <t xml:space="preserve">Fecha recibida</t>
  </si>
  <si>
    <t xml:space="preserve">Consejo</t>
  </si>
  <si>
    <t xml:space="preserve">Total</t>
  </si>
  <si>
    <t xml:space="preserve">Otros orígenes en el MISMO mes</t>
  </si>
  <si>
    <t xml:space="preserve">#</t>
  </si>
  <si>
    <t xml:space="preserve">Fecha</t>
  </si>
  <si>
    <t xml:space="preserve">Mes</t>
  </si>
  <si>
    <t xml:space="preserve">Año</t>
  </si>
  <si>
    <t xml:space="preserve">Relación con el seleccionado</t>
  </si>
  <si>
    <t xml:space="preserve">Responsable</t>
  </si>
  <si>
    <t xml:space="preserve">Estado</t>
  </si>
  <si>
    <t xml:space="preserve">GRÁFICOS (imagen al 26/10/2026 – no se actualizan solos; los números vivos están en Resumen Riesgos y Cruce)</t>
  </si>
  <si>
    <t xml:space="preserve">CONSOLIDADO DE REQUERIMIENTOS – AUDITORÍA INTERNA, AUDITORÍA EXTERNA Y SSF</t>
  </si>
  <si>
    <t xml:space="preserve">Una fila por requerimiento. Columnas en azul = datos que usted llena (Fecha, Origen, Norma, Tema, Requerimiento, Responsable, Estado). Las columnas Año, Ene–Dic y "Veces del tema" se calculan solas. Use el filtro de la fila 4 para ver un tema y comparar quién lo pide.</t>
  </si>
  <si>
    <t xml:space="preserve">Fecha Recibida</t>
  </si>
  <si>
    <t xml:space="preserve">Tema (para agrupar)</t>
  </si>
  <si>
    <t xml:space="preserve">Veces del tema</t>
  </si>
  <si>
    <t xml:space="preserve">Orígenes que lo piden</t>
  </si>
  <si>
    <t xml:space="preserve">Otros orígenes, mismo tema y mismo mes</t>
  </si>
  <si>
    <t xml:space="preserve">Hoja fuente</t>
  </si>
  <si>
    <t xml:space="preserve">N° en hoja fuente</t>
  </si>
  <si>
    <t xml:space="preserve">Detalle / puntos</t>
  </si>
  <si>
    <t xml:space="preserve">Año-Mes (aux.)</t>
  </si>
  <si>
    <t xml:space="preserve">Clave cruce (aux.)</t>
  </si>
  <si>
    <t xml:space="preserve">Evento (aux.)</t>
  </si>
  <si>
    <t xml:space="preserve">Primer ítem del evento (aux.)</t>
  </si>
  <si>
    <t xml:space="preserve">NRP-23</t>
  </si>
  <si>
    <t xml:space="preserve">Seguridad de la información y ciberseguridad</t>
  </si>
  <si>
    <t xml:space="preserve">Visita de supervisión focalizada para verificar los controles implementados relativos a la seguridad de la información y ciberseguridad en su plataforma tecnológica SABAO-DR-10417.</t>
  </si>
  <si>
    <t xml:space="preserve">Resumen visita presencialSSF</t>
  </si>
  <si>
    <t xml:space="preserve">11 Puntos I Requerimiento: 26/04/2024 Observaciones: 7</t>
  </si>
  <si>
    <t xml:space="preserve">NCB-022</t>
  </si>
  <si>
    <t xml:space="preserve">Clasificación de cartera, mora y reservas</t>
  </si>
  <si>
    <t xml:space="preserve">Visita a Supervision Ampliada Para evaluar la cartera de Credito DS-SABAO-BCS-BC-32285</t>
  </si>
  <si>
    <t xml:space="preserve">9 Puntos Requerimiento: 17/01/2025 2 Puntos II Requerimiento: 20/02/2025 4 Puntos III Requerimiento 21/02/2025 1 Punto IV Requerimiento 27/02/2025 Observaciones: 7</t>
  </si>
  <si>
    <t xml:space="preserve">NRP-37</t>
  </si>
  <si>
    <t xml:space="preserve">Registro de accionistas</t>
  </si>
  <si>
    <t xml:space="preserve">Visita de Supervisión Ampliada para evaluar las Normas NRP-37 Recoleccion de Informacion para el Registro de Accionistas DS-SABAO-BCS-BC-2774</t>
  </si>
  <si>
    <t xml:space="preserve">1 Punto II Requerimiento 03/03/2025 Observaciones: 2</t>
  </si>
  <si>
    <t xml:space="preserve">NRP-20</t>
  </si>
  <si>
    <t xml:space="preserve">Gestión de riesgos específicos (visita integral)</t>
  </si>
  <si>
    <t xml:space="preserve">Visita de supervision ampliada para evaluar riesgos especificos - Riesgo de Credito, Operacional y Tecnologico SABAO- BCS- BC- 6489</t>
  </si>
  <si>
    <t xml:space="preserve">25 Puntos Requerimiento: 18/03/2025 7 Puntos II Requerimiento: 08/04/2025 Observaciones: 3</t>
  </si>
  <si>
    <t xml:space="preserve">NRP-25</t>
  </si>
  <si>
    <t xml:space="preserve">Valúos y garantías</t>
  </si>
  <si>
    <t xml:space="preserve">Visita de supervision ampliada para revisión de avalúos e inspección de garantías DS-SABAO- BCS- BC- 7037</t>
  </si>
  <si>
    <t xml:space="preserve">9 Puntos Requerimiento: 02/04/2025 3 Puntos II Requerimiento: 08/04/2025 4 Puntos III Requerimiento: 24/04/2025 2 Puntos IV Requerimiento: 24/04/2025 Observaciones: 11</t>
  </si>
  <si>
    <t xml:space="preserve">NRP-53</t>
  </si>
  <si>
    <t xml:space="preserve">Riesgo ambiental y social</t>
  </si>
  <si>
    <t xml:space="preserve">Visita de supervision ampliada para evaluar avance de Implementación de las Normas NRP-53 Riesgos AS DS-SABAO- BCS- BC- 7043</t>
  </si>
  <si>
    <t xml:space="preserve">4 Puntos Requerimiento: 04/04/2025 Observaciones: 3</t>
  </si>
  <si>
    <t xml:space="preserve">NCM-02</t>
  </si>
  <si>
    <t xml:space="preserve">Transparencia y atención al usuario</t>
  </si>
  <si>
    <t xml:space="preserve">Visita de supervision ampliada para la verificación de las Normas NCM-02 - Transparencia y Divulgacion de la Informacion de Servicios Financieros - Atencion al Adulto Mayor SABAO- BCS- BC-8567</t>
  </si>
  <si>
    <t xml:space="preserve">4 Puntos Requerimiento: 28/04/2025 Observaciones: 3</t>
  </si>
  <si>
    <t xml:space="preserve">NRP-17</t>
  </si>
  <si>
    <t xml:space="preserve">Gobierno Corporativo</t>
  </si>
  <si>
    <t xml:space="preserve">Visita de supervision ampliada para evaluar el Gobierno Corporativo SABAO- BCS- BC-9337</t>
  </si>
  <si>
    <t xml:space="preserve">10 Puntos Requerimiento: 15/05/2025 10 Puntos II Requerimiento 11/06/2025 1 Punto III Requerimiento 13/06/2025 4 Puntos IV Requerimiento: 13/06/2025 11 Puntos V Requerimiento: 20/06/2025 7 Puntos VI Requerimiento: 24/06/2025 Observaciones: 9</t>
  </si>
  <si>
    <t xml:space="preserve">NRP-23 / NRP-24</t>
  </si>
  <si>
    <t xml:space="preserve">Plan de Continuidad (BCP/DRP)</t>
  </si>
  <si>
    <t xml:space="preserve">Visita de Supervisión Ampliada para verificar la Gestión de Seguridad de la Información y Continuidad del Negocio. SABAO-BCS-BC-12064</t>
  </si>
  <si>
    <t xml:space="preserve">14 Puntos Requerimiento: 28/05/2025 Observaciones: 2</t>
  </si>
  <si>
    <t xml:space="preserve">NRP-36</t>
  </si>
  <si>
    <t xml:space="preserve">PLD/FT/FPADM</t>
  </si>
  <si>
    <t xml:space="preserve">Visita de Supervisión Ampliada para verificar las Normas NRP-36. PLD/FT/FPADM DS-SABAO-BCS-BC-13042</t>
  </si>
  <si>
    <t xml:space="preserve">7 Puntos Requerimiento: 12/06/2025 Observaciones: 3</t>
  </si>
  <si>
    <t xml:space="preserve">Ley Bancos Coop. Art. 15</t>
  </si>
  <si>
    <t xml:space="preserve">Declaraciones juradas</t>
  </si>
  <si>
    <t xml:space="preserve">Observaciones a Declaraciones Juradas a que se refiere el Art. 15 de la Ley de Bancos Cooperativos y Sociedades de Ahorro y Crédito. No. DS-SABAO-BCS-BC-16934</t>
  </si>
  <si>
    <t xml:space="preserve">Visita de Supervisión ampliada, para evaluar la mora financiera No. DS-SABAO-BCS-BC-18028</t>
  </si>
  <si>
    <t xml:space="preserve">5 Puntos I Requerimiento: 22/08/2025 Observaciones: 8</t>
  </si>
  <si>
    <t xml:space="preserve">Sostenibilidad e inclusión financiera</t>
  </si>
  <si>
    <t xml:space="preserve">Solicitud de infirmación vía correo electrónico con relación a: *Productos con enfoque sostenible *Productos, servicios y canales dirigidos a personas con discapacidad *Productos y/o servicios específicos para mujeres *Retos identificados por las entidades o la industria en materia de sostenibilidad e inclusión financiera Cualquier otra información que se considere relevante incluir</t>
  </si>
  <si>
    <t xml:space="preserve">5 Puntos I Requerimiento: 14/10/2025</t>
  </si>
  <si>
    <t xml:space="preserve">Visita de supervision ampliada para evaluar gestión de riesgos especificos. DS-SABAO- BCS- BC- 24708 RIA #1 Riesgos específicos a septiembre 2025 RIA #2 Riesgos específicos a septiembre 2025</t>
  </si>
  <si>
    <t xml:space="preserve">42 Puntos Requerimiento inicial 24/10/2025 Observaciones: 8 9 Puntos Requerimiento 10/11/2025 Fecha de Envio informacion: 12/11/2025 Literal B: 10 Puntos Requerimiento 14/11/2025 Fecha de Envio informacion: 17/11/2025</t>
  </si>
  <si>
    <t xml:space="preserve">Visita de supervisión focalizada para evaluar seguridad de la información y ciberseguridad Circular No. SABAO-BCS-BC-1134</t>
  </si>
  <si>
    <t xml:space="preserve">I requerimiento: 13 puntos 19/01/2026</t>
  </si>
  <si>
    <t xml:space="preserve">NRSF-01 / NRSF-03</t>
  </si>
  <si>
    <t xml:space="preserve">Información financiera (NRSF-01 / NRSF-03)</t>
  </si>
  <si>
    <t xml:space="preserve">Resultado visita de supervisión para evaluar el cumplimiento de las Normas NRSF01, NRSF-03 y E04-NTE01. No. SABAO-BCS-BC-2402</t>
  </si>
  <si>
    <t xml:space="preserve">N/A</t>
  </si>
  <si>
    <t xml:space="preserve">Nombramiento para realizar visita de supervisión ampliada para verificar el cumplimiento de las Normas Técnicas para la Transparencia y Divulgación de la Información de los Servicios Financieros Bancarios (NCM-02). No. SABAO-BCS-BC-2274</t>
  </si>
  <si>
    <t xml:space="preserve">I requerimiento: 14 puntos 03/02/2026 II requerimiento: 1 punto (10 expedientes de créditos) 12/02/2026 III requerimiento: 3 puntos 16/02/2026 IV requerimiento: 4 puntos 17/02/2026 V requerimiento: 5 puntos 20/02/2026 VI requerimiento: 2 puntos 25/02/2026 VII requerimiento: 6 puntos 02/03/2026 VIII Requerimiento: 1 punto 05/03/2026</t>
  </si>
  <si>
    <t xml:space="preserve">Auditoría Interna</t>
  </si>
  <si>
    <t xml:space="preserve">Plan de trabajo y capacitaciones de riesgos</t>
  </si>
  <si>
    <t xml:space="preserve">Plan de trabajo Operativo Año 2026 del Depto. de Admón. de Riesgos</t>
  </si>
  <si>
    <t xml:space="preserve">Lic. Escamilla</t>
  </si>
  <si>
    <t xml:space="preserve">Auditoria interna 1</t>
  </si>
  <si>
    <t xml:space="preserve">Matriz de migración / bases de cartera</t>
  </si>
  <si>
    <t xml:space="preserve">Matriz de Migración de marzo y abril 2026</t>
  </si>
  <si>
    <t xml:space="preserve">Melvin</t>
  </si>
  <si>
    <t xml:space="preserve">Pérdida Esperada</t>
  </si>
  <si>
    <t xml:space="preserve">Base de datos para el cálculo de la perdida esperada de los meses de marzo y abril 2026 (INTCARTCREL.txt y INTTARJCREL.txt)</t>
  </si>
  <si>
    <t xml:space="preserve">NPB4-49</t>
  </si>
  <si>
    <t xml:space="preserve">Escenarios de estrés de crédito</t>
  </si>
  <si>
    <t xml:space="preserve">Escenario de estrés de riesgo de crédito año 2026 (variables consideradas para la realización de simulación y análisis realizado sobre resultados obtenidos)</t>
  </si>
  <si>
    <t xml:space="preserve">Informe GIR / informes al Comité y Consejo</t>
  </si>
  <si>
    <t xml:space="preserve">Informes presentados al Comité de Riesgos por el período de julio 2025 a abril 2026.</t>
  </si>
  <si>
    <t xml:space="preserve">Informe de Activos de Riesgos al 31 de julio 2025 al 30 de abril 2026 (Evaluación de la Cartera Crediticia)</t>
  </si>
  <si>
    <t xml:space="preserve">NCB-022 / NRP-25</t>
  </si>
  <si>
    <t xml:space="preserve">Remisiones a SSF / central de riesgos</t>
  </si>
  <si>
    <t xml:space="preserve">Evidencia de envío / recepción por la SSF / BCR por el período de julio 2025 a abril 2026 de: • Artículo 26 de la NCB-22 – Reestructuraciones o refinanciamientos de activos crediticios efectuados en el mes; • Artículo 28 de la NCB-22 – Reclasificación de categorías de menor riesgo de los 50 mayores deudores • Artículo 30 de la NCB-22 – Clasificación de la cartera de los activos crediticios y las respectivas reservas de saneamiento. • Artículo 8 NRP 25 – Anexo 1, actualización de valúos de garantías hipotecarias (SSF y BCR) • Artículo 15 NRP 25 – Anexo 2, registro de la cartera de créditos afectados por la pandemia (SSF y BCR).</t>
  </si>
  <si>
    <t xml:space="preserve">Por validar</t>
  </si>
  <si>
    <t xml:space="preserve">Evidencia de envío a la SSF por el período de julio 2025 a abril 2026 de la actualización de información de la central de riesgos (Reporte de Envío de Datos)</t>
  </si>
  <si>
    <t xml:space="preserve">Actas Comité de Riesgos</t>
  </si>
  <si>
    <t xml:space="preserve">Actas de comité de riesgo julio 2025 a abril 2026</t>
  </si>
  <si>
    <t xml:space="preserve">Sara</t>
  </si>
  <si>
    <t xml:space="preserve">Plan de actualización de valúos periciales (compartir el avance a la fecha). Base de valúos y el cuadro resumen de valúos pendientes de actualizar.</t>
  </si>
  <si>
    <t xml:space="preserve">Nombramiento de visita de supervisión ampliada para evaluar la calidad de la gestión de riesgos específicos. No. SABAO-BCS-BC-15527</t>
  </si>
  <si>
    <t xml:space="preserve">I requerimiento: 92 puntos 14/07/2026 11 requerimientos adicionales entre el 20/07/2026 - 26/08/2026</t>
  </si>
  <si>
    <t xml:space="preserve">Acuerdo del Concejo de Administración de aprobación del Plan de trabajo DAR 2026 y programa de capacitaciones 2026</t>
  </si>
  <si>
    <t xml:space="preserve">Silvita</t>
  </si>
  <si>
    <t xml:space="preserve">Auditoria interna 2</t>
  </si>
  <si>
    <t xml:space="preserve">Informe Gestión Integral de Riesgos informados al comité de mayo 2025 a julio 2026</t>
  </si>
  <si>
    <t xml:space="preserve">Actas de comité de riesgos dentro del periodo de mayo 2026 a la fecha</t>
  </si>
  <si>
    <t xml:space="preserve">Lista de asistencia de comité de riesgo de junio 2025 a la fecha.</t>
  </si>
  <si>
    <t xml:space="preserve">Políticas, manuales y divulgación GIR</t>
  </si>
  <si>
    <t xml:space="preserve">Revisión y actualización de las políticas y manuales de gestión integral de riesgo (ejecución en junio 2026)</t>
  </si>
  <si>
    <t xml:space="preserve">NRP-20 / NRP-53</t>
  </si>
  <si>
    <t xml:space="preserve">Informe anual de evaluación técnica de la gestión integral de riesgo e informe relativo a las acciones realizadas para el control y la evaluación de la gestión del riesgo ambiental y social, remisión y recepción a la SSF (ejecución de enero a abril 2026)</t>
  </si>
  <si>
    <t xml:space="preserve">Silvita / Melvin</t>
  </si>
  <si>
    <t xml:space="preserve">Divulgación en el sitio web de las políticas y metodología para la gestión de riesgo (ejecución de enero a abril 2026)</t>
  </si>
  <si>
    <t xml:space="preserve">Riesgo reputacional</t>
  </si>
  <si>
    <t xml:space="preserve">Actualización del mapeo institucional de riesgo reputacional de todos los procesos de la cooperativa (ejecución de Marzo a agosto 2026)</t>
  </si>
  <si>
    <t xml:space="preserve">Informes presentados al Consejo de Administración de resumen de los aspectos más importantes sobre las cuales a conocido y tomado decisión el comité de riesgo (Julio 2025, enero y julio 2026)</t>
  </si>
  <si>
    <t xml:space="preserve">Acuerdos del concejo de administración de los informes mensuales revisados por el comité de riesgo (ejecución de julio 2025 a julio 2026)</t>
  </si>
  <si>
    <t xml:space="preserve">Informe anual de gobierno corporativo remisión y recepción de la SSF (ejecución de enero a marzo 2026)</t>
  </si>
  <si>
    <t xml:space="preserve">Remisión de anexo 2 información de gobierno corporativo desagregada por sexo los primeros 30 días posteriores a cada semestre (Ejecución en Julio 2025, Enero y julio 2026)</t>
  </si>
  <si>
    <t xml:space="preserve">Publicación en el sitio web de la información citada en el artículo 29 de la NRP-17 (ejecución de enero, marzo y julio 2026)</t>
  </si>
  <si>
    <t xml:space="preserve">Creación, aprobación y publicación de Perfil Aspirante a Directores Del Consejo de Administración (ejecución de Agosto y septiembre 2025)</t>
  </si>
  <si>
    <t xml:space="preserve">Revisión con Comisión de Acreditación para revisar Curriculum de Aspirantes a Directores del Consejo de Administración (ejecución de Diciembre 2025, enero y febrero 2026)</t>
  </si>
  <si>
    <t xml:space="preserve">Anexo 1 de la NRP-53 y su evidencia de remisión y recepción a la SSF (ejecución en julio, noviembre 2025 – enero, abril, junio 2026)</t>
  </si>
  <si>
    <t xml:space="preserve">Finalización de implementación de las NRP-53 (ejecución de Julio a Mayo 2025)</t>
  </si>
  <si>
    <t xml:space="preserve">Mapeo de procesos para identificar áreas críticas donde pueden surgir riesgos, para gerentes (septiembre 2025), lista de asistencia y material didáctico</t>
  </si>
  <si>
    <t xml:space="preserve">Gestión integral de Riesgo, todo el personal (Junio 2025), lista de asistencia, material didáctico y resultado de la evaluación</t>
  </si>
  <si>
    <t xml:space="preserve">Inducción a nuevos directores, junta de vigilancia y miembros de comité (ejecución Mayo 2026), lista de asistencia, material didáctico</t>
  </si>
  <si>
    <t xml:space="preserve">Mapeo de procesos para identificar áreas críticas donde puede surgir riesgo, jefe de agencia (Marzo 2026), lista de asistencia, material didáctico</t>
  </si>
  <si>
    <t xml:space="preserve">Inducción de nuevos ingresos (mayo a julio 2026), listas de asistencia.</t>
  </si>
  <si>
    <t xml:space="preserve">Expedientes de directivos, Consejo de Administración, Junta de Vigilancia y comités.</t>
  </si>
  <si>
    <t xml:space="preserve">Ley de Estabilidad del SF</t>
  </si>
  <si>
    <t xml:space="preserve">Estabilidad financiera y garantía de depósitos</t>
  </si>
  <si>
    <t xml:space="preserve">Visita de supervisión ampliada para verificar la implementación de la Ley para la Estabilidad de Sistema Financiero y Garantía de Depósitos. SABAO-BCS-BC-18431</t>
  </si>
  <si>
    <t xml:space="preserve">1 Punto I Requerimiento 6 Puntos II requerimiento Observaciones: 6</t>
  </si>
  <si>
    <t xml:space="preserve">Visita de supervisión ampliada para evaluar el Gobierno Corporativo. SABAO-BCS-BC-18432</t>
  </si>
  <si>
    <t xml:space="preserve">10 Puntos I Requerimiento 5 Puntos II requerimiento 2 Puntos III requerimiento Observaciones: 7</t>
  </si>
  <si>
    <t xml:space="preserve">Nombramiento para la evaluación del cumplimiento de las Normas NRDF-01, NRSF-03 Y E04-NTE01. No. DS-SABAO-BCS-BC-19535</t>
  </si>
  <si>
    <t xml:space="preserve">18 Puntos I Requerimiento: 07/09/2026 Observaciones: 1</t>
  </si>
  <si>
    <t xml:space="preserve">Auditoría Externa</t>
  </si>
  <si>
    <t xml:space="preserve">Créditos a personas relacionadas</t>
  </si>
  <si>
    <t xml:space="preserve">A. INFORMACIÓN DE CUMPLIMIENTO LEGAL A-2. Detalle de créditos otorgados a personas relacionadas al 30 de septiembre de 2026 y los otorgados y cancelados del periodo de julio a septiembre de 2026 y copia de la remisión a la SSF.</t>
  </si>
  <si>
    <t xml:space="preserve">ADR</t>
  </si>
  <si>
    <t xml:space="preserve">Pendiente</t>
  </si>
  <si>
    <t xml:space="preserve">Audtoria Externa</t>
  </si>
  <si>
    <t xml:space="preserve">A-3. Detalle de los 50 mayores deudores y evidencia de su remisión a la SSF durante los periodos de julio a septiembre de 2026.</t>
  </si>
  <si>
    <t xml:space="preserve">En proceso</t>
  </si>
  <si>
    <t xml:space="preserve">Concentración crediticia</t>
  </si>
  <si>
    <t xml:space="preserve">A-9. RIESGO CREDITICIO - Proporcionar en medio electrónico (formato PDF) Copia del Informe del análisis de la concentración de la cartera de créditos y de inversión al 30 de septiembre de 2026, (artículo 15 inciso segundo), y del punto de acta donde lo aprobaron el Comité de Riesgos y Consejo de Administración.</t>
  </si>
  <si>
    <t xml:space="preserve">A- 10. RIESGO CREDITICIO - Proporcionar en medio electrónico (formato PDF) copia del informe de pérdida esperada al 30 de septiembre de 2026 y del punto de acta donde lo aprobaron el Comité de Riesgos y Consejo de Administración, (artículo 20 inciso segundo).</t>
  </si>
  <si>
    <t xml:space="preserve">NRP-24</t>
  </si>
  <si>
    <t xml:space="preserve">A-11. RIESGO OPERACIONAL - Proporcionar en medio electrónico, el plan de continuidad de negocio, plan de seguridad de la información y plan de contingencia ante desastres actualizados 2026 (artículo 16), y del punto de acta donde lo aprobaron el Comité de Riesgos y Consejo de Administración. NOTA: suministrar solo que haya alguna actualización del año 2026, ya que se cuenta con los documentos GR-GS-PA-002-P v06 de fecha 07/02/24 RP-GG-PA-002-v2 de fecha 20/02/2021 RP-GN-PA-501 v6 de fecha 23/07/2025</t>
  </si>
  <si>
    <t xml:space="preserve">NRP-05</t>
  </si>
  <si>
    <t xml:space="preserve">Riesgo de liquidez</t>
  </si>
  <si>
    <t xml:space="preserve">A-12. RIESGO DE LIQUIDEZ - Proporcionar en medio electrónico (formato PDF) informes emitidos por la Unidad de Riesgo del período de julio a septiembre de 2026 y copia de los puntos de actas donde fueron conocidos y aprobados por el Comité de Riesgos y Consejo de Administración.</t>
  </si>
  <si>
    <t xml:space="preserve">NPB4-50</t>
  </si>
  <si>
    <t xml:space="preserve">Riesgo operacional (matriz / mapa de calor)</t>
  </si>
  <si>
    <t xml:space="preserve">A.13. RIESGO OPERACIONAL - Proporcionar en medio electrónico (formato PDF) la matriz de riesgo y/o mapa de calor elaborada por el Área de Riesgo para del semestre al 30 de septiembre de 2026, que incluya certificación de acta de Consejo de Administración de su aprobación y del Comité de Riesgo.</t>
  </si>
  <si>
    <t xml:space="preserve">Varias</t>
  </si>
  <si>
    <t xml:space="preserve">Informes y observaciones de la SSF</t>
  </si>
  <si>
    <t xml:space="preserve">A-14. RIESGOS DE LIQUIDEZ - Proporcionarnos en medio electrónico (formato PDF) copia de los Informes emitidos por la Superintendencia del Sistema Financiero por las revisiones efectuadas a la Unidad de Riesgo, Oficialía de Cumplimiento, Auditoría Interna, contabilidad, créditos y otras áreas de la entidad, durante el periodo de julio a septiembre de 2026, de no existir confirmar por escrito su inexistencia, así mismo incluir seguimiento sobre observaciones emitidas por la SSF.</t>
  </si>
  <si>
    <t xml:space="preserve">A-15. CONCENTRACION CREDITICIA - Análisis interno de concentración de créditos por sector económico, destino, plazo y garantías</t>
  </si>
  <si>
    <t xml:space="preserve">A-16 CONCENTRACION CREDITICIA - Cruce de concentración por prestatario, relación y garantías otorgadas.</t>
  </si>
  <si>
    <t xml:space="preserve">B-3. INFORMACIÓN CONTABLE –ADMINISTRATIVA. Libros de actas de los diferentes comités (de créditos, de cobros y recuperación, PLD/FT/FPADM/de riesgos, auditoria interna, de educación, junta de vigilancia, seguridad y salud ocupacional, fondo de solidaridad,) periodo julio a septiembre de 2026.</t>
  </si>
  <si>
    <t xml:space="preserve">D-4. CLASIFICACIÓN Y PROVISION DE CARTERA. Clasificación de la cartera de clientes por categoría A, B, C, D, E. (relacionado con literal 7)</t>
  </si>
  <si>
    <t xml:space="preserve">D-5. CLASIFICACIÓN Y PROVISION DE CARTERA. Cuadro comparativo de provisión técnica vs. provisión contable</t>
  </si>
  <si>
    <t xml:space="preserve">D-6. CLASIFICACIÓN Y PROVISION DE CARTERA. Cálculo de pérdida esperada por tipo de riesgo de crédito.</t>
  </si>
  <si>
    <t xml:space="preserve">D-9. CLASIFICACIÓN Y PROVISION DE CARTERA. Reserva de saneamiento detallada de préstamos al 30 de septiembre de 2026.</t>
  </si>
  <si>
    <t xml:space="preserve">Nombramiento para realizar visita de supervisión ampliada para evaluar gestión de Riesgos de Crédito, Mercado y Liquidez. No. SABAO-BCS-BC-22742</t>
  </si>
  <si>
    <t xml:space="preserve">60 puntos I Requerimiento: 09/10/2026 5 Puntos requerimiento: 12/10/2026 5 Puntos requerimiento: 20/10/2026 4 Puntos requerimiento: 23/10/2026</t>
  </si>
  <si>
    <t xml:space="preserve">Actas de sesión ordinarias y extraordinarias del Comité de Riesgos, periodo 2026.</t>
  </si>
  <si>
    <t xml:space="preserve">Auditoria interna 3</t>
  </si>
  <si>
    <t xml:space="preserve">Aprobación de Planes: Autorización explícita sobre los BIA, planes, pruebas y manuales operativos de los procesos críticos.</t>
  </si>
  <si>
    <t xml:space="preserve">Evaluación e identificación de procesos críticos.</t>
  </si>
  <si>
    <t xml:space="preserve">Actas del Comité donde se ratificaron el RTO y RPO.</t>
  </si>
  <si>
    <t xml:space="preserve">Control de Mejoras: evidencia sobre Monitoreo y seguimiento sistemático a las brechas detectadas en los simulacros y pruebas anteriores al periodo 2026.</t>
  </si>
  <si>
    <t xml:space="preserve">Programas de capacitación y concientización al personal, sobre la gestión de la continuidad del negocio, para enfrentar un evento disruptivo, periodo 2026.</t>
  </si>
  <si>
    <t xml:space="preserve">Comunicado oficial de responsable titular y un suplente de notificar a la Superintendencia.</t>
  </si>
  <si>
    <t xml:space="preserve">Presupuesto anual asignado y aprobado para el SGCN (DRP, UPS, enlaces redundantes).</t>
  </si>
  <si>
    <t xml:space="preserve">Plan de Divulgación: Comunicación y concientización masiva de las directrices a todo el personal institucional, periodo 2026.</t>
  </si>
  <si>
    <t xml:space="preserve">Informe técnico de selección de estrategias (Análisis Costo-Beneficio de estrategias).</t>
  </si>
  <si>
    <t xml:space="preserve">Evidencia de Seguridad del Personal: Salvaguarda del capital humano durante eventos de interrupción crítica.</t>
  </si>
  <si>
    <t xml:space="preserve">Evidencia de la gestión de Seguridad de la Información: Cifrado y controles perimetrales equivalentes en el entorno de contingencia.</t>
  </si>
  <si>
    <t xml:space="preserve">Matriz de Riesgos de Continuidad (RIA) autorizada y parametrizada con probabilidad e impacto.</t>
  </si>
  <si>
    <t xml:space="preserve">Evidencias de evaluación para eventos disruptivos: terremotos, ataques de ransomware e indisponibilidad de técnicos core.</t>
  </si>
  <si>
    <t xml:space="preserve">Autorización del Consejo sobre Cronograma Anual de Pruebas, ejecución de simulacros y metodologías de simulación correspondientes, así como comunicado a entes reguladores, periodo 2026.</t>
  </si>
  <si>
    <t xml:space="preserve">Informes post simulacro formalizados que confronten el RTA frente al RTO y el RPA frente al RPO.</t>
  </si>
  <si>
    <t xml:space="preserve">Participación de agentes externos (proveedores) que soportan el procesamiento de datos.</t>
  </si>
  <si>
    <t xml:space="preserve">Listado de los productos o servicios críticos, plataformas, canal de servicio, proveedores.</t>
  </si>
  <si>
    <t xml:space="preserve">Evidencia o Bitácora de actualizaciones del Plan de Continuidad (BCP/DRP) por cambio/ actualizaciones en plataformas, cambios en infraestructura core, fusiones, nuevos productos/canales, cambio de proveedores gestionadas por la Gerencia de Sistemas.</t>
  </si>
  <si>
    <t xml:space="preserve">NRP-32</t>
  </si>
  <si>
    <t xml:space="preserve">Canales digitales / migración tecnológica</t>
  </si>
  <si>
    <t xml:space="preserve">Seguimiento al plan de soluciones finales de la visita de supervisión Resultados finales comunicados en nota No DS-SABAO-ISFDC-4785 No. DS-SABAO-ISFDC-21358</t>
  </si>
  <si>
    <t xml:space="preserve">Se solicita la remisión de información que evidencie la finalización de la migración en correspondencia con el Art. 37 de las Normas NRP-32, que las entidades deberá, definir mecanismos de monitoreo y control para asegurar el adecuado funcionamiento de los canales digitales.</t>
  </si>
  <si>
    <t xml:space="preserve">Tema / Requerimiento</t>
  </si>
  <si>
    <t xml:space="preserve">Norma de referencia</t>
  </si>
  <si>
    <t xml:space="preserve">Agregue temas nuevos al final de la columna C (hasta la fila 200) y su norma en D. Las normas "Por validar" no se pudieron confirmar desde las hojas fuente.</t>
  </si>
  <si>
    <t xml:space="preserve">Comité de Supervisión</t>
  </si>
  <si>
    <t xml:space="preserve">Consejo de Administración</t>
  </si>
  <si>
    <t xml:space="preserve">ESTATUS DE VISITAS IN SITU SSF - ETAPA PRESENCIAL</t>
  </si>
  <si>
    <t xml:space="preserve">No.</t>
  </si>
  <si>
    <t xml:space="preserve">Visita de Supervision</t>
  </si>
  <si>
    <t xml:space="preserve">Fecha de Inicio</t>
  </si>
  <si>
    <t xml:space="preserve">Numero de Requerimientos</t>
  </si>
  <si>
    <t xml:space="preserve">año</t>
  </si>
  <si>
    <t xml:space="preserve">Visita de supervisión focalizada para verificar los controles implementados relativos a la seguridad de la información y ciberseguridad en su plataforma tecnológica
SABAO-DR-10417.</t>
  </si>
  <si>
    <t xml:space="preserve">11 Puntos I Requerimiento: 26/04/2024 
Observaciones: 7</t>
  </si>
  <si>
    <t xml:space="preserve">Visita a Supervision Ampliada Para evaluar la cartera de Credito
DS-SABAO-BCS-BC-32285</t>
  </si>
  <si>
    <t xml:space="preserve">9 Puntos Requerimiento: 17/01/2025 
2 Puntos II Requerimiento: 20/02/2025
4 Puntos III Requerimiento 21/02/2025
1 Punto IV Requerimiento 27/02/2025
Observaciones: 7</t>
  </si>
  <si>
    <t xml:space="preserve">Visita de Supervisión Ampliada para evaluar las Normas NRP-37 Recoleccion de Informacion para el Registro de Accionistas 
DS-SABAO-BCS-BC-2774</t>
  </si>
  <si>
    <t xml:space="preserve">1 Punto II Requerimiento 03/03/2025
Observaciones: 2</t>
  </si>
  <si>
    <t xml:space="preserve">Visita de supervision ampliada para evaluar riesgos especificos - 
Riesgo de Credito, Operacional y Tecnologico
SABAO- BCS- BC- 6489</t>
  </si>
  <si>
    <t xml:space="preserve">25 Puntos Requerimiento: 18/03/2025 
7 Puntos II Requerimiento: 08/04/2025
Observaciones: 3
</t>
  </si>
  <si>
    <t xml:space="preserve">Visita de supervision ampliada para revisión de avalúos e inspección de garantías
DS-SABAO- BCS- BC- 7037</t>
  </si>
  <si>
    <t xml:space="preserve">9 Puntos Requerimiento: 02/04/2025 
3 Puntos II Requerimiento: 08/04/2025
4 Puntos III Requerimiento: 24/04/2025
2 Puntos IV Requerimiento: 24/04/2025
Observaciones: 11</t>
  </si>
  <si>
    <t xml:space="preserve">Visita de supervision ampliada para evaluar avance de Implementación de las Normas NRP-53 Riesgos AS
DS-SABAO- BCS- BC- 7043</t>
  </si>
  <si>
    <t xml:space="preserve">4 Puntos Requerimiento: 04/04/2025
Observaciones: 3</t>
  </si>
  <si>
    <t xml:space="preserve">Visita de supervision ampliada para la verificación de las Normas NCM-02 - Transparencia y Divulgacion de la Informacion de Servicios Financieros - Atencion al Adulto Mayor
SABAO- BCS- BC-8567</t>
  </si>
  <si>
    <t xml:space="preserve">4 Puntos Requerimiento: 28/04/2025
Observaciones: 3 </t>
  </si>
  <si>
    <t xml:space="preserve">Visita de supervision ampliada para evaluar el Gobierno Corporativo
SABAO- BCS- BC-9337</t>
  </si>
  <si>
    <t xml:space="preserve">10 Puntos Requerimiento: 15/05/2025
10 Puntos II Requerimiento 11/06/2025
1 Punto III Requerimiento 13/06/2025
4 Puntos IV Requerimiento: 13/06/2025
11 Puntos V Requerimiento: 20/06/2025
7 Puntos VI Requerimiento: 24/06/2025
Observaciones: 9 </t>
  </si>
  <si>
    <t xml:space="preserve">Visita de Supervisión Ampliada para verificar la Gestión de Seguridad de la Información y Continuidad del Negocio.
SABAO-BCS-BC-12064</t>
  </si>
  <si>
    <t xml:space="preserve">14 Puntos Requerimiento: 28/05/2025
Observaciones: 2 </t>
  </si>
  <si>
    <t xml:space="preserve">Visita de Supervisión Ampliada para verificar las Normas NRP-36. PLD/FT/FPADM
DS-SABAO-BCS-BC-13042</t>
  </si>
  <si>
    <t xml:space="preserve">7 Puntos Requerimiento: 12/06/2025
Observaciones: 3</t>
  </si>
  <si>
    <t xml:space="preserve">Observaciones a Declaraciones Juradas a que se refiere el Art. 15 de la Ley de Bancos Cooperativos y Sociedades de Ahorro y Crédito.
No. DS-SABAO-BCS-BC-16934</t>
  </si>
  <si>
    <t xml:space="preserve">Visita de Supervisión ampliada, para evaluar la mora financiera
No. DS-SABAO-BCS-BC-18028</t>
  </si>
  <si>
    <t xml:space="preserve">5 Puntos I Requerimiento: 22/08/2025
Observaciones: 8</t>
  </si>
  <si>
    <t xml:space="preserve">Seguimiento al plan de soluciones finales de la visita de supervisión
Resultados finales comunicados en nota No DS-SABAO-ISFDC-4785
No. DS-SABAO-ISFDC-21358</t>
  </si>
  <si>
    <t xml:space="preserve">Visita de supervision ampliada para evaluar gestión de riesgos especificos.
DS-SABAO- BCS- BC- 24708
RIA #1 Riesgos específicos a septiembre 2025
RIA #2 Riesgos específicos a septiembre 2025</t>
  </si>
  <si>
    <t xml:space="preserve">42 Puntos Requerimiento inicial 24/10/2025
Observaciones: 8
9 Puntos Requerimiento 10/11/2025
Fecha de Envio informacion: 12/11/2025 
Literal B: 10 Puntos Requerimiento 14/11/2025
Fecha de Envio informacion: 17/11/2025 </t>
  </si>
  <si>
    <t xml:space="preserve">Solicitud de infirmación vía correo electrónico con relación a:
*Productos con enfoque sostenible 
*Productos, servicios y canales dirigidos a personas con discapacidad
*Productos y/o servicios específicos para mujeres
*Retos identificados por las entidades o la industria en materia de sostenibilidad e inclusión financiera
Cualquier otra información que se considere relevante incluir</t>
  </si>
  <si>
    <t xml:space="preserve">Visita de supervisión focalizada para evaluar seguridad de la información y ciberseguridad
Circular No. SABAO-BCS-BC-1134</t>
  </si>
  <si>
    <t xml:space="preserve">Nombramiento para realizar visita de supervisión ampliada para verificar el cumplimiento de las Normas Técnicas para la Transparencia y Divulgación de la Información de los Servicios Financieros Bancarios (NCM-02).
No. SABAO-BCS-BC-2274</t>
  </si>
  <si>
    <t xml:space="preserve">I requerimiento: 14 puntos 03/02/2026
II requerimiento: 1 punto (10 expedientes de créditos)
12/02/2026
III requerimiento: 3 puntos 16/02/2026
IV requerimiento: 4 puntos 17/02/2026
V requerimiento: 5 puntos 20/02/2026
VI requerimiento: 2 puntos 25/02/2026
VII requerimiento: 6 puntos 02/03/2026
VIII Requerimiento: 1 punto
05/03/2026</t>
  </si>
  <si>
    <t xml:space="preserve">Resultado visita de supervisión para evaluar el cumplimiento de las Normas NRSF01, NRSF-03 y E04-NTE01.
No. SABAO-BCS-BC-2402 </t>
  </si>
  <si>
    <t xml:space="preserve">Nombramiento de visita de supervisión ampliada para evaluar la calidad de la gestión de riesgos específicos.
No. SABAO-BCS-BC-15527</t>
  </si>
  <si>
    <t xml:space="preserve">I requerimiento: 92 puntos
14/07/2026
11 requerimientos adicionales entre el 20/07/2026 - 26/08/2026</t>
  </si>
  <si>
    <t xml:space="preserve">Visita de supervisión ampliada para verificar la implementación de la Ley para la Estabilidad de Sistema Financiero y Garantía de Depósitos.
SABAO-BCS-BC-18431</t>
  </si>
  <si>
    <t xml:space="preserve">1 Punto I Requerimiento
6 Puntos II requerimiento
Observaciones: 6</t>
  </si>
  <si>
    <t xml:space="preserve">Visita de supervisión ampliada para evaluar el Gobierno Corporativo.
SABAO-BCS-BC-18432</t>
  </si>
  <si>
    <t xml:space="preserve">10 Puntos I Requerimiento
5 Puntos II requerimiento
2 Puntos III requerimiento
Observaciones: 7</t>
  </si>
  <si>
    <t xml:space="preserve">Nombramiento para la evaluación del cumplimiento de las Normas NRDF-01, NRSF-03 Y E04-NTE01.
No. DS-SABAO-BCS-BC-19535</t>
  </si>
  <si>
    <t xml:space="preserve">18 Puntos I Requerimiento: 07/09/2026
Observaciones: 1</t>
  </si>
  <si>
    <t xml:space="preserve">Nombramiento para realizar visita de supervisión ampliada para evaluar gestión de Riesgos de Crédito, Mercado y Liquidez.
No. SABAO-BCS-BC-22742</t>
  </si>
  <si>
    <t xml:space="preserve">60 puntos I Requerimiento: 09/10/2026 
5 Puntos requerimiento: 12/10/2026
5 Puntos requerimiento: 20/10/2026
4 Puntos requerimiento: 23/10/2026</t>
  </si>
  <si>
    <t xml:space="preserve">MATRIZ CONTROL DE AUDITORIAS INTERNA 06052026 Revisión NPB4-49 y NCB-022</t>
  </si>
  <si>
    <t xml:space="preserve">Proceso evaluado</t>
  </si>
  <si>
    <t xml:space="preserve">Fecha Solicitud</t>
  </si>
  <si>
    <t xml:space="preserve">Fecha de entrega</t>
  </si>
  <si>
    <t xml:space="preserve">Informe Preliminar</t>
  </si>
  <si>
    <t xml:space="preserve">Informe Final</t>
  </si>
  <si>
    <t xml:space="preserve">Comité</t>
  </si>
  <si>
    <t xml:space="preserve"> Informes presentados al Comité de Riesgos por el período de julio 2025 a abril 2026.</t>
  </si>
  <si>
    <t xml:space="preserve">Evidencia de envío / recepción por la SSF / BCR por el período de julio 2025 a abril 2026 de: 
•     Artículo 26 de la NCB-22 – Reestructuraciones o refinanciamientos de activos crediticios efectuados en el mes; 
•     Artículo 28 de la NCB-22 – Reclasificación de categorías de menor riesgo de los 50 mayores deudores 
•     Artículo 30 de la NCB-22 – Clasificación de la cartera de los activos crediticios y las respectivas reservas de saneamiento.
•     Artículo 8 NRP 25 – Anexo 1, actualización de valúos de garantías hipotecarias (SSF y BCR)
•     Artículo 15 NRP 25 – Anexo 2, registro de la cartera de créditos afectados por la pandemia (SSF y BCR).</t>
  </si>
  <si>
    <t xml:space="preserve">MATRIZ CONTROL DE AUDITORIAS INTERNA 22082026</t>
  </si>
  <si>
    <t xml:space="preserve">Evidencia de ejecución de las actividades del Plan de Trabajo ADR  2025 y 2026.</t>
  </si>
  <si>
    <t xml:space="preserve"> Publicación en el sitio web de la información citada en el artículo 29 de la NRP-17 (ejecución de enero, marzo y julio 2026)</t>
  </si>
  <si>
    <t xml:space="preserve">Evidencia de ejecución de las actividades de Programa de capacitación 2025 y 2026</t>
  </si>
  <si>
    <t xml:space="preserve">MATRIZ CONTROL DE AUDITORIAS INTERNA 12102026</t>
  </si>
  <si>
    <t xml:space="preserve">Proceso evaluado NRP-24 </t>
  </si>
  <si>
    <t xml:space="preserve">Requerimiento:  Auditoria Externa</t>
  </si>
  <si>
    <t xml:space="preserve">No</t>
  </si>
  <si>
    <t xml:space="preserve">Area</t>
  </si>
  <si>
    <t xml:space="preserve">Fecha de Solicitud</t>
  </si>
  <si>
    <t xml:space="preserve">Completo</t>
  </si>
  <si>
    <t xml:space="preserve">A. INFORMACIÓN DE CUMPLIMIENTO LEGAL
A-2. Detalle de créditos otorgados a personas relacionadas al 30 de septiembre de 2026 y los otorgados y cancelados del periodo de julio a septiembre de 2026 y copia de la remisión a la SSF.</t>
  </si>
  <si>
    <t xml:space="preserve">A-9. RIESGO CREDITICIO -  Proporcionar en medio electrónico (formato PDF) Copia del Informe del análisis de la concentración de la cartera de créditos y de inversión al 30 de septiembre de 2026, (artículo 15 inciso segundo), y del punto de acta donde lo aprobaron el Comité de Riesgos y Consejo de Administración.</t>
  </si>
  <si>
    <t xml:space="preserve">A- 10. RIESGO CREDITICIO -  Proporcionar en medio electrónico (formato PDF) copia del informe de pérdida esperada al 30 de septiembre de 2026 y del punto de acta donde lo aprobaron el Comité de Riesgos y Consejo de Administración, (artículo 20 inciso segundo).</t>
  </si>
  <si>
    <t xml:space="preserve">A-11. RIESGO OPERACIONAL - Proporcionar en medio electrónico, el plan de continuidad de negocio, plan de seguridad de la información y plan de contingencia ante desastres actualizados 2026 (artículo 16), y del punto de acta donde lo aprobaron el Comité de Riesgos y Consejo de Administración.
NOTA: suministrar solo que haya alguna actualización del año 2026, ya que se cuenta con los documentos
GR-GS-PA-002-P v06 de fecha 07/02/24
RP-GG-PA-002-v2 de fecha 20/02/2021
RP-GN-PA-501 v6 de fecha 23/07/2025</t>
  </si>
  <si>
    <t xml:space="preserve">A-15. CONCENTRACION CREDITICIA  - Análisis interno de concentración de créditos por sector económico, destino, plazo y garantías</t>
  </si>
  <si>
    <t xml:space="preserve">A-16 CONCENTRACION CREDITICIA  - Cruce de concentración por prestatario, relación y garantías otorgadas.</t>
  </si>
  <si>
    <t xml:space="preserve">D-4. CLASIFICACIÓN Y PROVISION DE CARTERA. Clasificación de la cartera de clientes por categoría A, B, C, D, E. (relacionado con literal 7) 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</si>
</sst>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dd/mm/yyyy"/>
    <numFmt numFmtId="167" formatCode="m/d/yyyy"/>
  </numFmts>
  <fonts count="3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2"/>
      <color rgb="FF0000FF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sz val="10"/>
      <color rgb="FF0000FF"/>
      <name val="Arial"/>
      <family val="0"/>
      <charset val="1"/>
    </font>
    <font>
      <sz val="8"/>
      <color rgb="FF808080"/>
      <name val="Arial"/>
      <family val="0"/>
      <charset val="1"/>
    </font>
    <font>
      <sz val="10"/>
      <name val="Arial"/>
      <family val="2"/>
    </font>
    <font>
      <b val="true"/>
      <sz val="10"/>
      <color theme="1"/>
      <name val="Calibri"/>
      <family val="2"/>
      <charset val="1"/>
    </font>
    <font>
      <sz val="10"/>
      <color theme="1"/>
      <name val="Calibri"/>
      <family val="2"/>
      <charset val="1"/>
    </font>
    <font>
      <b val="true"/>
      <sz val="14"/>
      <color theme="1"/>
      <name val="Calibri"/>
      <family val="2"/>
      <charset val="1"/>
    </font>
    <font>
      <b val="true"/>
      <sz val="12"/>
      <color theme="0"/>
      <name val="Calibri"/>
      <family val="2"/>
      <charset val="1"/>
    </font>
    <font>
      <b val="true"/>
      <sz val="12"/>
      <color theme="1"/>
      <name val="Calibri"/>
      <family val="2"/>
      <charset val="1"/>
    </font>
    <font>
      <sz val="12"/>
      <color theme="1"/>
      <name val="Calibri"/>
      <family val="2"/>
      <charset val="1"/>
    </font>
    <font>
      <sz val="12"/>
      <name val="Calibri"/>
      <family val="2"/>
      <charset val="1"/>
    </font>
    <font>
      <b val="true"/>
      <sz val="12"/>
      <color theme="1"/>
      <name val="Calibri Light"/>
      <family val="2"/>
      <charset val="1"/>
    </font>
    <font>
      <sz val="12"/>
      <color theme="1"/>
      <name val="Calibri Light"/>
      <family val="2"/>
      <charset val="1"/>
    </font>
    <font>
      <b val="true"/>
      <sz val="12"/>
      <color theme="0"/>
      <name val="Calibri Light"/>
      <family val="2"/>
      <charset val="1"/>
    </font>
    <font>
      <b val="true"/>
      <sz val="11"/>
      <color theme="0"/>
      <name val="Calibri"/>
      <family val="2"/>
      <charset val="1"/>
    </font>
    <font>
      <sz val="11"/>
      <color rgb="FF000000"/>
      <name val="Arial"/>
      <family val="2"/>
      <charset val="1"/>
    </font>
    <font>
      <sz val="11"/>
      <color theme="1"/>
      <name val="Aptos"/>
      <family val="2"/>
      <charset val="1"/>
    </font>
    <font>
      <b val="true"/>
      <sz val="11"/>
      <color theme="1"/>
      <name val="Calibri"/>
      <family val="2"/>
      <charset val="1"/>
    </font>
    <font>
      <sz val="11"/>
      <color rgb="FF0E2841"/>
      <name val="Calibri"/>
      <family val="2"/>
      <charset val="1"/>
    </font>
    <font>
      <sz val="11"/>
      <color theme="1"/>
      <name val="Arial"/>
      <family val="2"/>
      <charset val="1"/>
    </font>
    <font>
      <b val="true"/>
      <sz val="18"/>
      <color theme="1"/>
      <name val="Arial"/>
      <family val="2"/>
      <charset val="1"/>
    </font>
    <font>
      <b val="true"/>
      <sz val="11"/>
      <color theme="1"/>
      <name val="Arial"/>
      <family val="2"/>
      <charset val="1"/>
    </font>
    <font>
      <b val="true"/>
      <sz val="11"/>
      <color theme="0"/>
      <name val="Arial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1F4E79"/>
      </patternFill>
    </fill>
    <fill>
      <patternFill patternType="solid">
        <fgColor rgb="FF2F5597"/>
        <bgColor rgb="FF1F4E79"/>
      </patternFill>
    </fill>
    <fill>
      <patternFill patternType="solid">
        <fgColor rgb="FFDDEBF7"/>
        <bgColor rgb="FFCCFFFF"/>
      </patternFill>
    </fill>
    <fill>
      <patternFill patternType="solid">
        <fgColor theme="4" tint="-0.5"/>
        <bgColor rgb="FF2F5597"/>
      </patternFill>
    </fill>
    <fill>
      <patternFill patternType="solid">
        <fgColor theme="0"/>
        <bgColor rgb="FFFFF2CC"/>
      </patternFill>
    </fill>
    <fill>
      <patternFill patternType="solid">
        <fgColor rgb="FF0070C0"/>
        <bgColor rgb="FF008080"/>
      </patternFill>
    </fill>
    <fill>
      <patternFill patternType="solid">
        <fgColor theme="7" tint="-0.5"/>
        <bgColor rgb="FF993300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11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1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1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7" borderId="3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7" fontId="25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21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3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24" fillId="0" borderId="3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25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0" borderId="3" xfId="0" applyFont="true" applyBorder="true" applyAlignment="true" applyProtection="false">
      <alignment horizontal="justify" vertical="top" textRotation="0" wrapText="true" indent="0" shrinkToFit="false"/>
      <protection locked="true" hidden="false"/>
    </xf>
    <xf numFmtId="167" fontId="26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5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9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0" borderId="3" xfId="0" applyFont="true" applyBorder="true" applyAlignment="true" applyProtection="false">
      <alignment horizontal="justify" vertical="center" textRotation="0" wrapText="false" indent="0" shrinkToFit="false"/>
      <protection locked="true" hidden="false"/>
    </xf>
    <xf numFmtId="167" fontId="0" fillId="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1" fillId="0" borderId="3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0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0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4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3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3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0" borderId="2" xfId="0" applyFont="true" applyBorder="true" applyAlignment="true" applyProtection="false">
      <alignment horizontal="justify" vertical="top" textRotation="0" wrapText="true" indent="0" shrinkToFit="false"/>
      <protection locked="true" hidden="false"/>
    </xf>
    <xf numFmtId="164" fontId="37" fillId="0" borderId="2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38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8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5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7" borderId="3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35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35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7" borderId="3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37" fillId="0" borderId="3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31" fillId="0" borderId="0" xfId="0" applyFont="true" applyBorder="false" applyAlignment="true" applyProtection="false">
      <alignment horizontal="justify" vertical="center" textRotation="0" wrapText="false" indent="0" shrinkToFit="false"/>
      <protection locked="true" hidden="false"/>
    </xf>
    <xf numFmtId="164" fontId="35" fillId="0" borderId="3" xfId="0" applyFont="true" applyBorder="true" applyAlignment="true" applyProtection="false">
      <alignment horizontal="justify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8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BFBFBF"/>
          <bgColor rgb="FF000000"/>
        </patternFill>
      </fill>
    </dxf>
    <dxf>
      <fill>
        <patternFill patternType="solid">
          <fgColor rgb="FFF4B183"/>
          <bgColor rgb="FF000000"/>
        </patternFill>
      </fill>
    </dxf>
    <dxf>
      <fill>
        <patternFill patternType="solid">
          <fgColor rgb="FFFBE0CE"/>
          <bgColor rgb="FF000000"/>
        </patternFill>
      </fill>
    </dxf>
    <dxf>
      <fill>
        <patternFill patternType="solid">
          <fgColor rgb="FFFCE4D4"/>
          <bgColor rgb="FF000000"/>
        </patternFill>
      </fill>
    </dxf>
    <dxf>
      <fill>
        <patternFill patternType="solid">
          <fgColor rgb="FFFCE8DA"/>
          <bgColor rgb="FF000000"/>
        </patternFill>
      </fill>
    </dxf>
    <dxf>
      <fill>
        <patternFill patternType="solid">
          <fgColor rgb="FFFDECE0"/>
          <bgColor rgb="FF000000"/>
        </patternFill>
      </fill>
    </dxf>
    <dxf>
      <fill>
        <patternFill patternType="solid">
          <fgColor rgb="FFFDF0E7"/>
          <bgColor rgb="FF000000"/>
        </patternFill>
      </fill>
    </dxf>
    <dxf>
      <fill>
        <patternFill patternType="solid">
          <fgColor rgb="FFFEF4ED"/>
          <bgColor rgb="FF000000"/>
        </patternFill>
      </fill>
    </dxf>
    <dxf>
      <fill>
        <patternFill patternType="solid">
          <fgColor rgb="FFFEF8F3"/>
          <bgColor rgb="FF000000"/>
        </patternFill>
      </fill>
    </dxf>
    <dxf>
      <fill>
        <patternFill patternType="solid">
          <fgColor rgb="FFFFFCF9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2F5597"/>
          <bgColor rgb="FF000000"/>
        </patternFill>
      </fill>
    </dxf>
    <dxf>
      <fill>
        <patternFill patternType="solid">
          <fgColor rgb="FFFAFCFE"/>
          <bgColor rgb="FF000000"/>
        </patternFill>
      </fill>
    </dxf>
    <dxf>
      <fill>
        <patternFill patternType="solid">
          <fgColor rgb="FFF5F9FD"/>
          <bgColor rgb="FF000000"/>
        </patternFill>
      </fill>
    </dxf>
    <dxf>
      <fill>
        <patternFill patternType="solid">
          <fgColor rgb="FFDBE9F6"/>
          <bgColor rgb="FF000000"/>
        </patternFill>
      </fill>
    </dxf>
    <dxf>
      <fill>
        <patternFill patternType="solid">
          <fgColor rgb="FFE1EDF8"/>
          <bgColor rgb="FF000000"/>
        </patternFill>
      </fill>
    </dxf>
    <dxf>
      <fill>
        <patternFill patternType="solid">
          <fgColor rgb="FFEBF3FA"/>
          <bgColor rgb="FF000000"/>
        </patternFill>
      </fill>
    </dxf>
    <dxf>
      <fill>
        <patternFill patternType="solid">
          <fgColor rgb="FF9DC3E6"/>
          <bgColor rgb="FF000000"/>
        </patternFill>
      </fill>
    </dxf>
    <dxf>
      <fill>
        <patternFill patternType="solid">
          <fgColor rgb="FFF0F6FC"/>
          <bgColor rgb="FF000000"/>
        </patternFill>
      </fill>
    </dxf>
    <dxf>
      <font>
        <name val="Arial"/>
        <charset val="1"/>
        <family val="0"/>
        <b val="1"/>
        <color rgb="FFC00000"/>
      </font>
      <fill>
        <patternFill>
          <bgColor rgb="FFFCE4D6"/>
        </patternFill>
      </fill>
    </dxf>
    <dxf>
      <font>
        <name val="Arial"/>
        <charset val="1"/>
        <family val="0"/>
        <color rgb="FFBFBFBF"/>
      </font>
    </dxf>
    <dxf>
      <font>
        <name val="Arial"/>
        <charset val="1"/>
        <family val="0"/>
        <b val="1"/>
        <color rgb="FFC00000"/>
      </font>
      <fill>
        <patternFill>
          <bgColor rgb="FFF8CBAD"/>
        </patternFill>
      </fill>
    </dxf>
    <dxf>
      <font>
        <name val="Arial"/>
        <charset val="1"/>
        <family val="0"/>
        <b val="1"/>
      </font>
      <fill>
        <patternFill>
          <bgColor rgb="FFFFF2CC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BDD7EE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>
          <bgColor rgb="FFBDD7EE"/>
        </patternFill>
      </fill>
    </dxf>
    <dxf>
      <fill>
        <patternFill>
          <bgColor rgb="FFFFF2C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6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70C0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CE4D6"/>
      <rgbColor rgb="FF99CCFF"/>
      <rgbColor rgb="FFFFC7CE"/>
      <rgbColor rgb="FFCC99FF"/>
      <rgbColor rgb="FFF8CBAD"/>
      <rgbColor rgb="FF3366FF"/>
      <rgbColor rgb="FF33CCCC"/>
      <rgbColor rgb="FF99CC00"/>
      <rgbColor rgb="FFFFC000"/>
      <rgbColor rgb="FFFF9900"/>
      <rgbColor rgb="FFFF6600"/>
      <rgbColor rgb="FF2F5597"/>
      <rgbColor rgb="FF969696"/>
      <rgbColor rgb="FF0E2841"/>
      <rgbColor rgb="FF339966"/>
      <rgbColor rgb="FF006100"/>
      <rgbColor rgb="FF333300"/>
      <rgbColor rgb="FF993300"/>
      <rgbColor rgb="FF993366"/>
      <rgbColor rgb="FF1F4E79"/>
      <rgbColor rgb="FF1F386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0</xdr:rowOff>
    </xdr:from>
    <xdr:to>
      <xdr:col>16</xdr:col>
      <xdr:colOff>245520</xdr:colOff>
      <xdr:row>38</xdr:row>
      <xdr:rowOff>47160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380880"/>
          <a:ext cx="10029600" cy="6905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19</xdr:col>
      <xdr:colOff>172800</xdr:colOff>
      <xdr:row>105</xdr:row>
      <xdr:rowOff>94680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0" y="7810560"/>
          <a:ext cx="11791440" cy="122868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42"/>
    <col collapsed="false" customWidth="true" hidden="false" outlineLevel="0" max="3" min="3" style="1" width="18"/>
    <col collapsed="false" customWidth="true" hidden="false" outlineLevel="0" max="9" min="4" style="1" width="10"/>
    <col collapsed="false" customWidth="true" hidden="false" outlineLevel="0" max="10" min="10" style="1" width="9"/>
    <col collapsed="false" customWidth="true" hidden="false" outlineLevel="0" max="11" min="11" style="1" width="12"/>
    <col collapsed="false" customWidth="true" hidden="false" outlineLevel="0" max="12" min="12" style="1" width="10"/>
    <col collapsed="false" customWidth="true" hidden="false" outlineLevel="0" max="13" min="13" style="1" width="11"/>
    <col collapsed="false" customWidth="true" hidden="false" outlineLevel="0" max="14" min="14" style="1" width="9"/>
    <col collapsed="false" customWidth="true" hidden="false" outlineLevel="0" max="26" min="15" style="1" width="5.52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  <c r="C2" s="4" t="s">
        <v>2</v>
      </c>
      <c r="D2" s="5" t="s">
        <v>3</v>
      </c>
    </row>
    <row r="4" customFormat="false" ht="31.5" hidden="false" customHeight="true" outlineLevel="0" collapsed="false">
      <c r="A4" s="6" t="s">
        <v>4</v>
      </c>
      <c r="B4" s="6" t="s">
        <v>5</v>
      </c>
      <c r="C4" s="6" t="s">
        <v>6</v>
      </c>
      <c r="D4" s="6" t="s">
        <v>7</v>
      </c>
      <c r="E4" s="6" t="s">
        <v>8</v>
      </c>
      <c r="F4" s="6" t="s">
        <v>9</v>
      </c>
      <c r="G4" s="6" t="s">
        <v>10</v>
      </c>
      <c r="H4" s="6" t="s">
        <v>11</v>
      </c>
      <c r="I4" s="6" t="s">
        <v>12</v>
      </c>
      <c r="J4" s="6" t="s">
        <v>13</v>
      </c>
      <c r="K4" s="6" t="s">
        <v>14</v>
      </c>
      <c r="L4" s="6" t="s">
        <v>15</v>
      </c>
      <c r="M4" s="6" t="s">
        <v>16</v>
      </c>
      <c r="N4" s="6" t="s">
        <v>17</v>
      </c>
      <c r="O4" s="7" t="s">
        <v>18</v>
      </c>
      <c r="P4" s="7" t="s">
        <v>19</v>
      </c>
      <c r="Q4" s="7" t="s">
        <v>20</v>
      </c>
      <c r="R4" s="7" t="s">
        <v>21</v>
      </c>
      <c r="S4" s="7" t="s">
        <v>22</v>
      </c>
      <c r="T4" s="7" t="s">
        <v>23</v>
      </c>
      <c r="U4" s="7" t="s">
        <v>24</v>
      </c>
      <c r="V4" s="7" t="s">
        <v>25</v>
      </c>
      <c r="W4" s="7" t="s">
        <v>26</v>
      </c>
      <c r="X4" s="7" t="s">
        <v>27</v>
      </c>
      <c r="Y4" s="7" t="s">
        <v>28</v>
      </c>
      <c r="Z4" s="7" t="s">
        <v>29</v>
      </c>
    </row>
    <row r="5" customFormat="false" ht="15" hidden="false" customHeight="true" outlineLevel="0" collapsed="false">
      <c r="A5" s="8" t="n">
        <v>1</v>
      </c>
      <c r="B5" s="9" t="str">
        <f aca="false">Catálogos!C2</f>
        <v>Actas Comité de Riesgos</v>
      </c>
      <c r="C5" s="10" t="str">
        <f aca="false">Catálogos!D2</f>
        <v>NRP-20</v>
      </c>
      <c r="D5" s="11" t="n">
        <f aca="false">SUMPRODUCT((Consolidado!$E$5:$E$1000=$B5)*(Consolidado!$C$5:$C$1000="Auditoría Interna")*((($C$2="Todos")+(Consolidado!$I$5:$I$1000&amp;""=$C$2&amp;""))&gt;0))</f>
        <v>4</v>
      </c>
      <c r="E5" s="11" t="n">
        <f aca="false">SUMPRODUCT((Consolidado!$E$5:$E$1000=$B5)*(Consolidado!$C$5:$C$1000="Auditoría Externa")*((($C$2="Todos")+(Consolidado!$I$5:$I$1000&amp;""=$C$2&amp;""))&gt;0))</f>
        <v>1</v>
      </c>
      <c r="F5" s="11" t="n">
        <f aca="false">SUMPRODUCT((Consolidado!$E$5:$E$1000=$B5)*(Consolidado!$C$5:$C$1000="SSF")*((($C$2="Todos")+(Consolidado!$I$5:$I$1000&amp;""=$C$2&amp;""))&gt;0))</f>
        <v>0</v>
      </c>
      <c r="G5" s="11" t="n">
        <f aca="false">SUMPRODUCT((Consolidado!$E$5:$E$1000=$B5)*(Consolidado!$C$5:$C$1000="Comité de Supervisión")*((($C$2="Todos")+(Consolidado!$I$5:$I$1000&amp;""=$C$2&amp;""))&gt;0))</f>
        <v>0</v>
      </c>
      <c r="H5" s="11" t="n">
        <f aca="false">SUMPRODUCT((Consolidado!$E$5:$E$1000=$B5)*(Consolidado!$C$5:$C$1000="Consejo de Administración")*((($C$2="Todos")+(Consolidado!$I$5:$I$1000&amp;""=$C$2&amp;""))&gt;0))</f>
        <v>0</v>
      </c>
      <c r="I5" s="11" t="n">
        <f aca="false">SUMPRODUCT((Consolidado!$E$5:$E$1000=$B5)*(Consolidado!$C$5:$C$1000="Otros")*((($C$2="Todos")+(Consolidado!$I$5:$I$1000&amp;""=$C$2&amp;""))&gt;0))</f>
        <v>0</v>
      </c>
      <c r="J5" s="12" t="n">
        <f aca="false">SUM(D5:I5)</f>
        <v>5</v>
      </c>
      <c r="K5" s="12" t="n">
        <f aca="false">SUMPRODUCT((Consolidado!$E$5:$E$1000=$B5)*(Consolidado!$AE$5:$AE$1000)*((($C$2="Todos")+(Consolidado!$I$5:$I$1000&amp;""=$C$2&amp;""))&gt;0))</f>
        <v>4</v>
      </c>
      <c r="L5" s="8" t="n">
        <f aca="false">COUNTIF(D5:I5,"&gt;0")</f>
        <v>2</v>
      </c>
      <c r="M5" s="13" t="str">
        <f aca="false">IF(L5&gt;=2,"Sí","No")</f>
        <v>Sí</v>
      </c>
      <c r="N5" s="8" t="n">
        <f aca="false">IF(J5=0,"",RANK(J5,$J$5:$J$33))</f>
        <v>5</v>
      </c>
      <c r="O5" s="11" t="n">
        <f aca="false">SUMPRODUCT((Consolidado!$E$5:$E$1000=$B5)*(MONTH(Consolidado!$B$5:$B$1000+0*(Consolidado!$B$5:$B$1000=""))=1)*(Consolidado!$B$5:$B$1000&lt;&gt;"")*((($C$2="Todos")+(Consolidado!$I$5:$I$1000&amp;""=$C$2&amp;""))&gt;0))</f>
        <v>0</v>
      </c>
      <c r="P5" s="11" t="n">
        <f aca="false">SUMPRODUCT((Consolidado!$E$5:$E$1000=$B5)*(MONTH(Consolidado!$B$5:$B$1000+0*(Consolidado!$B$5:$B$1000=""))=2)*(Consolidado!$B$5:$B$1000&lt;&gt;"")*((($C$2="Todos")+(Consolidado!$I$5:$I$1000&amp;""=$C$2&amp;""))&gt;0))</f>
        <v>0</v>
      </c>
      <c r="Q5" s="11" t="n">
        <f aca="false">SUMPRODUCT((Consolidado!$E$5:$E$1000=$B5)*(MONTH(Consolidado!$B$5:$B$1000+0*(Consolidado!$B$5:$B$1000=""))=3)*(Consolidado!$B$5:$B$1000&lt;&gt;"")*((($C$2="Todos")+(Consolidado!$I$5:$I$1000&amp;""=$C$2&amp;""))&gt;0))</f>
        <v>0</v>
      </c>
      <c r="R5" s="11" t="n">
        <f aca="false">SUMPRODUCT((Consolidado!$E$5:$E$1000=$B5)*(MONTH(Consolidado!$B$5:$B$1000+0*(Consolidado!$B$5:$B$1000=""))=4)*(Consolidado!$B$5:$B$1000&lt;&gt;"")*((($C$2="Todos")+(Consolidado!$I$5:$I$1000&amp;""=$C$2&amp;""))&gt;0))</f>
        <v>0</v>
      </c>
      <c r="S5" s="11" t="n">
        <f aca="false">SUMPRODUCT((Consolidado!$E$5:$E$1000=$B5)*(MONTH(Consolidado!$B$5:$B$1000+0*(Consolidado!$B$5:$B$1000=""))=5)*(Consolidado!$B$5:$B$1000&lt;&gt;"")*((($C$2="Todos")+(Consolidado!$I$5:$I$1000&amp;""=$C$2&amp;""))&gt;0))</f>
        <v>1</v>
      </c>
      <c r="T5" s="11" t="n">
        <f aca="false">SUMPRODUCT((Consolidado!$E$5:$E$1000=$B5)*(MONTH(Consolidado!$B$5:$B$1000+0*(Consolidado!$B$5:$B$1000=""))=6)*(Consolidado!$B$5:$B$1000&lt;&gt;"")*((($C$2="Todos")+(Consolidado!$I$5:$I$1000&amp;""=$C$2&amp;""))&gt;0))</f>
        <v>0</v>
      </c>
      <c r="U5" s="11" t="n">
        <f aca="false">SUMPRODUCT((Consolidado!$E$5:$E$1000=$B5)*(MONTH(Consolidado!$B$5:$B$1000+0*(Consolidado!$B$5:$B$1000=""))=7)*(Consolidado!$B$5:$B$1000&lt;&gt;"")*((($C$2="Todos")+(Consolidado!$I$5:$I$1000&amp;""=$C$2&amp;""))&gt;0))</f>
        <v>0</v>
      </c>
      <c r="V5" s="11" t="n">
        <f aca="false">SUMPRODUCT((Consolidado!$E$5:$E$1000=$B5)*(MONTH(Consolidado!$B$5:$B$1000+0*(Consolidado!$B$5:$B$1000=""))=8)*(Consolidado!$B$5:$B$1000&lt;&gt;"")*((($C$2="Todos")+(Consolidado!$I$5:$I$1000&amp;""=$C$2&amp;""))&gt;0))</f>
        <v>2</v>
      </c>
      <c r="W5" s="11" t="n">
        <f aca="false">SUMPRODUCT((Consolidado!$E$5:$E$1000=$B5)*(MONTH(Consolidado!$B$5:$B$1000+0*(Consolidado!$B$5:$B$1000=""))=9)*(Consolidado!$B$5:$B$1000&lt;&gt;"")*((($C$2="Todos")+(Consolidado!$I$5:$I$1000&amp;""=$C$2&amp;""))&gt;0))</f>
        <v>0</v>
      </c>
      <c r="X5" s="11" t="n">
        <f aca="false">SUMPRODUCT((Consolidado!$E$5:$E$1000=$B5)*(MONTH(Consolidado!$B$5:$B$1000+0*(Consolidado!$B$5:$B$1000=""))=10)*(Consolidado!$B$5:$B$1000&lt;&gt;"")*((($C$2="Todos")+(Consolidado!$I$5:$I$1000&amp;""=$C$2&amp;""))&gt;0))</f>
        <v>2</v>
      </c>
      <c r="Y5" s="11" t="n">
        <f aca="false">SUMPRODUCT((Consolidado!$E$5:$E$1000=$B5)*(MONTH(Consolidado!$B$5:$B$1000+0*(Consolidado!$B$5:$B$1000=""))=11)*(Consolidado!$B$5:$B$1000&lt;&gt;"")*((($C$2="Todos")+(Consolidado!$I$5:$I$1000&amp;""=$C$2&amp;""))&gt;0))</f>
        <v>0</v>
      </c>
      <c r="Z5" s="11" t="n">
        <f aca="false">SUMPRODUCT((Consolidado!$E$5:$E$1000=$B5)*(MONTH(Consolidado!$B$5:$B$1000+0*(Consolidado!$B$5:$B$1000=""))=12)*(Consolidado!$B$5:$B$1000&lt;&gt;"")*((($C$2="Todos")+(Consolidado!$I$5:$I$1000&amp;""=$C$2&amp;""))&gt;0))</f>
        <v>0</v>
      </c>
    </row>
    <row r="6" customFormat="false" ht="15" hidden="false" customHeight="true" outlineLevel="0" collapsed="false">
      <c r="A6" s="8" t="n">
        <v>2</v>
      </c>
      <c r="B6" s="9" t="str">
        <f aca="false">Catálogos!C3</f>
        <v>Informe GIR / informes al Comité y Consejo</v>
      </c>
      <c r="C6" s="10" t="str">
        <f aca="false">Catálogos!D3</f>
        <v>NRP-20</v>
      </c>
      <c r="D6" s="11" t="n">
        <f aca="false">SUMPRODUCT((Consolidado!$E$5:$E$1000=$B6)*(Consolidado!$C$5:$C$1000="Auditoría Interna")*((($C$2="Todos")+(Consolidado!$I$5:$I$1000&amp;""=$C$2&amp;""))&gt;0))</f>
        <v>5</v>
      </c>
      <c r="E6" s="11" t="n">
        <f aca="false">SUMPRODUCT((Consolidado!$E$5:$E$1000=$B6)*(Consolidado!$C$5:$C$1000="Auditoría Externa")*((($C$2="Todos")+(Consolidado!$I$5:$I$1000&amp;""=$C$2&amp;""))&gt;0))</f>
        <v>0</v>
      </c>
      <c r="F6" s="11" t="n">
        <f aca="false">SUMPRODUCT((Consolidado!$E$5:$E$1000=$B6)*(Consolidado!$C$5:$C$1000="SSF")*((($C$2="Todos")+(Consolidado!$I$5:$I$1000&amp;""=$C$2&amp;""))&gt;0))</f>
        <v>0</v>
      </c>
      <c r="G6" s="11" t="n">
        <f aca="false">SUMPRODUCT((Consolidado!$E$5:$E$1000=$B6)*(Consolidado!$C$5:$C$1000="Comité de Supervisión")*((($C$2="Todos")+(Consolidado!$I$5:$I$1000&amp;""=$C$2&amp;""))&gt;0))</f>
        <v>0</v>
      </c>
      <c r="H6" s="11" t="n">
        <f aca="false">SUMPRODUCT((Consolidado!$E$5:$E$1000=$B6)*(Consolidado!$C$5:$C$1000="Consejo de Administración")*((($C$2="Todos")+(Consolidado!$I$5:$I$1000&amp;""=$C$2&amp;""))&gt;0))</f>
        <v>0</v>
      </c>
      <c r="I6" s="11" t="n">
        <f aca="false">SUMPRODUCT((Consolidado!$E$5:$E$1000=$B6)*(Consolidado!$C$5:$C$1000="Otros")*((($C$2="Todos")+(Consolidado!$I$5:$I$1000&amp;""=$C$2&amp;""))&gt;0))</f>
        <v>0</v>
      </c>
      <c r="J6" s="12" t="n">
        <f aca="false">SUM(D6:I6)</f>
        <v>5</v>
      </c>
      <c r="K6" s="12" t="n">
        <f aca="false">SUMPRODUCT((Consolidado!$E$5:$E$1000=$B6)*(Consolidado!$AE$5:$AE$1000)*((($C$2="Todos")+(Consolidado!$I$5:$I$1000&amp;""=$C$2&amp;""))&gt;0))</f>
        <v>2</v>
      </c>
      <c r="L6" s="8" t="n">
        <f aca="false">COUNTIF(D6:I6,"&gt;0")</f>
        <v>1</v>
      </c>
      <c r="M6" s="13" t="str">
        <f aca="false">IF(L6&gt;=2,"Sí","No")</f>
        <v>No</v>
      </c>
      <c r="N6" s="8" t="n">
        <f aca="false">IF(J6=0,"",RANK(J6,$J$5:$J$33))</f>
        <v>5</v>
      </c>
      <c r="O6" s="11" t="n">
        <f aca="false">SUMPRODUCT((Consolidado!$E$5:$E$1000=$B6)*(MONTH(Consolidado!$B$5:$B$1000+0*(Consolidado!$B$5:$B$1000=""))=1)*(Consolidado!$B$5:$B$1000&lt;&gt;"")*((($C$2="Todos")+(Consolidado!$I$5:$I$1000&amp;""=$C$2&amp;""))&gt;0))</f>
        <v>0</v>
      </c>
      <c r="P6" s="11" t="n">
        <f aca="false">SUMPRODUCT((Consolidado!$E$5:$E$1000=$B6)*(MONTH(Consolidado!$B$5:$B$1000+0*(Consolidado!$B$5:$B$1000=""))=2)*(Consolidado!$B$5:$B$1000&lt;&gt;"")*((($C$2="Todos")+(Consolidado!$I$5:$I$1000&amp;""=$C$2&amp;""))&gt;0))</f>
        <v>0</v>
      </c>
      <c r="Q6" s="11" t="n">
        <f aca="false">SUMPRODUCT((Consolidado!$E$5:$E$1000=$B6)*(MONTH(Consolidado!$B$5:$B$1000+0*(Consolidado!$B$5:$B$1000=""))=3)*(Consolidado!$B$5:$B$1000&lt;&gt;"")*((($C$2="Todos")+(Consolidado!$I$5:$I$1000&amp;""=$C$2&amp;""))&gt;0))</f>
        <v>0</v>
      </c>
      <c r="R6" s="11" t="n">
        <f aca="false">SUMPRODUCT((Consolidado!$E$5:$E$1000=$B6)*(MONTH(Consolidado!$B$5:$B$1000+0*(Consolidado!$B$5:$B$1000=""))=4)*(Consolidado!$B$5:$B$1000&lt;&gt;"")*((($C$2="Todos")+(Consolidado!$I$5:$I$1000&amp;""=$C$2&amp;""))&gt;0))</f>
        <v>0</v>
      </c>
      <c r="S6" s="11" t="n">
        <f aca="false">SUMPRODUCT((Consolidado!$E$5:$E$1000=$B6)*(MONTH(Consolidado!$B$5:$B$1000+0*(Consolidado!$B$5:$B$1000=""))=5)*(Consolidado!$B$5:$B$1000&lt;&gt;"")*((($C$2="Todos")+(Consolidado!$I$5:$I$1000&amp;""=$C$2&amp;""))&gt;0))</f>
        <v>1</v>
      </c>
      <c r="T6" s="11" t="n">
        <f aca="false">SUMPRODUCT((Consolidado!$E$5:$E$1000=$B6)*(MONTH(Consolidado!$B$5:$B$1000+0*(Consolidado!$B$5:$B$1000=""))=6)*(Consolidado!$B$5:$B$1000&lt;&gt;"")*((($C$2="Todos")+(Consolidado!$I$5:$I$1000&amp;""=$C$2&amp;""))&gt;0))</f>
        <v>0</v>
      </c>
      <c r="U6" s="11" t="n">
        <f aca="false">SUMPRODUCT((Consolidado!$E$5:$E$1000=$B6)*(MONTH(Consolidado!$B$5:$B$1000+0*(Consolidado!$B$5:$B$1000=""))=7)*(Consolidado!$B$5:$B$1000&lt;&gt;"")*((($C$2="Todos")+(Consolidado!$I$5:$I$1000&amp;""=$C$2&amp;""))&gt;0))</f>
        <v>0</v>
      </c>
      <c r="V6" s="11" t="n">
        <f aca="false">SUMPRODUCT((Consolidado!$E$5:$E$1000=$B6)*(MONTH(Consolidado!$B$5:$B$1000+0*(Consolidado!$B$5:$B$1000=""))=8)*(Consolidado!$B$5:$B$1000&lt;&gt;"")*((($C$2="Todos")+(Consolidado!$I$5:$I$1000&amp;""=$C$2&amp;""))&gt;0))</f>
        <v>4</v>
      </c>
      <c r="W6" s="11" t="n">
        <f aca="false">SUMPRODUCT((Consolidado!$E$5:$E$1000=$B6)*(MONTH(Consolidado!$B$5:$B$1000+0*(Consolidado!$B$5:$B$1000=""))=9)*(Consolidado!$B$5:$B$1000&lt;&gt;"")*((($C$2="Todos")+(Consolidado!$I$5:$I$1000&amp;""=$C$2&amp;""))&gt;0))</f>
        <v>0</v>
      </c>
      <c r="X6" s="11" t="n">
        <f aca="false">SUMPRODUCT((Consolidado!$E$5:$E$1000=$B6)*(MONTH(Consolidado!$B$5:$B$1000+0*(Consolidado!$B$5:$B$1000=""))=10)*(Consolidado!$B$5:$B$1000&lt;&gt;"")*((($C$2="Todos")+(Consolidado!$I$5:$I$1000&amp;""=$C$2&amp;""))&gt;0))</f>
        <v>0</v>
      </c>
      <c r="Y6" s="11" t="n">
        <f aca="false">SUMPRODUCT((Consolidado!$E$5:$E$1000=$B6)*(MONTH(Consolidado!$B$5:$B$1000+0*(Consolidado!$B$5:$B$1000=""))=11)*(Consolidado!$B$5:$B$1000&lt;&gt;"")*((($C$2="Todos")+(Consolidado!$I$5:$I$1000&amp;""=$C$2&amp;""))&gt;0))</f>
        <v>0</v>
      </c>
      <c r="Z6" s="11" t="n">
        <f aca="false">SUMPRODUCT((Consolidado!$E$5:$E$1000=$B6)*(MONTH(Consolidado!$B$5:$B$1000+0*(Consolidado!$B$5:$B$1000=""))=12)*(Consolidado!$B$5:$B$1000&lt;&gt;"")*((($C$2="Todos")+(Consolidado!$I$5:$I$1000&amp;""=$C$2&amp;""))&gt;0))</f>
        <v>0</v>
      </c>
    </row>
    <row r="7" customFormat="false" ht="15" hidden="false" customHeight="true" outlineLevel="0" collapsed="false">
      <c r="A7" s="8" t="n">
        <v>3</v>
      </c>
      <c r="B7" s="9" t="str">
        <f aca="false">Catálogos!C4</f>
        <v>Plan de trabajo y capacitaciones de riesgos</v>
      </c>
      <c r="C7" s="10" t="str">
        <f aca="false">Catálogos!D4</f>
        <v>NRP-20</v>
      </c>
      <c r="D7" s="11" t="n">
        <f aca="false">SUMPRODUCT((Consolidado!$E$5:$E$1000=$B7)*(Consolidado!$C$5:$C$1000="Auditoría Interna")*((($C$2="Todos")+(Consolidado!$I$5:$I$1000&amp;""=$C$2&amp;""))&gt;0))</f>
        <v>7</v>
      </c>
      <c r="E7" s="11" t="n">
        <f aca="false">SUMPRODUCT((Consolidado!$E$5:$E$1000=$B7)*(Consolidado!$C$5:$C$1000="Auditoría Externa")*((($C$2="Todos")+(Consolidado!$I$5:$I$1000&amp;""=$C$2&amp;""))&gt;0))</f>
        <v>0</v>
      </c>
      <c r="F7" s="11" t="n">
        <f aca="false">SUMPRODUCT((Consolidado!$E$5:$E$1000=$B7)*(Consolidado!$C$5:$C$1000="SSF")*((($C$2="Todos")+(Consolidado!$I$5:$I$1000&amp;""=$C$2&amp;""))&gt;0))</f>
        <v>0</v>
      </c>
      <c r="G7" s="11" t="n">
        <f aca="false">SUMPRODUCT((Consolidado!$E$5:$E$1000=$B7)*(Consolidado!$C$5:$C$1000="Comité de Supervisión")*((($C$2="Todos")+(Consolidado!$I$5:$I$1000&amp;""=$C$2&amp;""))&gt;0))</f>
        <v>0</v>
      </c>
      <c r="H7" s="11" t="n">
        <f aca="false">SUMPRODUCT((Consolidado!$E$5:$E$1000=$B7)*(Consolidado!$C$5:$C$1000="Consejo de Administración")*((($C$2="Todos")+(Consolidado!$I$5:$I$1000&amp;""=$C$2&amp;""))&gt;0))</f>
        <v>0</v>
      </c>
      <c r="I7" s="11" t="n">
        <f aca="false">SUMPRODUCT((Consolidado!$E$5:$E$1000=$B7)*(Consolidado!$C$5:$C$1000="Otros")*((($C$2="Todos")+(Consolidado!$I$5:$I$1000&amp;""=$C$2&amp;""))&gt;0))</f>
        <v>0</v>
      </c>
      <c r="J7" s="12" t="n">
        <f aca="false">SUM(D7:I7)</f>
        <v>7</v>
      </c>
      <c r="K7" s="12" t="n">
        <f aca="false">SUMPRODUCT((Consolidado!$E$5:$E$1000=$B7)*(Consolidado!$AE$5:$AE$1000)*((($C$2="Todos")+(Consolidado!$I$5:$I$1000&amp;""=$C$2&amp;""))&gt;0))</f>
        <v>2</v>
      </c>
      <c r="L7" s="8" t="n">
        <f aca="false">COUNTIF(D7:I7,"&gt;0")</f>
        <v>1</v>
      </c>
      <c r="M7" s="13" t="str">
        <f aca="false">IF(L7&gt;=2,"Sí","No")</f>
        <v>No</v>
      </c>
      <c r="N7" s="8" t="n">
        <f aca="false">IF(J7=0,"",RANK(J7,$J$5:$J$33))</f>
        <v>3</v>
      </c>
      <c r="O7" s="11" t="n">
        <f aca="false">SUMPRODUCT((Consolidado!$E$5:$E$1000=$B7)*(MONTH(Consolidado!$B$5:$B$1000+0*(Consolidado!$B$5:$B$1000=""))=1)*(Consolidado!$B$5:$B$1000&lt;&gt;"")*((($C$2="Todos")+(Consolidado!$I$5:$I$1000&amp;""=$C$2&amp;""))&gt;0))</f>
        <v>0</v>
      </c>
      <c r="P7" s="11" t="n">
        <f aca="false">SUMPRODUCT((Consolidado!$E$5:$E$1000=$B7)*(MONTH(Consolidado!$B$5:$B$1000+0*(Consolidado!$B$5:$B$1000=""))=2)*(Consolidado!$B$5:$B$1000&lt;&gt;"")*((($C$2="Todos")+(Consolidado!$I$5:$I$1000&amp;""=$C$2&amp;""))&gt;0))</f>
        <v>0</v>
      </c>
      <c r="Q7" s="11" t="n">
        <f aca="false">SUMPRODUCT((Consolidado!$E$5:$E$1000=$B7)*(MONTH(Consolidado!$B$5:$B$1000+0*(Consolidado!$B$5:$B$1000=""))=3)*(Consolidado!$B$5:$B$1000&lt;&gt;"")*((($C$2="Todos")+(Consolidado!$I$5:$I$1000&amp;""=$C$2&amp;""))&gt;0))</f>
        <v>0</v>
      </c>
      <c r="R7" s="11" t="n">
        <f aca="false">SUMPRODUCT((Consolidado!$E$5:$E$1000=$B7)*(MONTH(Consolidado!$B$5:$B$1000+0*(Consolidado!$B$5:$B$1000=""))=4)*(Consolidado!$B$5:$B$1000&lt;&gt;"")*((($C$2="Todos")+(Consolidado!$I$5:$I$1000&amp;""=$C$2&amp;""))&gt;0))</f>
        <v>0</v>
      </c>
      <c r="S7" s="11" t="n">
        <f aca="false">SUMPRODUCT((Consolidado!$E$5:$E$1000=$B7)*(MONTH(Consolidado!$B$5:$B$1000+0*(Consolidado!$B$5:$B$1000=""))=5)*(Consolidado!$B$5:$B$1000&lt;&gt;"")*((($C$2="Todos")+(Consolidado!$I$5:$I$1000&amp;""=$C$2&amp;""))&gt;0))</f>
        <v>1</v>
      </c>
      <c r="T7" s="11" t="n">
        <f aca="false">SUMPRODUCT((Consolidado!$E$5:$E$1000=$B7)*(MONTH(Consolidado!$B$5:$B$1000+0*(Consolidado!$B$5:$B$1000=""))=6)*(Consolidado!$B$5:$B$1000&lt;&gt;"")*((($C$2="Todos")+(Consolidado!$I$5:$I$1000&amp;""=$C$2&amp;""))&gt;0))</f>
        <v>0</v>
      </c>
      <c r="U7" s="11" t="n">
        <f aca="false">SUMPRODUCT((Consolidado!$E$5:$E$1000=$B7)*(MONTH(Consolidado!$B$5:$B$1000+0*(Consolidado!$B$5:$B$1000=""))=7)*(Consolidado!$B$5:$B$1000&lt;&gt;"")*((($C$2="Todos")+(Consolidado!$I$5:$I$1000&amp;""=$C$2&amp;""))&gt;0))</f>
        <v>0</v>
      </c>
      <c r="V7" s="11" t="n">
        <f aca="false">SUMPRODUCT((Consolidado!$E$5:$E$1000=$B7)*(MONTH(Consolidado!$B$5:$B$1000+0*(Consolidado!$B$5:$B$1000=""))=8)*(Consolidado!$B$5:$B$1000&lt;&gt;"")*((($C$2="Todos")+(Consolidado!$I$5:$I$1000&amp;""=$C$2&amp;""))&gt;0))</f>
        <v>6</v>
      </c>
      <c r="W7" s="11" t="n">
        <f aca="false">SUMPRODUCT((Consolidado!$E$5:$E$1000=$B7)*(MONTH(Consolidado!$B$5:$B$1000+0*(Consolidado!$B$5:$B$1000=""))=9)*(Consolidado!$B$5:$B$1000&lt;&gt;"")*((($C$2="Todos")+(Consolidado!$I$5:$I$1000&amp;""=$C$2&amp;""))&gt;0))</f>
        <v>0</v>
      </c>
      <c r="X7" s="11" t="n">
        <f aca="false">SUMPRODUCT((Consolidado!$E$5:$E$1000=$B7)*(MONTH(Consolidado!$B$5:$B$1000+0*(Consolidado!$B$5:$B$1000=""))=10)*(Consolidado!$B$5:$B$1000&lt;&gt;"")*((($C$2="Todos")+(Consolidado!$I$5:$I$1000&amp;""=$C$2&amp;""))&gt;0))</f>
        <v>0</v>
      </c>
      <c r="Y7" s="11" t="n">
        <f aca="false">SUMPRODUCT((Consolidado!$E$5:$E$1000=$B7)*(MONTH(Consolidado!$B$5:$B$1000+0*(Consolidado!$B$5:$B$1000=""))=11)*(Consolidado!$B$5:$B$1000&lt;&gt;"")*((($C$2="Todos")+(Consolidado!$I$5:$I$1000&amp;""=$C$2&amp;""))&gt;0))</f>
        <v>0</v>
      </c>
      <c r="Z7" s="11" t="n">
        <f aca="false">SUMPRODUCT((Consolidado!$E$5:$E$1000=$B7)*(MONTH(Consolidado!$B$5:$B$1000+0*(Consolidado!$B$5:$B$1000=""))=12)*(Consolidado!$B$5:$B$1000&lt;&gt;"")*((($C$2="Todos")+(Consolidado!$I$5:$I$1000&amp;""=$C$2&amp;""))&gt;0))</f>
        <v>0</v>
      </c>
    </row>
    <row r="8" customFormat="false" ht="15" hidden="false" customHeight="true" outlineLevel="0" collapsed="false">
      <c r="A8" s="8" t="n">
        <v>4</v>
      </c>
      <c r="B8" s="9" t="str">
        <f aca="false">Catálogos!C5</f>
        <v>Políticas, manuales y divulgación GIR</v>
      </c>
      <c r="C8" s="10" t="str">
        <f aca="false">Catálogos!D5</f>
        <v>NRP-20</v>
      </c>
      <c r="D8" s="11" t="n">
        <f aca="false">SUMPRODUCT((Consolidado!$E$5:$E$1000=$B8)*(Consolidado!$C$5:$C$1000="Auditoría Interna")*((($C$2="Todos")+(Consolidado!$I$5:$I$1000&amp;""=$C$2&amp;""))&gt;0))</f>
        <v>2</v>
      </c>
      <c r="E8" s="11" t="n">
        <f aca="false">SUMPRODUCT((Consolidado!$E$5:$E$1000=$B8)*(Consolidado!$C$5:$C$1000="Auditoría Externa")*((($C$2="Todos")+(Consolidado!$I$5:$I$1000&amp;""=$C$2&amp;""))&gt;0))</f>
        <v>0</v>
      </c>
      <c r="F8" s="11" t="n">
        <f aca="false">SUMPRODUCT((Consolidado!$E$5:$E$1000=$B8)*(Consolidado!$C$5:$C$1000="SSF")*((($C$2="Todos")+(Consolidado!$I$5:$I$1000&amp;""=$C$2&amp;""))&gt;0))</f>
        <v>0</v>
      </c>
      <c r="G8" s="11" t="n">
        <f aca="false">SUMPRODUCT((Consolidado!$E$5:$E$1000=$B8)*(Consolidado!$C$5:$C$1000="Comité de Supervisión")*((($C$2="Todos")+(Consolidado!$I$5:$I$1000&amp;""=$C$2&amp;""))&gt;0))</f>
        <v>0</v>
      </c>
      <c r="H8" s="11" t="n">
        <f aca="false">SUMPRODUCT((Consolidado!$E$5:$E$1000=$B8)*(Consolidado!$C$5:$C$1000="Consejo de Administración")*((($C$2="Todos")+(Consolidado!$I$5:$I$1000&amp;""=$C$2&amp;""))&gt;0))</f>
        <v>0</v>
      </c>
      <c r="I8" s="11" t="n">
        <f aca="false">SUMPRODUCT((Consolidado!$E$5:$E$1000=$B8)*(Consolidado!$C$5:$C$1000="Otros")*((($C$2="Todos")+(Consolidado!$I$5:$I$1000&amp;""=$C$2&amp;""))&gt;0))</f>
        <v>0</v>
      </c>
      <c r="J8" s="12" t="n">
        <f aca="false">SUM(D8:I8)</f>
        <v>2</v>
      </c>
      <c r="K8" s="12" t="n">
        <f aca="false">SUMPRODUCT((Consolidado!$E$5:$E$1000=$B8)*(Consolidado!$AE$5:$AE$1000)*((($C$2="Todos")+(Consolidado!$I$5:$I$1000&amp;""=$C$2&amp;""))&gt;0))</f>
        <v>1</v>
      </c>
      <c r="L8" s="8" t="n">
        <f aca="false">COUNTIF(D8:I8,"&gt;0")</f>
        <v>1</v>
      </c>
      <c r="M8" s="13" t="str">
        <f aca="false">IF(L8&gt;=2,"Sí","No")</f>
        <v>No</v>
      </c>
      <c r="N8" s="8" t="n">
        <f aca="false">IF(J8=0,"",RANK(J8,$J$5:$J$33))</f>
        <v>12</v>
      </c>
      <c r="O8" s="11" t="n">
        <f aca="false">SUMPRODUCT((Consolidado!$E$5:$E$1000=$B8)*(MONTH(Consolidado!$B$5:$B$1000+0*(Consolidado!$B$5:$B$1000=""))=1)*(Consolidado!$B$5:$B$1000&lt;&gt;"")*((($C$2="Todos")+(Consolidado!$I$5:$I$1000&amp;""=$C$2&amp;""))&gt;0))</f>
        <v>0</v>
      </c>
      <c r="P8" s="11" t="n">
        <f aca="false">SUMPRODUCT((Consolidado!$E$5:$E$1000=$B8)*(MONTH(Consolidado!$B$5:$B$1000+0*(Consolidado!$B$5:$B$1000=""))=2)*(Consolidado!$B$5:$B$1000&lt;&gt;"")*((($C$2="Todos")+(Consolidado!$I$5:$I$1000&amp;""=$C$2&amp;""))&gt;0))</f>
        <v>0</v>
      </c>
      <c r="Q8" s="11" t="n">
        <f aca="false">SUMPRODUCT((Consolidado!$E$5:$E$1000=$B8)*(MONTH(Consolidado!$B$5:$B$1000+0*(Consolidado!$B$5:$B$1000=""))=3)*(Consolidado!$B$5:$B$1000&lt;&gt;"")*((($C$2="Todos")+(Consolidado!$I$5:$I$1000&amp;""=$C$2&amp;""))&gt;0))</f>
        <v>0</v>
      </c>
      <c r="R8" s="11" t="n">
        <f aca="false">SUMPRODUCT((Consolidado!$E$5:$E$1000=$B8)*(MONTH(Consolidado!$B$5:$B$1000+0*(Consolidado!$B$5:$B$1000=""))=4)*(Consolidado!$B$5:$B$1000&lt;&gt;"")*((($C$2="Todos")+(Consolidado!$I$5:$I$1000&amp;""=$C$2&amp;""))&gt;0))</f>
        <v>0</v>
      </c>
      <c r="S8" s="11" t="n">
        <f aca="false">SUMPRODUCT((Consolidado!$E$5:$E$1000=$B8)*(MONTH(Consolidado!$B$5:$B$1000+0*(Consolidado!$B$5:$B$1000=""))=5)*(Consolidado!$B$5:$B$1000&lt;&gt;"")*((($C$2="Todos")+(Consolidado!$I$5:$I$1000&amp;""=$C$2&amp;""))&gt;0))</f>
        <v>0</v>
      </c>
      <c r="T8" s="11" t="n">
        <f aca="false">SUMPRODUCT((Consolidado!$E$5:$E$1000=$B8)*(MONTH(Consolidado!$B$5:$B$1000+0*(Consolidado!$B$5:$B$1000=""))=6)*(Consolidado!$B$5:$B$1000&lt;&gt;"")*((($C$2="Todos")+(Consolidado!$I$5:$I$1000&amp;""=$C$2&amp;""))&gt;0))</f>
        <v>0</v>
      </c>
      <c r="U8" s="11" t="n">
        <f aca="false">SUMPRODUCT((Consolidado!$E$5:$E$1000=$B8)*(MONTH(Consolidado!$B$5:$B$1000+0*(Consolidado!$B$5:$B$1000=""))=7)*(Consolidado!$B$5:$B$1000&lt;&gt;"")*((($C$2="Todos")+(Consolidado!$I$5:$I$1000&amp;""=$C$2&amp;""))&gt;0))</f>
        <v>0</v>
      </c>
      <c r="V8" s="11" t="n">
        <f aca="false">SUMPRODUCT((Consolidado!$E$5:$E$1000=$B8)*(MONTH(Consolidado!$B$5:$B$1000+0*(Consolidado!$B$5:$B$1000=""))=8)*(Consolidado!$B$5:$B$1000&lt;&gt;"")*((($C$2="Todos")+(Consolidado!$I$5:$I$1000&amp;""=$C$2&amp;""))&gt;0))</f>
        <v>2</v>
      </c>
      <c r="W8" s="11" t="n">
        <f aca="false">SUMPRODUCT((Consolidado!$E$5:$E$1000=$B8)*(MONTH(Consolidado!$B$5:$B$1000+0*(Consolidado!$B$5:$B$1000=""))=9)*(Consolidado!$B$5:$B$1000&lt;&gt;"")*((($C$2="Todos")+(Consolidado!$I$5:$I$1000&amp;""=$C$2&amp;""))&gt;0))</f>
        <v>0</v>
      </c>
      <c r="X8" s="11" t="n">
        <f aca="false">SUMPRODUCT((Consolidado!$E$5:$E$1000=$B8)*(MONTH(Consolidado!$B$5:$B$1000+0*(Consolidado!$B$5:$B$1000=""))=10)*(Consolidado!$B$5:$B$1000&lt;&gt;"")*((($C$2="Todos")+(Consolidado!$I$5:$I$1000&amp;""=$C$2&amp;""))&gt;0))</f>
        <v>0</v>
      </c>
      <c r="Y8" s="11" t="n">
        <f aca="false">SUMPRODUCT((Consolidado!$E$5:$E$1000=$B8)*(MONTH(Consolidado!$B$5:$B$1000+0*(Consolidado!$B$5:$B$1000=""))=11)*(Consolidado!$B$5:$B$1000&lt;&gt;"")*((($C$2="Todos")+(Consolidado!$I$5:$I$1000&amp;""=$C$2&amp;""))&gt;0))</f>
        <v>0</v>
      </c>
      <c r="Z8" s="11" t="n">
        <f aca="false">SUMPRODUCT((Consolidado!$E$5:$E$1000=$B8)*(MONTH(Consolidado!$B$5:$B$1000+0*(Consolidado!$B$5:$B$1000=""))=12)*(Consolidado!$B$5:$B$1000&lt;&gt;"")*((($C$2="Todos")+(Consolidado!$I$5:$I$1000&amp;""=$C$2&amp;""))&gt;0))</f>
        <v>0</v>
      </c>
    </row>
    <row r="9" customFormat="false" ht="15" hidden="false" customHeight="true" outlineLevel="0" collapsed="false">
      <c r="A9" s="8" t="n">
        <v>5</v>
      </c>
      <c r="B9" s="9" t="str">
        <f aca="false">Catálogos!C6</f>
        <v>Pérdida Esperada</v>
      </c>
      <c r="C9" s="10" t="str">
        <f aca="false">Catálogos!D6</f>
        <v>NCB-022</v>
      </c>
      <c r="D9" s="11" t="n">
        <f aca="false">SUMPRODUCT((Consolidado!$E$5:$E$1000=$B9)*(Consolidado!$C$5:$C$1000="Auditoría Interna")*((($C$2="Todos")+(Consolidado!$I$5:$I$1000&amp;""=$C$2&amp;""))&gt;0))</f>
        <v>1</v>
      </c>
      <c r="E9" s="11" t="n">
        <f aca="false">SUMPRODUCT((Consolidado!$E$5:$E$1000=$B9)*(Consolidado!$C$5:$C$1000="Auditoría Externa")*((($C$2="Todos")+(Consolidado!$I$5:$I$1000&amp;""=$C$2&amp;""))&gt;0))</f>
        <v>2</v>
      </c>
      <c r="F9" s="11" t="n">
        <f aca="false">SUMPRODUCT((Consolidado!$E$5:$E$1000=$B9)*(Consolidado!$C$5:$C$1000="SSF")*((($C$2="Todos")+(Consolidado!$I$5:$I$1000&amp;""=$C$2&amp;""))&gt;0))</f>
        <v>0</v>
      </c>
      <c r="G9" s="11" t="n">
        <f aca="false">SUMPRODUCT((Consolidado!$E$5:$E$1000=$B9)*(Consolidado!$C$5:$C$1000="Comité de Supervisión")*((($C$2="Todos")+(Consolidado!$I$5:$I$1000&amp;""=$C$2&amp;""))&gt;0))</f>
        <v>0</v>
      </c>
      <c r="H9" s="11" t="n">
        <f aca="false">SUMPRODUCT((Consolidado!$E$5:$E$1000=$B9)*(Consolidado!$C$5:$C$1000="Consejo de Administración")*((($C$2="Todos")+(Consolidado!$I$5:$I$1000&amp;""=$C$2&amp;""))&gt;0))</f>
        <v>0</v>
      </c>
      <c r="I9" s="11" t="n">
        <f aca="false">SUMPRODUCT((Consolidado!$E$5:$E$1000=$B9)*(Consolidado!$C$5:$C$1000="Otros")*((($C$2="Todos")+(Consolidado!$I$5:$I$1000&amp;""=$C$2&amp;""))&gt;0))</f>
        <v>0</v>
      </c>
      <c r="J9" s="12" t="n">
        <f aca="false">SUM(D9:I9)</f>
        <v>3</v>
      </c>
      <c r="K9" s="12" t="n">
        <f aca="false">SUMPRODUCT((Consolidado!$E$5:$E$1000=$B9)*(Consolidado!$AE$5:$AE$1000)*((($C$2="Todos")+(Consolidado!$I$5:$I$1000&amp;""=$C$2&amp;""))&gt;0))</f>
        <v>2</v>
      </c>
      <c r="L9" s="8" t="n">
        <f aca="false">COUNTIF(D9:I9,"&gt;0")</f>
        <v>2</v>
      </c>
      <c r="M9" s="13" t="str">
        <f aca="false">IF(L9&gt;=2,"Sí","No")</f>
        <v>Sí</v>
      </c>
      <c r="N9" s="8" t="n">
        <f aca="false">IF(J9=0,"",RANK(J9,$J$5:$J$33))</f>
        <v>8</v>
      </c>
      <c r="O9" s="11" t="n">
        <f aca="false">SUMPRODUCT((Consolidado!$E$5:$E$1000=$B9)*(MONTH(Consolidado!$B$5:$B$1000+0*(Consolidado!$B$5:$B$1000=""))=1)*(Consolidado!$B$5:$B$1000&lt;&gt;"")*((($C$2="Todos")+(Consolidado!$I$5:$I$1000&amp;""=$C$2&amp;""))&gt;0))</f>
        <v>0</v>
      </c>
      <c r="P9" s="11" t="n">
        <f aca="false">SUMPRODUCT((Consolidado!$E$5:$E$1000=$B9)*(MONTH(Consolidado!$B$5:$B$1000+0*(Consolidado!$B$5:$B$1000=""))=2)*(Consolidado!$B$5:$B$1000&lt;&gt;"")*((($C$2="Todos")+(Consolidado!$I$5:$I$1000&amp;""=$C$2&amp;""))&gt;0))</f>
        <v>0</v>
      </c>
      <c r="Q9" s="11" t="n">
        <f aca="false">SUMPRODUCT((Consolidado!$E$5:$E$1000=$B9)*(MONTH(Consolidado!$B$5:$B$1000+0*(Consolidado!$B$5:$B$1000=""))=3)*(Consolidado!$B$5:$B$1000&lt;&gt;"")*((($C$2="Todos")+(Consolidado!$I$5:$I$1000&amp;""=$C$2&amp;""))&gt;0))</f>
        <v>0</v>
      </c>
      <c r="R9" s="11" t="n">
        <f aca="false">SUMPRODUCT((Consolidado!$E$5:$E$1000=$B9)*(MONTH(Consolidado!$B$5:$B$1000+0*(Consolidado!$B$5:$B$1000=""))=4)*(Consolidado!$B$5:$B$1000&lt;&gt;"")*((($C$2="Todos")+(Consolidado!$I$5:$I$1000&amp;""=$C$2&amp;""))&gt;0))</f>
        <v>0</v>
      </c>
      <c r="S9" s="11" t="n">
        <f aca="false">SUMPRODUCT((Consolidado!$E$5:$E$1000=$B9)*(MONTH(Consolidado!$B$5:$B$1000+0*(Consolidado!$B$5:$B$1000=""))=5)*(Consolidado!$B$5:$B$1000&lt;&gt;"")*((($C$2="Todos")+(Consolidado!$I$5:$I$1000&amp;""=$C$2&amp;""))&gt;0))</f>
        <v>1</v>
      </c>
      <c r="T9" s="11" t="n">
        <f aca="false">SUMPRODUCT((Consolidado!$E$5:$E$1000=$B9)*(MONTH(Consolidado!$B$5:$B$1000+0*(Consolidado!$B$5:$B$1000=""))=6)*(Consolidado!$B$5:$B$1000&lt;&gt;"")*((($C$2="Todos")+(Consolidado!$I$5:$I$1000&amp;""=$C$2&amp;""))&gt;0))</f>
        <v>0</v>
      </c>
      <c r="U9" s="11" t="n">
        <f aca="false">SUMPRODUCT((Consolidado!$E$5:$E$1000=$B9)*(MONTH(Consolidado!$B$5:$B$1000+0*(Consolidado!$B$5:$B$1000=""))=7)*(Consolidado!$B$5:$B$1000&lt;&gt;"")*((($C$2="Todos")+(Consolidado!$I$5:$I$1000&amp;""=$C$2&amp;""))&gt;0))</f>
        <v>0</v>
      </c>
      <c r="V9" s="11" t="n">
        <f aca="false">SUMPRODUCT((Consolidado!$E$5:$E$1000=$B9)*(MONTH(Consolidado!$B$5:$B$1000+0*(Consolidado!$B$5:$B$1000=""))=8)*(Consolidado!$B$5:$B$1000&lt;&gt;"")*((($C$2="Todos")+(Consolidado!$I$5:$I$1000&amp;""=$C$2&amp;""))&gt;0))</f>
        <v>0</v>
      </c>
      <c r="W9" s="11" t="n">
        <f aca="false">SUMPRODUCT((Consolidado!$E$5:$E$1000=$B9)*(MONTH(Consolidado!$B$5:$B$1000+0*(Consolidado!$B$5:$B$1000=""))=9)*(Consolidado!$B$5:$B$1000&lt;&gt;"")*((($C$2="Todos")+(Consolidado!$I$5:$I$1000&amp;""=$C$2&amp;""))&gt;0))</f>
        <v>0</v>
      </c>
      <c r="X9" s="11" t="n">
        <f aca="false">SUMPRODUCT((Consolidado!$E$5:$E$1000=$B9)*(MONTH(Consolidado!$B$5:$B$1000+0*(Consolidado!$B$5:$B$1000=""))=10)*(Consolidado!$B$5:$B$1000&lt;&gt;"")*((($C$2="Todos")+(Consolidado!$I$5:$I$1000&amp;""=$C$2&amp;""))&gt;0))</f>
        <v>2</v>
      </c>
      <c r="Y9" s="11" t="n">
        <f aca="false">SUMPRODUCT((Consolidado!$E$5:$E$1000=$B9)*(MONTH(Consolidado!$B$5:$B$1000+0*(Consolidado!$B$5:$B$1000=""))=11)*(Consolidado!$B$5:$B$1000&lt;&gt;"")*((($C$2="Todos")+(Consolidado!$I$5:$I$1000&amp;""=$C$2&amp;""))&gt;0))</f>
        <v>0</v>
      </c>
      <c r="Z9" s="11" t="n">
        <f aca="false">SUMPRODUCT((Consolidado!$E$5:$E$1000=$B9)*(MONTH(Consolidado!$B$5:$B$1000+0*(Consolidado!$B$5:$B$1000=""))=12)*(Consolidado!$B$5:$B$1000&lt;&gt;"")*((($C$2="Todos")+(Consolidado!$I$5:$I$1000&amp;""=$C$2&amp;""))&gt;0))</f>
        <v>0</v>
      </c>
    </row>
    <row r="10" customFormat="false" ht="15" hidden="false" customHeight="true" outlineLevel="0" collapsed="false">
      <c r="A10" s="8" t="n">
        <v>6</v>
      </c>
      <c r="B10" s="9" t="str">
        <f aca="false">Catálogos!C7</f>
        <v>Clasificación de cartera, mora y reservas</v>
      </c>
      <c r="C10" s="10" t="str">
        <f aca="false">Catálogos!D7</f>
        <v>NCB-022</v>
      </c>
      <c r="D10" s="11" t="n">
        <f aca="false">SUMPRODUCT((Consolidado!$E$5:$E$1000=$B10)*(Consolidado!$C$5:$C$1000="Auditoría Interna")*((($C$2="Todos")+(Consolidado!$I$5:$I$1000&amp;""=$C$2&amp;""))&gt;0))</f>
        <v>1</v>
      </c>
      <c r="E10" s="11" t="n">
        <f aca="false">SUMPRODUCT((Consolidado!$E$5:$E$1000=$B10)*(Consolidado!$C$5:$C$1000="Auditoría Externa")*((($C$2="Todos")+(Consolidado!$I$5:$I$1000&amp;""=$C$2&amp;""))&gt;0))</f>
        <v>3</v>
      </c>
      <c r="F10" s="11" t="n">
        <f aca="false">SUMPRODUCT((Consolidado!$E$5:$E$1000=$B10)*(Consolidado!$C$5:$C$1000="SSF")*((($C$2="Todos")+(Consolidado!$I$5:$I$1000&amp;""=$C$2&amp;""))&gt;0))</f>
        <v>2</v>
      </c>
      <c r="G10" s="11" t="n">
        <f aca="false">SUMPRODUCT((Consolidado!$E$5:$E$1000=$B10)*(Consolidado!$C$5:$C$1000="Comité de Supervisión")*((($C$2="Todos")+(Consolidado!$I$5:$I$1000&amp;""=$C$2&amp;""))&gt;0))</f>
        <v>0</v>
      </c>
      <c r="H10" s="11" t="n">
        <f aca="false">SUMPRODUCT((Consolidado!$E$5:$E$1000=$B10)*(Consolidado!$C$5:$C$1000="Consejo de Administración")*((($C$2="Todos")+(Consolidado!$I$5:$I$1000&amp;""=$C$2&amp;""))&gt;0))</f>
        <v>0</v>
      </c>
      <c r="I10" s="11" t="n">
        <f aca="false">SUMPRODUCT((Consolidado!$E$5:$E$1000=$B10)*(Consolidado!$C$5:$C$1000="Otros")*((($C$2="Todos")+(Consolidado!$I$5:$I$1000&amp;""=$C$2&amp;""))&gt;0))</f>
        <v>0</v>
      </c>
      <c r="J10" s="12" t="n">
        <f aca="false">SUM(D10:I10)</f>
        <v>6</v>
      </c>
      <c r="K10" s="12" t="n">
        <f aca="false">SUMPRODUCT((Consolidado!$E$5:$E$1000=$B10)*(Consolidado!$AE$5:$AE$1000)*((($C$2="Todos")+(Consolidado!$I$5:$I$1000&amp;""=$C$2&amp;""))&gt;0))</f>
        <v>4</v>
      </c>
      <c r="L10" s="8" t="n">
        <f aca="false">COUNTIF(D10:I10,"&gt;0")</f>
        <v>3</v>
      </c>
      <c r="M10" s="13" t="str">
        <f aca="false">IF(L10&gt;=2,"Sí","No")</f>
        <v>Sí</v>
      </c>
      <c r="N10" s="8" t="n">
        <f aca="false">IF(J10=0,"",RANK(J10,$J$5:$J$33))</f>
        <v>4</v>
      </c>
      <c r="O10" s="11" t="n">
        <f aca="false">SUMPRODUCT((Consolidado!$E$5:$E$1000=$B10)*(MONTH(Consolidado!$B$5:$B$1000+0*(Consolidado!$B$5:$B$1000=""))=1)*(Consolidado!$B$5:$B$1000&lt;&gt;"")*((($C$2="Todos")+(Consolidado!$I$5:$I$1000&amp;""=$C$2&amp;""))&gt;0))</f>
        <v>1</v>
      </c>
      <c r="P10" s="11" t="n">
        <f aca="false">SUMPRODUCT((Consolidado!$E$5:$E$1000=$B10)*(MONTH(Consolidado!$B$5:$B$1000+0*(Consolidado!$B$5:$B$1000=""))=2)*(Consolidado!$B$5:$B$1000&lt;&gt;"")*((($C$2="Todos")+(Consolidado!$I$5:$I$1000&amp;""=$C$2&amp;""))&gt;0))</f>
        <v>0</v>
      </c>
      <c r="Q10" s="11" t="n">
        <f aca="false">SUMPRODUCT((Consolidado!$E$5:$E$1000=$B10)*(MONTH(Consolidado!$B$5:$B$1000+0*(Consolidado!$B$5:$B$1000=""))=3)*(Consolidado!$B$5:$B$1000&lt;&gt;"")*((($C$2="Todos")+(Consolidado!$I$5:$I$1000&amp;""=$C$2&amp;""))&gt;0))</f>
        <v>0</v>
      </c>
      <c r="R10" s="11" t="n">
        <f aca="false">SUMPRODUCT((Consolidado!$E$5:$E$1000=$B10)*(MONTH(Consolidado!$B$5:$B$1000+0*(Consolidado!$B$5:$B$1000=""))=4)*(Consolidado!$B$5:$B$1000&lt;&gt;"")*((($C$2="Todos")+(Consolidado!$I$5:$I$1000&amp;""=$C$2&amp;""))&gt;0))</f>
        <v>0</v>
      </c>
      <c r="S10" s="11" t="n">
        <f aca="false">SUMPRODUCT((Consolidado!$E$5:$E$1000=$B10)*(MONTH(Consolidado!$B$5:$B$1000+0*(Consolidado!$B$5:$B$1000=""))=5)*(Consolidado!$B$5:$B$1000&lt;&gt;"")*((($C$2="Todos")+(Consolidado!$I$5:$I$1000&amp;""=$C$2&amp;""))&gt;0))</f>
        <v>1</v>
      </c>
      <c r="T10" s="11" t="n">
        <f aca="false">SUMPRODUCT((Consolidado!$E$5:$E$1000=$B10)*(MONTH(Consolidado!$B$5:$B$1000+0*(Consolidado!$B$5:$B$1000=""))=6)*(Consolidado!$B$5:$B$1000&lt;&gt;"")*((($C$2="Todos")+(Consolidado!$I$5:$I$1000&amp;""=$C$2&amp;""))&gt;0))</f>
        <v>0</v>
      </c>
      <c r="U10" s="11" t="n">
        <f aca="false">SUMPRODUCT((Consolidado!$E$5:$E$1000=$B10)*(MONTH(Consolidado!$B$5:$B$1000+0*(Consolidado!$B$5:$B$1000=""))=7)*(Consolidado!$B$5:$B$1000&lt;&gt;"")*((($C$2="Todos")+(Consolidado!$I$5:$I$1000&amp;""=$C$2&amp;""))&gt;0))</f>
        <v>0</v>
      </c>
      <c r="V10" s="11" t="n">
        <f aca="false">SUMPRODUCT((Consolidado!$E$5:$E$1000=$B10)*(MONTH(Consolidado!$B$5:$B$1000+0*(Consolidado!$B$5:$B$1000=""))=8)*(Consolidado!$B$5:$B$1000&lt;&gt;"")*((($C$2="Todos")+(Consolidado!$I$5:$I$1000&amp;""=$C$2&amp;""))&gt;0))</f>
        <v>1</v>
      </c>
      <c r="W10" s="11" t="n">
        <f aca="false">SUMPRODUCT((Consolidado!$E$5:$E$1000=$B10)*(MONTH(Consolidado!$B$5:$B$1000+0*(Consolidado!$B$5:$B$1000=""))=9)*(Consolidado!$B$5:$B$1000&lt;&gt;"")*((($C$2="Todos")+(Consolidado!$I$5:$I$1000&amp;""=$C$2&amp;""))&gt;0))</f>
        <v>0</v>
      </c>
      <c r="X10" s="11" t="n">
        <f aca="false">SUMPRODUCT((Consolidado!$E$5:$E$1000=$B10)*(MONTH(Consolidado!$B$5:$B$1000+0*(Consolidado!$B$5:$B$1000=""))=10)*(Consolidado!$B$5:$B$1000&lt;&gt;"")*((($C$2="Todos")+(Consolidado!$I$5:$I$1000&amp;""=$C$2&amp;""))&gt;0))</f>
        <v>3</v>
      </c>
      <c r="Y10" s="11" t="n">
        <f aca="false">SUMPRODUCT((Consolidado!$E$5:$E$1000=$B10)*(MONTH(Consolidado!$B$5:$B$1000+0*(Consolidado!$B$5:$B$1000=""))=11)*(Consolidado!$B$5:$B$1000&lt;&gt;"")*((($C$2="Todos")+(Consolidado!$I$5:$I$1000&amp;""=$C$2&amp;""))&gt;0))</f>
        <v>0</v>
      </c>
      <c r="Z10" s="11" t="n">
        <f aca="false">SUMPRODUCT((Consolidado!$E$5:$E$1000=$B10)*(MONTH(Consolidado!$B$5:$B$1000+0*(Consolidado!$B$5:$B$1000=""))=12)*(Consolidado!$B$5:$B$1000&lt;&gt;"")*((($C$2="Todos")+(Consolidado!$I$5:$I$1000&amp;""=$C$2&amp;""))&gt;0))</f>
        <v>0</v>
      </c>
    </row>
    <row r="11" customFormat="false" ht="15" hidden="false" customHeight="true" outlineLevel="0" collapsed="false">
      <c r="A11" s="8" t="n">
        <v>7</v>
      </c>
      <c r="B11" s="9" t="str">
        <f aca="false">Catálogos!C8</f>
        <v>Concentración crediticia</v>
      </c>
      <c r="C11" s="10" t="str">
        <f aca="false">Catálogos!D8</f>
        <v>NPB4-49</v>
      </c>
      <c r="D11" s="11" t="n">
        <f aca="false">SUMPRODUCT((Consolidado!$E$5:$E$1000=$B11)*(Consolidado!$C$5:$C$1000="Auditoría Interna")*((($C$2="Todos")+(Consolidado!$I$5:$I$1000&amp;""=$C$2&amp;""))&gt;0))</f>
        <v>0</v>
      </c>
      <c r="E11" s="11" t="n">
        <f aca="false">SUMPRODUCT((Consolidado!$E$5:$E$1000=$B11)*(Consolidado!$C$5:$C$1000="Auditoría Externa")*((($C$2="Todos")+(Consolidado!$I$5:$I$1000&amp;""=$C$2&amp;""))&gt;0))</f>
        <v>3</v>
      </c>
      <c r="F11" s="11" t="n">
        <f aca="false">SUMPRODUCT((Consolidado!$E$5:$E$1000=$B11)*(Consolidado!$C$5:$C$1000="SSF")*((($C$2="Todos")+(Consolidado!$I$5:$I$1000&amp;""=$C$2&amp;""))&gt;0))</f>
        <v>0</v>
      </c>
      <c r="G11" s="11" t="n">
        <f aca="false">SUMPRODUCT((Consolidado!$E$5:$E$1000=$B11)*(Consolidado!$C$5:$C$1000="Comité de Supervisión")*((($C$2="Todos")+(Consolidado!$I$5:$I$1000&amp;""=$C$2&amp;""))&gt;0))</f>
        <v>0</v>
      </c>
      <c r="H11" s="11" t="n">
        <f aca="false">SUMPRODUCT((Consolidado!$E$5:$E$1000=$B11)*(Consolidado!$C$5:$C$1000="Consejo de Administración")*((($C$2="Todos")+(Consolidado!$I$5:$I$1000&amp;""=$C$2&amp;""))&gt;0))</f>
        <v>0</v>
      </c>
      <c r="I11" s="11" t="n">
        <f aca="false">SUMPRODUCT((Consolidado!$E$5:$E$1000=$B11)*(Consolidado!$C$5:$C$1000="Otros")*((($C$2="Todos")+(Consolidado!$I$5:$I$1000&amp;""=$C$2&amp;""))&gt;0))</f>
        <v>0</v>
      </c>
      <c r="J11" s="12" t="n">
        <f aca="false">SUM(D11:I11)</f>
        <v>3</v>
      </c>
      <c r="K11" s="12" t="n">
        <f aca="false">SUMPRODUCT((Consolidado!$E$5:$E$1000=$B11)*(Consolidado!$AE$5:$AE$1000)*((($C$2="Todos")+(Consolidado!$I$5:$I$1000&amp;""=$C$2&amp;""))&gt;0))</f>
        <v>1</v>
      </c>
      <c r="L11" s="8" t="n">
        <f aca="false">COUNTIF(D11:I11,"&gt;0")</f>
        <v>1</v>
      </c>
      <c r="M11" s="13" t="str">
        <f aca="false">IF(L11&gt;=2,"Sí","No")</f>
        <v>No</v>
      </c>
      <c r="N11" s="8" t="n">
        <f aca="false">IF(J11=0,"",RANK(J11,$J$5:$J$33))</f>
        <v>8</v>
      </c>
      <c r="O11" s="11" t="n">
        <f aca="false">SUMPRODUCT((Consolidado!$E$5:$E$1000=$B11)*(MONTH(Consolidado!$B$5:$B$1000+0*(Consolidado!$B$5:$B$1000=""))=1)*(Consolidado!$B$5:$B$1000&lt;&gt;"")*((($C$2="Todos")+(Consolidado!$I$5:$I$1000&amp;""=$C$2&amp;""))&gt;0))</f>
        <v>0</v>
      </c>
      <c r="P11" s="11" t="n">
        <f aca="false">SUMPRODUCT((Consolidado!$E$5:$E$1000=$B11)*(MONTH(Consolidado!$B$5:$B$1000+0*(Consolidado!$B$5:$B$1000=""))=2)*(Consolidado!$B$5:$B$1000&lt;&gt;"")*((($C$2="Todos")+(Consolidado!$I$5:$I$1000&amp;""=$C$2&amp;""))&gt;0))</f>
        <v>0</v>
      </c>
      <c r="Q11" s="11" t="n">
        <f aca="false">SUMPRODUCT((Consolidado!$E$5:$E$1000=$B11)*(MONTH(Consolidado!$B$5:$B$1000+0*(Consolidado!$B$5:$B$1000=""))=3)*(Consolidado!$B$5:$B$1000&lt;&gt;"")*((($C$2="Todos")+(Consolidado!$I$5:$I$1000&amp;""=$C$2&amp;""))&gt;0))</f>
        <v>0</v>
      </c>
      <c r="R11" s="11" t="n">
        <f aca="false">SUMPRODUCT((Consolidado!$E$5:$E$1000=$B11)*(MONTH(Consolidado!$B$5:$B$1000+0*(Consolidado!$B$5:$B$1000=""))=4)*(Consolidado!$B$5:$B$1000&lt;&gt;"")*((($C$2="Todos")+(Consolidado!$I$5:$I$1000&amp;""=$C$2&amp;""))&gt;0))</f>
        <v>0</v>
      </c>
      <c r="S11" s="11" t="n">
        <f aca="false">SUMPRODUCT((Consolidado!$E$5:$E$1000=$B11)*(MONTH(Consolidado!$B$5:$B$1000+0*(Consolidado!$B$5:$B$1000=""))=5)*(Consolidado!$B$5:$B$1000&lt;&gt;"")*((($C$2="Todos")+(Consolidado!$I$5:$I$1000&amp;""=$C$2&amp;""))&gt;0))</f>
        <v>0</v>
      </c>
      <c r="T11" s="11" t="n">
        <f aca="false">SUMPRODUCT((Consolidado!$E$5:$E$1000=$B11)*(MONTH(Consolidado!$B$5:$B$1000+0*(Consolidado!$B$5:$B$1000=""))=6)*(Consolidado!$B$5:$B$1000&lt;&gt;"")*((($C$2="Todos")+(Consolidado!$I$5:$I$1000&amp;""=$C$2&amp;""))&gt;0))</f>
        <v>0</v>
      </c>
      <c r="U11" s="11" t="n">
        <f aca="false">SUMPRODUCT((Consolidado!$E$5:$E$1000=$B11)*(MONTH(Consolidado!$B$5:$B$1000+0*(Consolidado!$B$5:$B$1000=""))=7)*(Consolidado!$B$5:$B$1000&lt;&gt;"")*((($C$2="Todos")+(Consolidado!$I$5:$I$1000&amp;""=$C$2&amp;""))&gt;0))</f>
        <v>0</v>
      </c>
      <c r="V11" s="11" t="n">
        <f aca="false">SUMPRODUCT((Consolidado!$E$5:$E$1000=$B11)*(MONTH(Consolidado!$B$5:$B$1000+0*(Consolidado!$B$5:$B$1000=""))=8)*(Consolidado!$B$5:$B$1000&lt;&gt;"")*((($C$2="Todos")+(Consolidado!$I$5:$I$1000&amp;""=$C$2&amp;""))&gt;0))</f>
        <v>0</v>
      </c>
      <c r="W11" s="11" t="n">
        <f aca="false">SUMPRODUCT((Consolidado!$E$5:$E$1000=$B11)*(MONTH(Consolidado!$B$5:$B$1000+0*(Consolidado!$B$5:$B$1000=""))=9)*(Consolidado!$B$5:$B$1000&lt;&gt;"")*((($C$2="Todos")+(Consolidado!$I$5:$I$1000&amp;""=$C$2&amp;""))&gt;0))</f>
        <v>0</v>
      </c>
      <c r="X11" s="11" t="n">
        <f aca="false">SUMPRODUCT((Consolidado!$E$5:$E$1000=$B11)*(MONTH(Consolidado!$B$5:$B$1000+0*(Consolidado!$B$5:$B$1000=""))=10)*(Consolidado!$B$5:$B$1000&lt;&gt;"")*((($C$2="Todos")+(Consolidado!$I$5:$I$1000&amp;""=$C$2&amp;""))&gt;0))</f>
        <v>3</v>
      </c>
      <c r="Y11" s="11" t="n">
        <f aca="false">SUMPRODUCT((Consolidado!$E$5:$E$1000=$B11)*(MONTH(Consolidado!$B$5:$B$1000+0*(Consolidado!$B$5:$B$1000=""))=11)*(Consolidado!$B$5:$B$1000&lt;&gt;"")*((($C$2="Todos")+(Consolidado!$I$5:$I$1000&amp;""=$C$2&amp;""))&gt;0))</f>
        <v>0</v>
      </c>
      <c r="Z11" s="11" t="n">
        <f aca="false">SUMPRODUCT((Consolidado!$E$5:$E$1000=$B11)*(MONTH(Consolidado!$B$5:$B$1000+0*(Consolidado!$B$5:$B$1000=""))=12)*(Consolidado!$B$5:$B$1000&lt;&gt;"")*((($C$2="Todos")+(Consolidado!$I$5:$I$1000&amp;""=$C$2&amp;""))&gt;0))</f>
        <v>0</v>
      </c>
    </row>
    <row r="12" customFormat="false" ht="15" hidden="false" customHeight="true" outlineLevel="0" collapsed="false">
      <c r="A12" s="8" t="n">
        <v>8</v>
      </c>
      <c r="B12" s="9" t="str">
        <f aca="false">Catálogos!C9</f>
        <v>Créditos a personas relacionadas</v>
      </c>
      <c r="C12" s="10" t="str">
        <f aca="false">Catálogos!D9</f>
        <v>Por validar</v>
      </c>
      <c r="D12" s="11" t="n">
        <f aca="false">SUMPRODUCT((Consolidado!$E$5:$E$1000=$B12)*(Consolidado!$C$5:$C$1000="Auditoría Interna")*((($C$2="Todos")+(Consolidado!$I$5:$I$1000&amp;""=$C$2&amp;""))&gt;0))</f>
        <v>0</v>
      </c>
      <c r="E12" s="11" t="n">
        <f aca="false">SUMPRODUCT((Consolidado!$E$5:$E$1000=$B12)*(Consolidado!$C$5:$C$1000="Auditoría Externa")*((($C$2="Todos")+(Consolidado!$I$5:$I$1000&amp;""=$C$2&amp;""))&gt;0))</f>
        <v>1</v>
      </c>
      <c r="F12" s="11" t="n">
        <f aca="false">SUMPRODUCT((Consolidado!$E$5:$E$1000=$B12)*(Consolidado!$C$5:$C$1000="SSF")*((($C$2="Todos")+(Consolidado!$I$5:$I$1000&amp;""=$C$2&amp;""))&gt;0))</f>
        <v>0</v>
      </c>
      <c r="G12" s="11" t="n">
        <f aca="false">SUMPRODUCT((Consolidado!$E$5:$E$1000=$B12)*(Consolidado!$C$5:$C$1000="Comité de Supervisión")*((($C$2="Todos")+(Consolidado!$I$5:$I$1000&amp;""=$C$2&amp;""))&gt;0))</f>
        <v>0</v>
      </c>
      <c r="H12" s="11" t="n">
        <f aca="false">SUMPRODUCT((Consolidado!$E$5:$E$1000=$B12)*(Consolidado!$C$5:$C$1000="Consejo de Administración")*((($C$2="Todos")+(Consolidado!$I$5:$I$1000&amp;""=$C$2&amp;""))&gt;0))</f>
        <v>0</v>
      </c>
      <c r="I12" s="11" t="n">
        <f aca="false">SUMPRODUCT((Consolidado!$E$5:$E$1000=$B12)*(Consolidado!$C$5:$C$1000="Otros")*((($C$2="Todos")+(Consolidado!$I$5:$I$1000&amp;""=$C$2&amp;""))&gt;0))</f>
        <v>0</v>
      </c>
      <c r="J12" s="12" t="n">
        <f aca="false">SUM(D12:I12)</f>
        <v>1</v>
      </c>
      <c r="K12" s="12" t="n">
        <f aca="false">SUMPRODUCT((Consolidado!$E$5:$E$1000=$B12)*(Consolidado!$AE$5:$AE$1000)*((($C$2="Todos")+(Consolidado!$I$5:$I$1000&amp;""=$C$2&amp;""))&gt;0))</f>
        <v>1</v>
      </c>
      <c r="L12" s="8" t="n">
        <f aca="false">COUNTIF(D12:I12,"&gt;0")</f>
        <v>1</v>
      </c>
      <c r="M12" s="13" t="str">
        <f aca="false">IF(L12&gt;=2,"Sí","No")</f>
        <v>No</v>
      </c>
      <c r="N12" s="8" t="n">
        <f aca="false">IF(J12=0,"",RANK(J12,$J$5:$J$33))</f>
        <v>17</v>
      </c>
      <c r="O12" s="11" t="n">
        <f aca="false">SUMPRODUCT((Consolidado!$E$5:$E$1000=$B12)*(MONTH(Consolidado!$B$5:$B$1000+0*(Consolidado!$B$5:$B$1000=""))=1)*(Consolidado!$B$5:$B$1000&lt;&gt;"")*((($C$2="Todos")+(Consolidado!$I$5:$I$1000&amp;""=$C$2&amp;""))&gt;0))</f>
        <v>0</v>
      </c>
      <c r="P12" s="11" t="n">
        <f aca="false">SUMPRODUCT((Consolidado!$E$5:$E$1000=$B12)*(MONTH(Consolidado!$B$5:$B$1000+0*(Consolidado!$B$5:$B$1000=""))=2)*(Consolidado!$B$5:$B$1000&lt;&gt;"")*((($C$2="Todos")+(Consolidado!$I$5:$I$1000&amp;""=$C$2&amp;""))&gt;0))</f>
        <v>0</v>
      </c>
      <c r="Q12" s="11" t="n">
        <f aca="false">SUMPRODUCT((Consolidado!$E$5:$E$1000=$B12)*(MONTH(Consolidado!$B$5:$B$1000+0*(Consolidado!$B$5:$B$1000=""))=3)*(Consolidado!$B$5:$B$1000&lt;&gt;"")*((($C$2="Todos")+(Consolidado!$I$5:$I$1000&amp;""=$C$2&amp;""))&gt;0))</f>
        <v>0</v>
      </c>
      <c r="R12" s="11" t="n">
        <f aca="false">SUMPRODUCT((Consolidado!$E$5:$E$1000=$B12)*(MONTH(Consolidado!$B$5:$B$1000+0*(Consolidado!$B$5:$B$1000=""))=4)*(Consolidado!$B$5:$B$1000&lt;&gt;"")*((($C$2="Todos")+(Consolidado!$I$5:$I$1000&amp;""=$C$2&amp;""))&gt;0))</f>
        <v>0</v>
      </c>
      <c r="S12" s="11" t="n">
        <f aca="false">SUMPRODUCT((Consolidado!$E$5:$E$1000=$B12)*(MONTH(Consolidado!$B$5:$B$1000+0*(Consolidado!$B$5:$B$1000=""))=5)*(Consolidado!$B$5:$B$1000&lt;&gt;"")*((($C$2="Todos")+(Consolidado!$I$5:$I$1000&amp;""=$C$2&amp;""))&gt;0))</f>
        <v>0</v>
      </c>
      <c r="T12" s="11" t="n">
        <f aca="false">SUMPRODUCT((Consolidado!$E$5:$E$1000=$B12)*(MONTH(Consolidado!$B$5:$B$1000+0*(Consolidado!$B$5:$B$1000=""))=6)*(Consolidado!$B$5:$B$1000&lt;&gt;"")*((($C$2="Todos")+(Consolidado!$I$5:$I$1000&amp;""=$C$2&amp;""))&gt;0))</f>
        <v>0</v>
      </c>
      <c r="U12" s="11" t="n">
        <f aca="false">SUMPRODUCT((Consolidado!$E$5:$E$1000=$B12)*(MONTH(Consolidado!$B$5:$B$1000+0*(Consolidado!$B$5:$B$1000=""))=7)*(Consolidado!$B$5:$B$1000&lt;&gt;"")*((($C$2="Todos")+(Consolidado!$I$5:$I$1000&amp;""=$C$2&amp;""))&gt;0))</f>
        <v>0</v>
      </c>
      <c r="V12" s="11" t="n">
        <f aca="false">SUMPRODUCT((Consolidado!$E$5:$E$1000=$B12)*(MONTH(Consolidado!$B$5:$B$1000+0*(Consolidado!$B$5:$B$1000=""))=8)*(Consolidado!$B$5:$B$1000&lt;&gt;"")*((($C$2="Todos")+(Consolidado!$I$5:$I$1000&amp;""=$C$2&amp;""))&gt;0))</f>
        <v>0</v>
      </c>
      <c r="W12" s="11" t="n">
        <f aca="false">SUMPRODUCT((Consolidado!$E$5:$E$1000=$B12)*(MONTH(Consolidado!$B$5:$B$1000+0*(Consolidado!$B$5:$B$1000=""))=9)*(Consolidado!$B$5:$B$1000&lt;&gt;"")*((($C$2="Todos")+(Consolidado!$I$5:$I$1000&amp;""=$C$2&amp;""))&gt;0))</f>
        <v>0</v>
      </c>
      <c r="X12" s="11" t="n">
        <f aca="false">SUMPRODUCT((Consolidado!$E$5:$E$1000=$B12)*(MONTH(Consolidado!$B$5:$B$1000+0*(Consolidado!$B$5:$B$1000=""))=10)*(Consolidado!$B$5:$B$1000&lt;&gt;"")*((($C$2="Todos")+(Consolidado!$I$5:$I$1000&amp;""=$C$2&amp;""))&gt;0))</f>
        <v>1</v>
      </c>
      <c r="Y12" s="11" t="n">
        <f aca="false">SUMPRODUCT((Consolidado!$E$5:$E$1000=$B12)*(MONTH(Consolidado!$B$5:$B$1000+0*(Consolidado!$B$5:$B$1000=""))=11)*(Consolidado!$B$5:$B$1000&lt;&gt;"")*((($C$2="Todos")+(Consolidado!$I$5:$I$1000&amp;""=$C$2&amp;""))&gt;0))</f>
        <v>0</v>
      </c>
      <c r="Z12" s="11" t="n">
        <f aca="false">SUMPRODUCT((Consolidado!$E$5:$E$1000=$B12)*(MONTH(Consolidado!$B$5:$B$1000+0*(Consolidado!$B$5:$B$1000=""))=12)*(Consolidado!$B$5:$B$1000&lt;&gt;"")*((($C$2="Todos")+(Consolidado!$I$5:$I$1000&amp;""=$C$2&amp;""))&gt;0))</f>
        <v>0</v>
      </c>
    </row>
    <row r="13" customFormat="false" ht="15" hidden="false" customHeight="true" outlineLevel="0" collapsed="false">
      <c r="A13" s="8" t="n">
        <v>9</v>
      </c>
      <c r="B13" s="9" t="str">
        <f aca="false">Catálogos!C10</f>
        <v>Valúos y garantías</v>
      </c>
      <c r="C13" s="10" t="str">
        <f aca="false">Catálogos!D10</f>
        <v>NRP-25</v>
      </c>
      <c r="D13" s="11" t="n">
        <f aca="false">SUMPRODUCT((Consolidado!$E$5:$E$1000=$B13)*(Consolidado!$C$5:$C$1000="Auditoría Interna")*((($C$2="Todos")+(Consolidado!$I$5:$I$1000&amp;""=$C$2&amp;""))&gt;0))</f>
        <v>1</v>
      </c>
      <c r="E13" s="11" t="n">
        <f aca="false">SUMPRODUCT((Consolidado!$E$5:$E$1000=$B13)*(Consolidado!$C$5:$C$1000="Auditoría Externa")*((($C$2="Todos")+(Consolidado!$I$5:$I$1000&amp;""=$C$2&amp;""))&gt;0))</f>
        <v>0</v>
      </c>
      <c r="F13" s="11" t="n">
        <f aca="false">SUMPRODUCT((Consolidado!$E$5:$E$1000=$B13)*(Consolidado!$C$5:$C$1000="SSF")*((($C$2="Todos")+(Consolidado!$I$5:$I$1000&amp;""=$C$2&amp;""))&gt;0))</f>
        <v>1</v>
      </c>
      <c r="G13" s="11" t="n">
        <f aca="false">SUMPRODUCT((Consolidado!$E$5:$E$1000=$B13)*(Consolidado!$C$5:$C$1000="Comité de Supervisión")*((($C$2="Todos")+(Consolidado!$I$5:$I$1000&amp;""=$C$2&amp;""))&gt;0))</f>
        <v>0</v>
      </c>
      <c r="H13" s="11" t="n">
        <f aca="false">SUMPRODUCT((Consolidado!$E$5:$E$1000=$B13)*(Consolidado!$C$5:$C$1000="Consejo de Administración")*((($C$2="Todos")+(Consolidado!$I$5:$I$1000&amp;""=$C$2&amp;""))&gt;0))</f>
        <v>0</v>
      </c>
      <c r="I13" s="11" t="n">
        <f aca="false">SUMPRODUCT((Consolidado!$E$5:$E$1000=$B13)*(Consolidado!$C$5:$C$1000="Otros")*((($C$2="Todos")+(Consolidado!$I$5:$I$1000&amp;""=$C$2&amp;""))&gt;0))</f>
        <v>0</v>
      </c>
      <c r="J13" s="12" t="n">
        <f aca="false">SUM(D13:I13)</f>
        <v>2</v>
      </c>
      <c r="K13" s="12" t="n">
        <f aca="false">SUMPRODUCT((Consolidado!$E$5:$E$1000=$B13)*(Consolidado!$AE$5:$AE$1000)*((($C$2="Todos")+(Consolidado!$I$5:$I$1000&amp;""=$C$2&amp;""))&gt;0))</f>
        <v>2</v>
      </c>
      <c r="L13" s="8" t="n">
        <f aca="false">COUNTIF(D13:I13,"&gt;0")</f>
        <v>2</v>
      </c>
      <c r="M13" s="13" t="str">
        <f aca="false">IF(L13&gt;=2,"Sí","No")</f>
        <v>Sí</v>
      </c>
      <c r="N13" s="8" t="n">
        <f aca="false">IF(J13=0,"",RANK(J13,$J$5:$J$33))</f>
        <v>12</v>
      </c>
      <c r="O13" s="11" t="n">
        <f aca="false">SUMPRODUCT((Consolidado!$E$5:$E$1000=$B13)*(MONTH(Consolidado!$B$5:$B$1000+0*(Consolidado!$B$5:$B$1000=""))=1)*(Consolidado!$B$5:$B$1000&lt;&gt;"")*((($C$2="Todos")+(Consolidado!$I$5:$I$1000&amp;""=$C$2&amp;""))&gt;0))</f>
        <v>0</v>
      </c>
      <c r="P13" s="11" t="n">
        <f aca="false">SUMPRODUCT((Consolidado!$E$5:$E$1000=$B13)*(MONTH(Consolidado!$B$5:$B$1000+0*(Consolidado!$B$5:$B$1000=""))=2)*(Consolidado!$B$5:$B$1000&lt;&gt;"")*((($C$2="Todos")+(Consolidado!$I$5:$I$1000&amp;""=$C$2&amp;""))&gt;0))</f>
        <v>0</v>
      </c>
      <c r="Q13" s="11" t="n">
        <f aca="false">SUMPRODUCT((Consolidado!$E$5:$E$1000=$B13)*(MONTH(Consolidado!$B$5:$B$1000+0*(Consolidado!$B$5:$B$1000=""))=3)*(Consolidado!$B$5:$B$1000&lt;&gt;"")*((($C$2="Todos")+(Consolidado!$I$5:$I$1000&amp;""=$C$2&amp;""))&gt;0))</f>
        <v>0</v>
      </c>
      <c r="R13" s="11" t="n">
        <f aca="false">SUMPRODUCT((Consolidado!$E$5:$E$1000=$B13)*(MONTH(Consolidado!$B$5:$B$1000+0*(Consolidado!$B$5:$B$1000=""))=4)*(Consolidado!$B$5:$B$1000&lt;&gt;"")*((($C$2="Todos")+(Consolidado!$I$5:$I$1000&amp;""=$C$2&amp;""))&gt;0))</f>
        <v>1</v>
      </c>
      <c r="S13" s="11" t="n">
        <f aca="false">SUMPRODUCT((Consolidado!$E$5:$E$1000=$B13)*(MONTH(Consolidado!$B$5:$B$1000+0*(Consolidado!$B$5:$B$1000=""))=5)*(Consolidado!$B$5:$B$1000&lt;&gt;"")*((($C$2="Todos")+(Consolidado!$I$5:$I$1000&amp;""=$C$2&amp;""))&gt;0))</f>
        <v>1</v>
      </c>
      <c r="T13" s="11" t="n">
        <f aca="false">SUMPRODUCT((Consolidado!$E$5:$E$1000=$B13)*(MONTH(Consolidado!$B$5:$B$1000+0*(Consolidado!$B$5:$B$1000=""))=6)*(Consolidado!$B$5:$B$1000&lt;&gt;"")*((($C$2="Todos")+(Consolidado!$I$5:$I$1000&amp;""=$C$2&amp;""))&gt;0))</f>
        <v>0</v>
      </c>
      <c r="U13" s="11" t="n">
        <f aca="false">SUMPRODUCT((Consolidado!$E$5:$E$1000=$B13)*(MONTH(Consolidado!$B$5:$B$1000+0*(Consolidado!$B$5:$B$1000=""))=7)*(Consolidado!$B$5:$B$1000&lt;&gt;"")*((($C$2="Todos")+(Consolidado!$I$5:$I$1000&amp;""=$C$2&amp;""))&gt;0))</f>
        <v>0</v>
      </c>
      <c r="V13" s="11" t="n">
        <f aca="false">SUMPRODUCT((Consolidado!$E$5:$E$1000=$B13)*(MONTH(Consolidado!$B$5:$B$1000+0*(Consolidado!$B$5:$B$1000=""))=8)*(Consolidado!$B$5:$B$1000&lt;&gt;"")*((($C$2="Todos")+(Consolidado!$I$5:$I$1000&amp;""=$C$2&amp;""))&gt;0))</f>
        <v>0</v>
      </c>
      <c r="W13" s="11" t="n">
        <f aca="false">SUMPRODUCT((Consolidado!$E$5:$E$1000=$B13)*(MONTH(Consolidado!$B$5:$B$1000+0*(Consolidado!$B$5:$B$1000=""))=9)*(Consolidado!$B$5:$B$1000&lt;&gt;"")*((($C$2="Todos")+(Consolidado!$I$5:$I$1000&amp;""=$C$2&amp;""))&gt;0))</f>
        <v>0</v>
      </c>
      <c r="X13" s="11" t="n">
        <f aca="false">SUMPRODUCT((Consolidado!$E$5:$E$1000=$B13)*(MONTH(Consolidado!$B$5:$B$1000+0*(Consolidado!$B$5:$B$1000=""))=10)*(Consolidado!$B$5:$B$1000&lt;&gt;"")*((($C$2="Todos")+(Consolidado!$I$5:$I$1000&amp;""=$C$2&amp;""))&gt;0))</f>
        <v>0</v>
      </c>
      <c r="Y13" s="11" t="n">
        <f aca="false">SUMPRODUCT((Consolidado!$E$5:$E$1000=$B13)*(MONTH(Consolidado!$B$5:$B$1000+0*(Consolidado!$B$5:$B$1000=""))=11)*(Consolidado!$B$5:$B$1000&lt;&gt;"")*((($C$2="Todos")+(Consolidado!$I$5:$I$1000&amp;""=$C$2&amp;""))&gt;0))</f>
        <v>0</v>
      </c>
      <c r="Z13" s="11" t="n">
        <f aca="false">SUMPRODUCT((Consolidado!$E$5:$E$1000=$B13)*(MONTH(Consolidado!$B$5:$B$1000+0*(Consolidado!$B$5:$B$1000=""))=12)*(Consolidado!$B$5:$B$1000&lt;&gt;"")*((($C$2="Todos")+(Consolidado!$I$5:$I$1000&amp;""=$C$2&amp;""))&gt;0))</f>
        <v>0</v>
      </c>
    </row>
    <row r="14" customFormat="false" ht="15" hidden="false" customHeight="true" outlineLevel="0" collapsed="false">
      <c r="A14" s="8" t="n">
        <v>10</v>
      </c>
      <c r="B14" s="9" t="str">
        <f aca="false">Catálogos!C11</f>
        <v>Escenarios de estrés de crédito</v>
      </c>
      <c r="C14" s="10" t="str">
        <f aca="false">Catálogos!D11</f>
        <v>NPB4-49</v>
      </c>
      <c r="D14" s="11" t="n">
        <f aca="false">SUMPRODUCT((Consolidado!$E$5:$E$1000=$B14)*(Consolidado!$C$5:$C$1000="Auditoría Interna")*((($C$2="Todos")+(Consolidado!$I$5:$I$1000&amp;""=$C$2&amp;""))&gt;0))</f>
        <v>1</v>
      </c>
      <c r="E14" s="11" t="n">
        <f aca="false">SUMPRODUCT((Consolidado!$E$5:$E$1000=$B14)*(Consolidado!$C$5:$C$1000="Auditoría Externa")*((($C$2="Todos")+(Consolidado!$I$5:$I$1000&amp;""=$C$2&amp;""))&gt;0))</f>
        <v>0</v>
      </c>
      <c r="F14" s="11" t="n">
        <f aca="false">SUMPRODUCT((Consolidado!$E$5:$E$1000=$B14)*(Consolidado!$C$5:$C$1000="SSF")*((($C$2="Todos")+(Consolidado!$I$5:$I$1000&amp;""=$C$2&amp;""))&gt;0))</f>
        <v>0</v>
      </c>
      <c r="G14" s="11" t="n">
        <f aca="false">SUMPRODUCT((Consolidado!$E$5:$E$1000=$B14)*(Consolidado!$C$5:$C$1000="Comité de Supervisión")*((($C$2="Todos")+(Consolidado!$I$5:$I$1000&amp;""=$C$2&amp;""))&gt;0))</f>
        <v>0</v>
      </c>
      <c r="H14" s="11" t="n">
        <f aca="false">SUMPRODUCT((Consolidado!$E$5:$E$1000=$B14)*(Consolidado!$C$5:$C$1000="Consejo de Administración")*((($C$2="Todos")+(Consolidado!$I$5:$I$1000&amp;""=$C$2&amp;""))&gt;0))</f>
        <v>0</v>
      </c>
      <c r="I14" s="11" t="n">
        <f aca="false">SUMPRODUCT((Consolidado!$E$5:$E$1000=$B14)*(Consolidado!$C$5:$C$1000="Otros")*((($C$2="Todos")+(Consolidado!$I$5:$I$1000&amp;""=$C$2&amp;""))&gt;0))</f>
        <v>0</v>
      </c>
      <c r="J14" s="12" t="n">
        <f aca="false">SUM(D14:I14)</f>
        <v>1</v>
      </c>
      <c r="K14" s="12" t="n">
        <f aca="false">SUMPRODUCT((Consolidado!$E$5:$E$1000=$B14)*(Consolidado!$AE$5:$AE$1000)*((($C$2="Todos")+(Consolidado!$I$5:$I$1000&amp;""=$C$2&amp;""))&gt;0))</f>
        <v>1</v>
      </c>
      <c r="L14" s="8" t="n">
        <f aca="false">COUNTIF(D14:I14,"&gt;0")</f>
        <v>1</v>
      </c>
      <c r="M14" s="13" t="str">
        <f aca="false">IF(L14&gt;=2,"Sí","No")</f>
        <v>No</v>
      </c>
      <c r="N14" s="8" t="n">
        <f aca="false">IF(J14=0,"",RANK(J14,$J$5:$J$33))</f>
        <v>17</v>
      </c>
      <c r="O14" s="11" t="n">
        <f aca="false">SUMPRODUCT((Consolidado!$E$5:$E$1000=$B14)*(MONTH(Consolidado!$B$5:$B$1000+0*(Consolidado!$B$5:$B$1000=""))=1)*(Consolidado!$B$5:$B$1000&lt;&gt;"")*((($C$2="Todos")+(Consolidado!$I$5:$I$1000&amp;""=$C$2&amp;""))&gt;0))</f>
        <v>0</v>
      </c>
      <c r="P14" s="11" t="n">
        <f aca="false">SUMPRODUCT((Consolidado!$E$5:$E$1000=$B14)*(MONTH(Consolidado!$B$5:$B$1000+0*(Consolidado!$B$5:$B$1000=""))=2)*(Consolidado!$B$5:$B$1000&lt;&gt;"")*((($C$2="Todos")+(Consolidado!$I$5:$I$1000&amp;""=$C$2&amp;""))&gt;0))</f>
        <v>0</v>
      </c>
      <c r="Q14" s="11" t="n">
        <f aca="false">SUMPRODUCT((Consolidado!$E$5:$E$1000=$B14)*(MONTH(Consolidado!$B$5:$B$1000+0*(Consolidado!$B$5:$B$1000=""))=3)*(Consolidado!$B$5:$B$1000&lt;&gt;"")*((($C$2="Todos")+(Consolidado!$I$5:$I$1000&amp;""=$C$2&amp;""))&gt;0))</f>
        <v>0</v>
      </c>
      <c r="R14" s="11" t="n">
        <f aca="false">SUMPRODUCT((Consolidado!$E$5:$E$1000=$B14)*(MONTH(Consolidado!$B$5:$B$1000+0*(Consolidado!$B$5:$B$1000=""))=4)*(Consolidado!$B$5:$B$1000&lt;&gt;"")*((($C$2="Todos")+(Consolidado!$I$5:$I$1000&amp;""=$C$2&amp;""))&gt;0))</f>
        <v>0</v>
      </c>
      <c r="S14" s="11" t="n">
        <f aca="false">SUMPRODUCT((Consolidado!$E$5:$E$1000=$B14)*(MONTH(Consolidado!$B$5:$B$1000+0*(Consolidado!$B$5:$B$1000=""))=5)*(Consolidado!$B$5:$B$1000&lt;&gt;"")*((($C$2="Todos")+(Consolidado!$I$5:$I$1000&amp;""=$C$2&amp;""))&gt;0))</f>
        <v>1</v>
      </c>
      <c r="T14" s="11" t="n">
        <f aca="false">SUMPRODUCT((Consolidado!$E$5:$E$1000=$B14)*(MONTH(Consolidado!$B$5:$B$1000+0*(Consolidado!$B$5:$B$1000=""))=6)*(Consolidado!$B$5:$B$1000&lt;&gt;"")*((($C$2="Todos")+(Consolidado!$I$5:$I$1000&amp;""=$C$2&amp;""))&gt;0))</f>
        <v>0</v>
      </c>
      <c r="U14" s="11" t="n">
        <f aca="false">SUMPRODUCT((Consolidado!$E$5:$E$1000=$B14)*(MONTH(Consolidado!$B$5:$B$1000+0*(Consolidado!$B$5:$B$1000=""))=7)*(Consolidado!$B$5:$B$1000&lt;&gt;"")*((($C$2="Todos")+(Consolidado!$I$5:$I$1000&amp;""=$C$2&amp;""))&gt;0))</f>
        <v>0</v>
      </c>
      <c r="V14" s="11" t="n">
        <f aca="false">SUMPRODUCT((Consolidado!$E$5:$E$1000=$B14)*(MONTH(Consolidado!$B$5:$B$1000+0*(Consolidado!$B$5:$B$1000=""))=8)*(Consolidado!$B$5:$B$1000&lt;&gt;"")*((($C$2="Todos")+(Consolidado!$I$5:$I$1000&amp;""=$C$2&amp;""))&gt;0))</f>
        <v>0</v>
      </c>
      <c r="W14" s="11" t="n">
        <f aca="false">SUMPRODUCT((Consolidado!$E$5:$E$1000=$B14)*(MONTH(Consolidado!$B$5:$B$1000+0*(Consolidado!$B$5:$B$1000=""))=9)*(Consolidado!$B$5:$B$1000&lt;&gt;"")*((($C$2="Todos")+(Consolidado!$I$5:$I$1000&amp;""=$C$2&amp;""))&gt;0))</f>
        <v>0</v>
      </c>
      <c r="X14" s="11" t="n">
        <f aca="false">SUMPRODUCT((Consolidado!$E$5:$E$1000=$B14)*(MONTH(Consolidado!$B$5:$B$1000+0*(Consolidado!$B$5:$B$1000=""))=10)*(Consolidado!$B$5:$B$1000&lt;&gt;"")*((($C$2="Todos")+(Consolidado!$I$5:$I$1000&amp;""=$C$2&amp;""))&gt;0))</f>
        <v>0</v>
      </c>
      <c r="Y14" s="11" t="n">
        <f aca="false">SUMPRODUCT((Consolidado!$E$5:$E$1000=$B14)*(MONTH(Consolidado!$B$5:$B$1000+0*(Consolidado!$B$5:$B$1000=""))=11)*(Consolidado!$B$5:$B$1000&lt;&gt;"")*((($C$2="Todos")+(Consolidado!$I$5:$I$1000&amp;""=$C$2&amp;""))&gt;0))</f>
        <v>0</v>
      </c>
      <c r="Z14" s="11" t="n">
        <f aca="false">SUMPRODUCT((Consolidado!$E$5:$E$1000=$B14)*(MONTH(Consolidado!$B$5:$B$1000+0*(Consolidado!$B$5:$B$1000=""))=12)*(Consolidado!$B$5:$B$1000&lt;&gt;"")*((($C$2="Todos")+(Consolidado!$I$5:$I$1000&amp;""=$C$2&amp;""))&gt;0))</f>
        <v>0</v>
      </c>
    </row>
    <row r="15" customFormat="false" ht="15" hidden="false" customHeight="true" outlineLevel="0" collapsed="false">
      <c r="A15" s="8" t="n">
        <v>11</v>
      </c>
      <c r="B15" s="9" t="str">
        <f aca="false">Catálogos!C12</f>
        <v>Matriz de migración / bases de cartera</v>
      </c>
      <c r="C15" s="10" t="str">
        <f aca="false">Catálogos!D12</f>
        <v>NCB-022</v>
      </c>
      <c r="D15" s="11" t="n">
        <f aca="false">SUMPRODUCT((Consolidado!$E$5:$E$1000=$B15)*(Consolidado!$C$5:$C$1000="Auditoría Interna")*((($C$2="Todos")+(Consolidado!$I$5:$I$1000&amp;""=$C$2&amp;""))&gt;0))</f>
        <v>1</v>
      </c>
      <c r="E15" s="11" t="n">
        <f aca="false">SUMPRODUCT((Consolidado!$E$5:$E$1000=$B15)*(Consolidado!$C$5:$C$1000="Auditoría Externa")*((($C$2="Todos")+(Consolidado!$I$5:$I$1000&amp;""=$C$2&amp;""))&gt;0))</f>
        <v>0</v>
      </c>
      <c r="F15" s="11" t="n">
        <f aca="false">SUMPRODUCT((Consolidado!$E$5:$E$1000=$B15)*(Consolidado!$C$5:$C$1000="SSF")*((($C$2="Todos")+(Consolidado!$I$5:$I$1000&amp;""=$C$2&amp;""))&gt;0))</f>
        <v>0</v>
      </c>
      <c r="G15" s="11" t="n">
        <f aca="false">SUMPRODUCT((Consolidado!$E$5:$E$1000=$B15)*(Consolidado!$C$5:$C$1000="Comité de Supervisión")*((($C$2="Todos")+(Consolidado!$I$5:$I$1000&amp;""=$C$2&amp;""))&gt;0))</f>
        <v>0</v>
      </c>
      <c r="H15" s="11" t="n">
        <f aca="false">SUMPRODUCT((Consolidado!$E$5:$E$1000=$B15)*(Consolidado!$C$5:$C$1000="Consejo de Administración")*((($C$2="Todos")+(Consolidado!$I$5:$I$1000&amp;""=$C$2&amp;""))&gt;0))</f>
        <v>0</v>
      </c>
      <c r="I15" s="11" t="n">
        <f aca="false">SUMPRODUCT((Consolidado!$E$5:$E$1000=$B15)*(Consolidado!$C$5:$C$1000="Otros")*((($C$2="Todos")+(Consolidado!$I$5:$I$1000&amp;""=$C$2&amp;""))&gt;0))</f>
        <v>0</v>
      </c>
      <c r="J15" s="12" t="n">
        <f aca="false">SUM(D15:I15)</f>
        <v>1</v>
      </c>
      <c r="K15" s="12" t="n">
        <f aca="false">SUMPRODUCT((Consolidado!$E$5:$E$1000=$B15)*(Consolidado!$AE$5:$AE$1000)*((($C$2="Todos")+(Consolidado!$I$5:$I$1000&amp;""=$C$2&amp;""))&gt;0))</f>
        <v>1</v>
      </c>
      <c r="L15" s="8" t="n">
        <f aca="false">COUNTIF(D15:I15,"&gt;0")</f>
        <v>1</v>
      </c>
      <c r="M15" s="13" t="str">
        <f aca="false">IF(L15&gt;=2,"Sí","No")</f>
        <v>No</v>
      </c>
      <c r="N15" s="8" t="n">
        <f aca="false">IF(J15=0,"",RANK(J15,$J$5:$J$33))</f>
        <v>17</v>
      </c>
      <c r="O15" s="11" t="n">
        <f aca="false">SUMPRODUCT((Consolidado!$E$5:$E$1000=$B15)*(MONTH(Consolidado!$B$5:$B$1000+0*(Consolidado!$B$5:$B$1000=""))=1)*(Consolidado!$B$5:$B$1000&lt;&gt;"")*((($C$2="Todos")+(Consolidado!$I$5:$I$1000&amp;""=$C$2&amp;""))&gt;0))</f>
        <v>0</v>
      </c>
      <c r="P15" s="11" t="n">
        <f aca="false">SUMPRODUCT((Consolidado!$E$5:$E$1000=$B15)*(MONTH(Consolidado!$B$5:$B$1000+0*(Consolidado!$B$5:$B$1000=""))=2)*(Consolidado!$B$5:$B$1000&lt;&gt;"")*((($C$2="Todos")+(Consolidado!$I$5:$I$1000&amp;""=$C$2&amp;""))&gt;0))</f>
        <v>0</v>
      </c>
      <c r="Q15" s="11" t="n">
        <f aca="false">SUMPRODUCT((Consolidado!$E$5:$E$1000=$B15)*(MONTH(Consolidado!$B$5:$B$1000+0*(Consolidado!$B$5:$B$1000=""))=3)*(Consolidado!$B$5:$B$1000&lt;&gt;"")*((($C$2="Todos")+(Consolidado!$I$5:$I$1000&amp;""=$C$2&amp;""))&gt;0))</f>
        <v>0</v>
      </c>
      <c r="R15" s="11" t="n">
        <f aca="false">SUMPRODUCT((Consolidado!$E$5:$E$1000=$B15)*(MONTH(Consolidado!$B$5:$B$1000+0*(Consolidado!$B$5:$B$1000=""))=4)*(Consolidado!$B$5:$B$1000&lt;&gt;"")*((($C$2="Todos")+(Consolidado!$I$5:$I$1000&amp;""=$C$2&amp;""))&gt;0))</f>
        <v>0</v>
      </c>
      <c r="S15" s="11" t="n">
        <f aca="false">SUMPRODUCT((Consolidado!$E$5:$E$1000=$B15)*(MONTH(Consolidado!$B$5:$B$1000+0*(Consolidado!$B$5:$B$1000=""))=5)*(Consolidado!$B$5:$B$1000&lt;&gt;"")*((($C$2="Todos")+(Consolidado!$I$5:$I$1000&amp;""=$C$2&amp;""))&gt;0))</f>
        <v>1</v>
      </c>
      <c r="T15" s="11" t="n">
        <f aca="false">SUMPRODUCT((Consolidado!$E$5:$E$1000=$B15)*(MONTH(Consolidado!$B$5:$B$1000+0*(Consolidado!$B$5:$B$1000=""))=6)*(Consolidado!$B$5:$B$1000&lt;&gt;"")*((($C$2="Todos")+(Consolidado!$I$5:$I$1000&amp;""=$C$2&amp;""))&gt;0))</f>
        <v>0</v>
      </c>
      <c r="U15" s="11" t="n">
        <f aca="false">SUMPRODUCT((Consolidado!$E$5:$E$1000=$B15)*(MONTH(Consolidado!$B$5:$B$1000+0*(Consolidado!$B$5:$B$1000=""))=7)*(Consolidado!$B$5:$B$1000&lt;&gt;"")*((($C$2="Todos")+(Consolidado!$I$5:$I$1000&amp;""=$C$2&amp;""))&gt;0))</f>
        <v>0</v>
      </c>
      <c r="V15" s="11" t="n">
        <f aca="false">SUMPRODUCT((Consolidado!$E$5:$E$1000=$B15)*(MONTH(Consolidado!$B$5:$B$1000+0*(Consolidado!$B$5:$B$1000=""))=8)*(Consolidado!$B$5:$B$1000&lt;&gt;"")*((($C$2="Todos")+(Consolidado!$I$5:$I$1000&amp;""=$C$2&amp;""))&gt;0))</f>
        <v>0</v>
      </c>
      <c r="W15" s="11" t="n">
        <f aca="false">SUMPRODUCT((Consolidado!$E$5:$E$1000=$B15)*(MONTH(Consolidado!$B$5:$B$1000+0*(Consolidado!$B$5:$B$1000=""))=9)*(Consolidado!$B$5:$B$1000&lt;&gt;"")*((($C$2="Todos")+(Consolidado!$I$5:$I$1000&amp;""=$C$2&amp;""))&gt;0))</f>
        <v>0</v>
      </c>
      <c r="X15" s="11" t="n">
        <f aca="false">SUMPRODUCT((Consolidado!$E$5:$E$1000=$B15)*(MONTH(Consolidado!$B$5:$B$1000+0*(Consolidado!$B$5:$B$1000=""))=10)*(Consolidado!$B$5:$B$1000&lt;&gt;"")*((($C$2="Todos")+(Consolidado!$I$5:$I$1000&amp;""=$C$2&amp;""))&gt;0))</f>
        <v>0</v>
      </c>
      <c r="Y15" s="11" t="n">
        <f aca="false">SUMPRODUCT((Consolidado!$E$5:$E$1000=$B15)*(MONTH(Consolidado!$B$5:$B$1000+0*(Consolidado!$B$5:$B$1000=""))=11)*(Consolidado!$B$5:$B$1000&lt;&gt;"")*((($C$2="Todos")+(Consolidado!$I$5:$I$1000&amp;""=$C$2&amp;""))&gt;0))</f>
        <v>0</v>
      </c>
      <c r="Z15" s="11" t="n">
        <f aca="false">SUMPRODUCT((Consolidado!$E$5:$E$1000=$B15)*(MONTH(Consolidado!$B$5:$B$1000+0*(Consolidado!$B$5:$B$1000=""))=12)*(Consolidado!$B$5:$B$1000&lt;&gt;"")*((($C$2="Todos")+(Consolidado!$I$5:$I$1000&amp;""=$C$2&amp;""))&gt;0))</f>
        <v>0</v>
      </c>
    </row>
    <row r="16" customFormat="false" ht="15" hidden="false" customHeight="true" outlineLevel="0" collapsed="false">
      <c r="A16" s="8" t="n">
        <v>12</v>
      </c>
      <c r="B16" s="9" t="str">
        <f aca="false">Catálogos!C13</f>
        <v>Remisiones a SSF / central de riesgos</v>
      </c>
      <c r="C16" s="10" t="str">
        <f aca="false">Catálogos!D13</f>
        <v>NCB-022</v>
      </c>
      <c r="D16" s="11" t="n">
        <f aca="false">SUMPRODUCT((Consolidado!$E$5:$E$1000=$B16)*(Consolidado!$C$5:$C$1000="Auditoría Interna")*((($C$2="Todos")+(Consolidado!$I$5:$I$1000&amp;""=$C$2&amp;""))&gt;0))</f>
        <v>2</v>
      </c>
      <c r="E16" s="11" t="n">
        <f aca="false">SUMPRODUCT((Consolidado!$E$5:$E$1000=$B16)*(Consolidado!$C$5:$C$1000="Auditoría Externa")*((($C$2="Todos")+(Consolidado!$I$5:$I$1000&amp;""=$C$2&amp;""))&gt;0))</f>
        <v>1</v>
      </c>
      <c r="F16" s="11" t="n">
        <f aca="false">SUMPRODUCT((Consolidado!$E$5:$E$1000=$B16)*(Consolidado!$C$5:$C$1000="SSF")*((($C$2="Todos")+(Consolidado!$I$5:$I$1000&amp;""=$C$2&amp;""))&gt;0))</f>
        <v>0</v>
      </c>
      <c r="G16" s="11" t="n">
        <f aca="false">SUMPRODUCT((Consolidado!$E$5:$E$1000=$B16)*(Consolidado!$C$5:$C$1000="Comité de Supervisión")*((($C$2="Todos")+(Consolidado!$I$5:$I$1000&amp;""=$C$2&amp;""))&gt;0))</f>
        <v>0</v>
      </c>
      <c r="H16" s="11" t="n">
        <f aca="false">SUMPRODUCT((Consolidado!$E$5:$E$1000=$B16)*(Consolidado!$C$5:$C$1000="Consejo de Administración")*((($C$2="Todos")+(Consolidado!$I$5:$I$1000&amp;""=$C$2&amp;""))&gt;0))</f>
        <v>0</v>
      </c>
      <c r="I16" s="11" t="n">
        <f aca="false">SUMPRODUCT((Consolidado!$E$5:$E$1000=$B16)*(Consolidado!$C$5:$C$1000="Otros")*((($C$2="Todos")+(Consolidado!$I$5:$I$1000&amp;""=$C$2&amp;""))&gt;0))</f>
        <v>0</v>
      </c>
      <c r="J16" s="12" t="n">
        <f aca="false">SUM(D16:I16)</f>
        <v>3</v>
      </c>
      <c r="K16" s="12" t="n">
        <f aca="false">SUMPRODUCT((Consolidado!$E$5:$E$1000=$B16)*(Consolidado!$AE$5:$AE$1000)*((($C$2="Todos")+(Consolidado!$I$5:$I$1000&amp;""=$C$2&amp;""))&gt;0))</f>
        <v>2</v>
      </c>
      <c r="L16" s="8" t="n">
        <f aca="false">COUNTIF(D16:I16,"&gt;0")</f>
        <v>2</v>
      </c>
      <c r="M16" s="13" t="str">
        <f aca="false">IF(L16&gt;=2,"Sí","No")</f>
        <v>Sí</v>
      </c>
      <c r="N16" s="8" t="n">
        <f aca="false">IF(J16=0,"",RANK(J16,$J$5:$J$33))</f>
        <v>8</v>
      </c>
      <c r="O16" s="11" t="n">
        <f aca="false">SUMPRODUCT((Consolidado!$E$5:$E$1000=$B16)*(MONTH(Consolidado!$B$5:$B$1000+0*(Consolidado!$B$5:$B$1000=""))=1)*(Consolidado!$B$5:$B$1000&lt;&gt;"")*((($C$2="Todos")+(Consolidado!$I$5:$I$1000&amp;""=$C$2&amp;""))&gt;0))</f>
        <v>0</v>
      </c>
      <c r="P16" s="11" t="n">
        <f aca="false">SUMPRODUCT((Consolidado!$E$5:$E$1000=$B16)*(MONTH(Consolidado!$B$5:$B$1000+0*(Consolidado!$B$5:$B$1000=""))=2)*(Consolidado!$B$5:$B$1000&lt;&gt;"")*((($C$2="Todos")+(Consolidado!$I$5:$I$1000&amp;""=$C$2&amp;""))&gt;0))</f>
        <v>0</v>
      </c>
      <c r="Q16" s="11" t="n">
        <f aca="false">SUMPRODUCT((Consolidado!$E$5:$E$1000=$B16)*(MONTH(Consolidado!$B$5:$B$1000+0*(Consolidado!$B$5:$B$1000=""))=3)*(Consolidado!$B$5:$B$1000&lt;&gt;"")*((($C$2="Todos")+(Consolidado!$I$5:$I$1000&amp;""=$C$2&amp;""))&gt;0))</f>
        <v>0</v>
      </c>
      <c r="R16" s="11" t="n">
        <f aca="false">SUMPRODUCT((Consolidado!$E$5:$E$1000=$B16)*(MONTH(Consolidado!$B$5:$B$1000+0*(Consolidado!$B$5:$B$1000=""))=4)*(Consolidado!$B$5:$B$1000&lt;&gt;"")*((($C$2="Todos")+(Consolidado!$I$5:$I$1000&amp;""=$C$2&amp;""))&gt;0))</f>
        <v>0</v>
      </c>
      <c r="S16" s="11" t="n">
        <f aca="false">SUMPRODUCT((Consolidado!$E$5:$E$1000=$B16)*(MONTH(Consolidado!$B$5:$B$1000+0*(Consolidado!$B$5:$B$1000=""))=5)*(Consolidado!$B$5:$B$1000&lt;&gt;"")*((($C$2="Todos")+(Consolidado!$I$5:$I$1000&amp;""=$C$2&amp;""))&gt;0))</f>
        <v>2</v>
      </c>
      <c r="T16" s="11" t="n">
        <f aca="false">SUMPRODUCT((Consolidado!$E$5:$E$1000=$B16)*(MONTH(Consolidado!$B$5:$B$1000+0*(Consolidado!$B$5:$B$1000=""))=6)*(Consolidado!$B$5:$B$1000&lt;&gt;"")*((($C$2="Todos")+(Consolidado!$I$5:$I$1000&amp;""=$C$2&amp;""))&gt;0))</f>
        <v>0</v>
      </c>
      <c r="U16" s="11" t="n">
        <f aca="false">SUMPRODUCT((Consolidado!$E$5:$E$1000=$B16)*(MONTH(Consolidado!$B$5:$B$1000+0*(Consolidado!$B$5:$B$1000=""))=7)*(Consolidado!$B$5:$B$1000&lt;&gt;"")*((($C$2="Todos")+(Consolidado!$I$5:$I$1000&amp;""=$C$2&amp;""))&gt;0))</f>
        <v>0</v>
      </c>
      <c r="V16" s="11" t="n">
        <f aca="false">SUMPRODUCT((Consolidado!$E$5:$E$1000=$B16)*(MONTH(Consolidado!$B$5:$B$1000+0*(Consolidado!$B$5:$B$1000=""))=8)*(Consolidado!$B$5:$B$1000&lt;&gt;"")*((($C$2="Todos")+(Consolidado!$I$5:$I$1000&amp;""=$C$2&amp;""))&gt;0))</f>
        <v>0</v>
      </c>
      <c r="W16" s="11" t="n">
        <f aca="false">SUMPRODUCT((Consolidado!$E$5:$E$1000=$B16)*(MONTH(Consolidado!$B$5:$B$1000+0*(Consolidado!$B$5:$B$1000=""))=9)*(Consolidado!$B$5:$B$1000&lt;&gt;"")*((($C$2="Todos")+(Consolidado!$I$5:$I$1000&amp;""=$C$2&amp;""))&gt;0))</f>
        <v>0</v>
      </c>
      <c r="X16" s="11" t="n">
        <f aca="false">SUMPRODUCT((Consolidado!$E$5:$E$1000=$B16)*(MONTH(Consolidado!$B$5:$B$1000+0*(Consolidado!$B$5:$B$1000=""))=10)*(Consolidado!$B$5:$B$1000&lt;&gt;"")*((($C$2="Todos")+(Consolidado!$I$5:$I$1000&amp;""=$C$2&amp;""))&gt;0))</f>
        <v>1</v>
      </c>
      <c r="Y16" s="11" t="n">
        <f aca="false">SUMPRODUCT((Consolidado!$E$5:$E$1000=$B16)*(MONTH(Consolidado!$B$5:$B$1000+0*(Consolidado!$B$5:$B$1000=""))=11)*(Consolidado!$B$5:$B$1000&lt;&gt;"")*((($C$2="Todos")+(Consolidado!$I$5:$I$1000&amp;""=$C$2&amp;""))&gt;0))</f>
        <v>0</v>
      </c>
      <c r="Z16" s="11" t="n">
        <f aca="false">SUMPRODUCT((Consolidado!$E$5:$E$1000=$B16)*(MONTH(Consolidado!$B$5:$B$1000+0*(Consolidado!$B$5:$B$1000=""))=12)*(Consolidado!$B$5:$B$1000&lt;&gt;"")*((($C$2="Todos")+(Consolidado!$I$5:$I$1000&amp;""=$C$2&amp;""))&gt;0))</f>
        <v>0</v>
      </c>
    </row>
    <row r="17" customFormat="false" ht="15" hidden="false" customHeight="true" outlineLevel="0" collapsed="false">
      <c r="A17" s="8" t="n">
        <v>13</v>
      </c>
      <c r="B17" s="9" t="str">
        <f aca="false">Catálogos!C14</f>
        <v>Gobierno Corporativo</v>
      </c>
      <c r="C17" s="10" t="str">
        <f aca="false">Catálogos!D14</f>
        <v>NRP-17</v>
      </c>
      <c r="D17" s="11" t="n">
        <f aca="false">SUMPRODUCT((Consolidado!$E$5:$E$1000=$B17)*(Consolidado!$C$5:$C$1000="Auditoría Interna")*((($C$2="Todos")+(Consolidado!$I$5:$I$1000&amp;""=$C$2&amp;""))&gt;0))</f>
        <v>6</v>
      </c>
      <c r="E17" s="11" t="n">
        <f aca="false">SUMPRODUCT((Consolidado!$E$5:$E$1000=$B17)*(Consolidado!$C$5:$C$1000="Auditoría Externa")*((($C$2="Todos")+(Consolidado!$I$5:$I$1000&amp;""=$C$2&amp;""))&gt;0))</f>
        <v>0</v>
      </c>
      <c r="F17" s="11" t="n">
        <f aca="false">SUMPRODUCT((Consolidado!$E$5:$E$1000=$B17)*(Consolidado!$C$5:$C$1000="SSF")*((($C$2="Todos")+(Consolidado!$I$5:$I$1000&amp;""=$C$2&amp;""))&gt;0))</f>
        <v>2</v>
      </c>
      <c r="G17" s="11" t="n">
        <f aca="false">SUMPRODUCT((Consolidado!$E$5:$E$1000=$B17)*(Consolidado!$C$5:$C$1000="Comité de Supervisión")*((($C$2="Todos")+(Consolidado!$I$5:$I$1000&amp;""=$C$2&amp;""))&gt;0))</f>
        <v>0</v>
      </c>
      <c r="H17" s="11" t="n">
        <f aca="false">SUMPRODUCT((Consolidado!$E$5:$E$1000=$B17)*(Consolidado!$C$5:$C$1000="Consejo de Administración")*((($C$2="Todos")+(Consolidado!$I$5:$I$1000&amp;""=$C$2&amp;""))&gt;0))</f>
        <v>0</v>
      </c>
      <c r="I17" s="11" t="n">
        <f aca="false">SUMPRODUCT((Consolidado!$E$5:$E$1000=$B17)*(Consolidado!$C$5:$C$1000="Otros")*((($C$2="Todos")+(Consolidado!$I$5:$I$1000&amp;""=$C$2&amp;""))&gt;0))</f>
        <v>0</v>
      </c>
      <c r="J17" s="12" t="n">
        <f aca="false">SUM(D17:I17)</f>
        <v>8</v>
      </c>
      <c r="K17" s="12" t="n">
        <f aca="false">SUMPRODUCT((Consolidado!$E$5:$E$1000=$B17)*(Consolidado!$AE$5:$AE$1000)*((($C$2="Todos")+(Consolidado!$I$5:$I$1000&amp;""=$C$2&amp;""))&gt;0))</f>
        <v>3</v>
      </c>
      <c r="L17" s="8" t="n">
        <f aca="false">COUNTIF(D17:I17,"&gt;0")</f>
        <v>2</v>
      </c>
      <c r="M17" s="13" t="str">
        <f aca="false">IF(L17&gt;=2,"Sí","No")</f>
        <v>Sí</v>
      </c>
      <c r="N17" s="8" t="n">
        <f aca="false">IF(J17=0,"",RANK(J17,$J$5:$J$33))</f>
        <v>2</v>
      </c>
      <c r="O17" s="11" t="n">
        <f aca="false">SUMPRODUCT((Consolidado!$E$5:$E$1000=$B17)*(MONTH(Consolidado!$B$5:$B$1000+0*(Consolidado!$B$5:$B$1000=""))=1)*(Consolidado!$B$5:$B$1000&lt;&gt;"")*((($C$2="Todos")+(Consolidado!$I$5:$I$1000&amp;""=$C$2&amp;""))&gt;0))</f>
        <v>0</v>
      </c>
      <c r="P17" s="11" t="n">
        <f aca="false">SUMPRODUCT((Consolidado!$E$5:$E$1000=$B17)*(MONTH(Consolidado!$B$5:$B$1000+0*(Consolidado!$B$5:$B$1000=""))=2)*(Consolidado!$B$5:$B$1000&lt;&gt;"")*((($C$2="Todos")+(Consolidado!$I$5:$I$1000&amp;""=$C$2&amp;""))&gt;0))</f>
        <v>0</v>
      </c>
      <c r="Q17" s="11" t="n">
        <f aca="false">SUMPRODUCT((Consolidado!$E$5:$E$1000=$B17)*(MONTH(Consolidado!$B$5:$B$1000+0*(Consolidado!$B$5:$B$1000=""))=3)*(Consolidado!$B$5:$B$1000&lt;&gt;"")*((($C$2="Todos")+(Consolidado!$I$5:$I$1000&amp;""=$C$2&amp;""))&gt;0))</f>
        <v>0</v>
      </c>
      <c r="R17" s="11" t="n">
        <f aca="false">SUMPRODUCT((Consolidado!$E$5:$E$1000=$B17)*(MONTH(Consolidado!$B$5:$B$1000+0*(Consolidado!$B$5:$B$1000=""))=4)*(Consolidado!$B$5:$B$1000&lt;&gt;"")*((($C$2="Todos")+(Consolidado!$I$5:$I$1000&amp;""=$C$2&amp;""))&gt;0))</f>
        <v>0</v>
      </c>
      <c r="S17" s="11" t="n">
        <f aca="false">SUMPRODUCT((Consolidado!$E$5:$E$1000=$B17)*(MONTH(Consolidado!$B$5:$B$1000+0*(Consolidado!$B$5:$B$1000=""))=5)*(Consolidado!$B$5:$B$1000&lt;&gt;"")*((($C$2="Todos")+(Consolidado!$I$5:$I$1000&amp;""=$C$2&amp;""))&gt;0))</f>
        <v>1</v>
      </c>
      <c r="T17" s="11" t="n">
        <f aca="false">SUMPRODUCT((Consolidado!$E$5:$E$1000=$B17)*(MONTH(Consolidado!$B$5:$B$1000+0*(Consolidado!$B$5:$B$1000=""))=6)*(Consolidado!$B$5:$B$1000&lt;&gt;"")*((($C$2="Todos")+(Consolidado!$I$5:$I$1000&amp;""=$C$2&amp;""))&gt;0))</f>
        <v>0</v>
      </c>
      <c r="U17" s="11" t="n">
        <f aca="false">SUMPRODUCT((Consolidado!$E$5:$E$1000=$B17)*(MONTH(Consolidado!$B$5:$B$1000+0*(Consolidado!$B$5:$B$1000=""))=7)*(Consolidado!$B$5:$B$1000&lt;&gt;"")*((($C$2="Todos")+(Consolidado!$I$5:$I$1000&amp;""=$C$2&amp;""))&gt;0))</f>
        <v>0</v>
      </c>
      <c r="V17" s="11" t="n">
        <f aca="false">SUMPRODUCT((Consolidado!$E$5:$E$1000=$B17)*(MONTH(Consolidado!$B$5:$B$1000+0*(Consolidado!$B$5:$B$1000=""))=8)*(Consolidado!$B$5:$B$1000&lt;&gt;"")*((($C$2="Todos")+(Consolidado!$I$5:$I$1000&amp;""=$C$2&amp;""))&gt;0))</f>
        <v>7</v>
      </c>
      <c r="W17" s="11" t="n">
        <f aca="false">SUMPRODUCT((Consolidado!$E$5:$E$1000=$B17)*(MONTH(Consolidado!$B$5:$B$1000+0*(Consolidado!$B$5:$B$1000=""))=9)*(Consolidado!$B$5:$B$1000&lt;&gt;"")*((($C$2="Todos")+(Consolidado!$I$5:$I$1000&amp;""=$C$2&amp;""))&gt;0))</f>
        <v>0</v>
      </c>
      <c r="X17" s="11" t="n">
        <f aca="false">SUMPRODUCT((Consolidado!$E$5:$E$1000=$B17)*(MONTH(Consolidado!$B$5:$B$1000+0*(Consolidado!$B$5:$B$1000=""))=10)*(Consolidado!$B$5:$B$1000&lt;&gt;"")*((($C$2="Todos")+(Consolidado!$I$5:$I$1000&amp;""=$C$2&amp;""))&gt;0))</f>
        <v>0</v>
      </c>
      <c r="Y17" s="11" t="n">
        <f aca="false">SUMPRODUCT((Consolidado!$E$5:$E$1000=$B17)*(MONTH(Consolidado!$B$5:$B$1000+0*(Consolidado!$B$5:$B$1000=""))=11)*(Consolidado!$B$5:$B$1000&lt;&gt;"")*((($C$2="Todos")+(Consolidado!$I$5:$I$1000&amp;""=$C$2&amp;""))&gt;0))</f>
        <v>0</v>
      </c>
      <c r="Z17" s="11" t="n">
        <f aca="false">SUMPRODUCT((Consolidado!$E$5:$E$1000=$B17)*(MONTH(Consolidado!$B$5:$B$1000+0*(Consolidado!$B$5:$B$1000=""))=12)*(Consolidado!$B$5:$B$1000&lt;&gt;"")*((($C$2="Todos")+(Consolidado!$I$5:$I$1000&amp;""=$C$2&amp;""))&gt;0))</f>
        <v>0</v>
      </c>
    </row>
    <row r="18" customFormat="false" ht="15" hidden="false" customHeight="true" outlineLevel="0" collapsed="false">
      <c r="A18" s="8" t="n">
        <v>14</v>
      </c>
      <c r="B18" s="9" t="str">
        <f aca="false">Catálogos!C15</f>
        <v>Plan de Continuidad (BCP/DRP)</v>
      </c>
      <c r="C18" s="10" t="str">
        <f aca="false">Catálogos!D15</f>
        <v>NRP-24</v>
      </c>
      <c r="D18" s="11" t="n">
        <f aca="false">SUMPRODUCT((Consolidado!$E$5:$E$1000=$B18)*(Consolidado!$C$5:$C$1000="Auditoría Interna")*((($C$2="Todos")+(Consolidado!$I$5:$I$1000&amp;""=$C$2&amp;""))&gt;0))</f>
        <v>18</v>
      </c>
      <c r="E18" s="11" t="n">
        <f aca="false">SUMPRODUCT((Consolidado!$E$5:$E$1000=$B18)*(Consolidado!$C$5:$C$1000="Auditoría Externa")*((($C$2="Todos")+(Consolidado!$I$5:$I$1000&amp;""=$C$2&amp;""))&gt;0))</f>
        <v>1</v>
      </c>
      <c r="F18" s="11" t="n">
        <f aca="false">SUMPRODUCT((Consolidado!$E$5:$E$1000=$B18)*(Consolidado!$C$5:$C$1000="SSF")*((($C$2="Todos")+(Consolidado!$I$5:$I$1000&amp;""=$C$2&amp;""))&gt;0))</f>
        <v>1</v>
      </c>
      <c r="G18" s="11" t="n">
        <f aca="false">SUMPRODUCT((Consolidado!$E$5:$E$1000=$B18)*(Consolidado!$C$5:$C$1000="Comité de Supervisión")*((($C$2="Todos")+(Consolidado!$I$5:$I$1000&amp;""=$C$2&amp;""))&gt;0))</f>
        <v>0</v>
      </c>
      <c r="H18" s="11" t="n">
        <f aca="false">SUMPRODUCT((Consolidado!$E$5:$E$1000=$B18)*(Consolidado!$C$5:$C$1000="Consejo de Administración")*((($C$2="Todos")+(Consolidado!$I$5:$I$1000&amp;""=$C$2&amp;""))&gt;0))</f>
        <v>0</v>
      </c>
      <c r="I18" s="11" t="n">
        <f aca="false">SUMPRODUCT((Consolidado!$E$5:$E$1000=$B18)*(Consolidado!$C$5:$C$1000="Otros")*((($C$2="Todos")+(Consolidado!$I$5:$I$1000&amp;""=$C$2&amp;""))&gt;0))</f>
        <v>0</v>
      </c>
      <c r="J18" s="12" t="n">
        <f aca="false">SUM(D18:I18)</f>
        <v>20</v>
      </c>
      <c r="K18" s="12" t="n">
        <f aca="false">SUMPRODUCT((Consolidado!$E$5:$E$1000=$B18)*(Consolidado!$AE$5:$AE$1000)*((($C$2="Todos")+(Consolidado!$I$5:$I$1000&amp;""=$C$2&amp;""))&gt;0))</f>
        <v>3</v>
      </c>
      <c r="L18" s="8" t="n">
        <f aca="false">COUNTIF(D18:I18,"&gt;0")</f>
        <v>3</v>
      </c>
      <c r="M18" s="13" t="str">
        <f aca="false">IF(L18&gt;=2,"Sí","No")</f>
        <v>Sí</v>
      </c>
      <c r="N18" s="8" t="n">
        <f aca="false">IF(J18=0,"",RANK(J18,$J$5:$J$33))</f>
        <v>1</v>
      </c>
      <c r="O18" s="11" t="n">
        <f aca="false">SUMPRODUCT((Consolidado!$E$5:$E$1000=$B18)*(MONTH(Consolidado!$B$5:$B$1000+0*(Consolidado!$B$5:$B$1000=""))=1)*(Consolidado!$B$5:$B$1000&lt;&gt;"")*((($C$2="Todos")+(Consolidado!$I$5:$I$1000&amp;""=$C$2&amp;""))&gt;0))</f>
        <v>0</v>
      </c>
      <c r="P18" s="11" t="n">
        <f aca="false">SUMPRODUCT((Consolidado!$E$5:$E$1000=$B18)*(MONTH(Consolidado!$B$5:$B$1000+0*(Consolidado!$B$5:$B$1000=""))=2)*(Consolidado!$B$5:$B$1000&lt;&gt;"")*((($C$2="Todos")+(Consolidado!$I$5:$I$1000&amp;""=$C$2&amp;""))&gt;0))</f>
        <v>0</v>
      </c>
      <c r="Q18" s="11" t="n">
        <f aca="false">SUMPRODUCT((Consolidado!$E$5:$E$1000=$B18)*(MONTH(Consolidado!$B$5:$B$1000+0*(Consolidado!$B$5:$B$1000=""))=3)*(Consolidado!$B$5:$B$1000&lt;&gt;"")*((($C$2="Todos")+(Consolidado!$I$5:$I$1000&amp;""=$C$2&amp;""))&gt;0))</f>
        <v>0</v>
      </c>
      <c r="R18" s="11" t="n">
        <f aca="false">SUMPRODUCT((Consolidado!$E$5:$E$1000=$B18)*(MONTH(Consolidado!$B$5:$B$1000+0*(Consolidado!$B$5:$B$1000=""))=4)*(Consolidado!$B$5:$B$1000&lt;&gt;"")*((($C$2="Todos")+(Consolidado!$I$5:$I$1000&amp;""=$C$2&amp;""))&gt;0))</f>
        <v>0</v>
      </c>
      <c r="S18" s="11" t="n">
        <f aca="false">SUMPRODUCT((Consolidado!$E$5:$E$1000=$B18)*(MONTH(Consolidado!$B$5:$B$1000+0*(Consolidado!$B$5:$B$1000=""))=5)*(Consolidado!$B$5:$B$1000&lt;&gt;"")*((($C$2="Todos")+(Consolidado!$I$5:$I$1000&amp;""=$C$2&amp;""))&gt;0))</f>
        <v>1</v>
      </c>
      <c r="T18" s="11" t="n">
        <f aca="false">SUMPRODUCT((Consolidado!$E$5:$E$1000=$B18)*(MONTH(Consolidado!$B$5:$B$1000+0*(Consolidado!$B$5:$B$1000=""))=6)*(Consolidado!$B$5:$B$1000&lt;&gt;"")*((($C$2="Todos")+(Consolidado!$I$5:$I$1000&amp;""=$C$2&amp;""))&gt;0))</f>
        <v>0</v>
      </c>
      <c r="U18" s="11" t="n">
        <f aca="false">SUMPRODUCT((Consolidado!$E$5:$E$1000=$B18)*(MONTH(Consolidado!$B$5:$B$1000+0*(Consolidado!$B$5:$B$1000=""))=7)*(Consolidado!$B$5:$B$1000&lt;&gt;"")*((($C$2="Todos")+(Consolidado!$I$5:$I$1000&amp;""=$C$2&amp;""))&gt;0))</f>
        <v>0</v>
      </c>
      <c r="V18" s="11" t="n">
        <f aca="false">SUMPRODUCT((Consolidado!$E$5:$E$1000=$B18)*(MONTH(Consolidado!$B$5:$B$1000+0*(Consolidado!$B$5:$B$1000=""))=8)*(Consolidado!$B$5:$B$1000&lt;&gt;"")*((($C$2="Todos")+(Consolidado!$I$5:$I$1000&amp;""=$C$2&amp;""))&gt;0))</f>
        <v>0</v>
      </c>
      <c r="W18" s="11" t="n">
        <f aca="false">SUMPRODUCT((Consolidado!$E$5:$E$1000=$B18)*(MONTH(Consolidado!$B$5:$B$1000+0*(Consolidado!$B$5:$B$1000=""))=9)*(Consolidado!$B$5:$B$1000&lt;&gt;"")*((($C$2="Todos")+(Consolidado!$I$5:$I$1000&amp;""=$C$2&amp;""))&gt;0))</f>
        <v>0</v>
      </c>
      <c r="X18" s="11" t="n">
        <f aca="false">SUMPRODUCT((Consolidado!$E$5:$E$1000=$B18)*(MONTH(Consolidado!$B$5:$B$1000+0*(Consolidado!$B$5:$B$1000=""))=10)*(Consolidado!$B$5:$B$1000&lt;&gt;"")*((($C$2="Todos")+(Consolidado!$I$5:$I$1000&amp;""=$C$2&amp;""))&gt;0))</f>
        <v>19</v>
      </c>
      <c r="Y18" s="11" t="n">
        <f aca="false">SUMPRODUCT((Consolidado!$E$5:$E$1000=$B18)*(MONTH(Consolidado!$B$5:$B$1000+0*(Consolidado!$B$5:$B$1000=""))=11)*(Consolidado!$B$5:$B$1000&lt;&gt;"")*((($C$2="Todos")+(Consolidado!$I$5:$I$1000&amp;""=$C$2&amp;""))&gt;0))</f>
        <v>0</v>
      </c>
      <c r="Z18" s="11" t="n">
        <f aca="false">SUMPRODUCT((Consolidado!$E$5:$E$1000=$B18)*(MONTH(Consolidado!$B$5:$B$1000+0*(Consolidado!$B$5:$B$1000=""))=12)*(Consolidado!$B$5:$B$1000&lt;&gt;"")*((($C$2="Todos")+(Consolidado!$I$5:$I$1000&amp;""=$C$2&amp;""))&gt;0))</f>
        <v>0</v>
      </c>
    </row>
    <row r="19" customFormat="false" ht="15" hidden="false" customHeight="true" outlineLevel="0" collapsed="false">
      <c r="A19" s="8" t="n">
        <v>15</v>
      </c>
      <c r="B19" s="9" t="str">
        <f aca="false">Catálogos!C16</f>
        <v>Seguridad de la información y ciberseguridad</v>
      </c>
      <c r="C19" s="10" t="str">
        <f aca="false">Catálogos!D16</f>
        <v>NRP-23</v>
      </c>
      <c r="D19" s="11" t="n">
        <f aca="false">SUMPRODUCT((Consolidado!$E$5:$E$1000=$B19)*(Consolidado!$C$5:$C$1000="Auditoría Interna")*((($C$2="Todos")+(Consolidado!$I$5:$I$1000&amp;""=$C$2&amp;""))&gt;0))</f>
        <v>0</v>
      </c>
      <c r="E19" s="11" t="n">
        <f aca="false">SUMPRODUCT((Consolidado!$E$5:$E$1000=$B19)*(Consolidado!$C$5:$C$1000="Auditoría Externa")*((($C$2="Todos")+(Consolidado!$I$5:$I$1000&amp;""=$C$2&amp;""))&gt;0))</f>
        <v>0</v>
      </c>
      <c r="F19" s="11" t="n">
        <f aca="false">SUMPRODUCT((Consolidado!$E$5:$E$1000=$B19)*(Consolidado!$C$5:$C$1000="SSF")*((($C$2="Todos")+(Consolidado!$I$5:$I$1000&amp;""=$C$2&amp;""))&gt;0))</f>
        <v>2</v>
      </c>
      <c r="G19" s="11" t="n">
        <f aca="false">SUMPRODUCT((Consolidado!$E$5:$E$1000=$B19)*(Consolidado!$C$5:$C$1000="Comité de Supervisión")*((($C$2="Todos")+(Consolidado!$I$5:$I$1000&amp;""=$C$2&amp;""))&gt;0))</f>
        <v>0</v>
      </c>
      <c r="H19" s="11" t="n">
        <f aca="false">SUMPRODUCT((Consolidado!$E$5:$E$1000=$B19)*(Consolidado!$C$5:$C$1000="Consejo de Administración")*((($C$2="Todos")+(Consolidado!$I$5:$I$1000&amp;""=$C$2&amp;""))&gt;0))</f>
        <v>0</v>
      </c>
      <c r="I19" s="11" t="n">
        <f aca="false">SUMPRODUCT((Consolidado!$E$5:$E$1000=$B19)*(Consolidado!$C$5:$C$1000="Otros")*((($C$2="Todos")+(Consolidado!$I$5:$I$1000&amp;""=$C$2&amp;""))&gt;0))</f>
        <v>0</v>
      </c>
      <c r="J19" s="12" t="n">
        <f aca="false">SUM(D19:I19)</f>
        <v>2</v>
      </c>
      <c r="K19" s="12" t="n">
        <f aca="false">SUMPRODUCT((Consolidado!$E$5:$E$1000=$B19)*(Consolidado!$AE$5:$AE$1000)*((($C$2="Todos")+(Consolidado!$I$5:$I$1000&amp;""=$C$2&amp;""))&gt;0))</f>
        <v>2</v>
      </c>
      <c r="L19" s="8" t="n">
        <f aca="false">COUNTIF(D19:I19,"&gt;0")</f>
        <v>1</v>
      </c>
      <c r="M19" s="13" t="str">
        <f aca="false">IF(L19&gt;=2,"Sí","No")</f>
        <v>No</v>
      </c>
      <c r="N19" s="8" t="n">
        <f aca="false">IF(J19=0,"",RANK(J19,$J$5:$J$33))</f>
        <v>12</v>
      </c>
      <c r="O19" s="11" t="n">
        <f aca="false">SUMPRODUCT((Consolidado!$E$5:$E$1000=$B19)*(MONTH(Consolidado!$B$5:$B$1000+0*(Consolidado!$B$5:$B$1000=""))=1)*(Consolidado!$B$5:$B$1000&lt;&gt;"")*((($C$2="Todos")+(Consolidado!$I$5:$I$1000&amp;""=$C$2&amp;""))&gt;0))</f>
        <v>1</v>
      </c>
      <c r="P19" s="11" t="n">
        <f aca="false">SUMPRODUCT((Consolidado!$E$5:$E$1000=$B19)*(MONTH(Consolidado!$B$5:$B$1000+0*(Consolidado!$B$5:$B$1000=""))=2)*(Consolidado!$B$5:$B$1000&lt;&gt;"")*((($C$2="Todos")+(Consolidado!$I$5:$I$1000&amp;""=$C$2&amp;""))&gt;0))</f>
        <v>0</v>
      </c>
      <c r="Q19" s="11" t="n">
        <f aca="false">SUMPRODUCT((Consolidado!$E$5:$E$1000=$B19)*(MONTH(Consolidado!$B$5:$B$1000+0*(Consolidado!$B$5:$B$1000=""))=3)*(Consolidado!$B$5:$B$1000&lt;&gt;"")*((($C$2="Todos")+(Consolidado!$I$5:$I$1000&amp;""=$C$2&amp;""))&gt;0))</f>
        <v>0</v>
      </c>
      <c r="R19" s="11" t="n">
        <f aca="false">SUMPRODUCT((Consolidado!$E$5:$E$1000=$B19)*(MONTH(Consolidado!$B$5:$B$1000+0*(Consolidado!$B$5:$B$1000=""))=4)*(Consolidado!$B$5:$B$1000&lt;&gt;"")*((($C$2="Todos")+(Consolidado!$I$5:$I$1000&amp;""=$C$2&amp;""))&gt;0))</f>
        <v>1</v>
      </c>
      <c r="S19" s="11" t="n">
        <f aca="false">SUMPRODUCT((Consolidado!$E$5:$E$1000=$B19)*(MONTH(Consolidado!$B$5:$B$1000+0*(Consolidado!$B$5:$B$1000=""))=5)*(Consolidado!$B$5:$B$1000&lt;&gt;"")*((($C$2="Todos")+(Consolidado!$I$5:$I$1000&amp;""=$C$2&amp;""))&gt;0))</f>
        <v>0</v>
      </c>
      <c r="T19" s="11" t="n">
        <f aca="false">SUMPRODUCT((Consolidado!$E$5:$E$1000=$B19)*(MONTH(Consolidado!$B$5:$B$1000+0*(Consolidado!$B$5:$B$1000=""))=6)*(Consolidado!$B$5:$B$1000&lt;&gt;"")*((($C$2="Todos")+(Consolidado!$I$5:$I$1000&amp;""=$C$2&amp;""))&gt;0))</f>
        <v>0</v>
      </c>
      <c r="U19" s="11" t="n">
        <f aca="false">SUMPRODUCT((Consolidado!$E$5:$E$1000=$B19)*(MONTH(Consolidado!$B$5:$B$1000+0*(Consolidado!$B$5:$B$1000=""))=7)*(Consolidado!$B$5:$B$1000&lt;&gt;"")*((($C$2="Todos")+(Consolidado!$I$5:$I$1000&amp;""=$C$2&amp;""))&gt;0))</f>
        <v>0</v>
      </c>
      <c r="V19" s="11" t="n">
        <f aca="false">SUMPRODUCT((Consolidado!$E$5:$E$1000=$B19)*(MONTH(Consolidado!$B$5:$B$1000+0*(Consolidado!$B$5:$B$1000=""))=8)*(Consolidado!$B$5:$B$1000&lt;&gt;"")*((($C$2="Todos")+(Consolidado!$I$5:$I$1000&amp;""=$C$2&amp;""))&gt;0))</f>
        <v>0</v>
      </c>
      <c r="W19" s="11" t="n">
        <f aca="false">SUMPRODUCT((Consolidado!$E$5:$E$1000=$B19)*(MONTH(Consolidado!$B$5:$B$1000+0*(Consolidado!$B$5:$B$1000=""))=9)*(Consolidado!$B$5:$B$1000&lt;&gt;"")*((($C$2="Todos")+(Consolidado!$I$5:$I$1000&amp;""=$C$2&amp;""))&gt;0))</f>
        <v>0</v>
      </c>
      <c r="X19" s="11" t="n">
        <f aca="false">SUMPRODUCT((Consolidado!$E$5:$E$1000=$B19)*(MONTH(Consolidado!$B$5:$B$1000+0*(Consolidado!$B$5:$B$1000=""))=10)*(Consolidado!$B$5:$B$1000&lt;&gt;"")*((($C$2="Todos")+(Consolidado!$I$5:$I$1000&amp;""=$C$2&amp;""))&gt;0))</f>
        <v>0</v>
      </c>
      <c r="Y19" s="11" t="n">
        <f aca="false">SUMPRODUCT((Consolidado!$E$5:$E$1000=$B19)*(MONTH(Consolidado!$B$5:$B$1000+0*(Consolidado!$B$5:$B$1000=""))=11)*(Consolidado!$B$5:$B$1000&lt;&gt;"")*((($C$2="Todos")+(Consolidado!$I$5:$I$1000&amp;""=$C$2&amp;""))&gt;0))</f>
        <v>0</v>
      </c>
      <c r="Z19" s="11" t="n">
        <f aca="false">SUMPRODUCT((Consolidado!$E$5:$E$1000=$B19)*(MONTH(Consolidado!$B$5:$B$1000+0*(Consolidado!$B$5:$B$1000=""))=12)*(Consolidado!$B$5:$B$1000&lt;&gt;"")*((($C$2="Todos")+(Consolidado!$I$5:$I$1000&amp;""=$C$2&amp;""))&gt;0))</f>
        <v>0</v>
      </c>
    </row>
    <row r="20" customFormat="false" ht="15" hidden="false" customHeight="true" outlineLevel="0" collapsed="false">
      <c r="A20" s="8" t="n">
        <v>16</v>
      </c>
      <c r="B20" s="9" t="str">
        <f aca="false">Catálogos!C17</f>
        <v>Riesgo operacional (matriz / mapa de calor)</v>
      </c>
      <c r="C20" s="10" t="str">
        <f aca="false">Catálogos!D17</f>
        <v>NPB4-50</v>
      </c>
      <c r="D20" s="11" t="n">
        <f aca="false">SUMPRODUCT((Consolidado!$E$5:$E$1000=$B20)*(Consolidado!$C$5:$C$1000="Auditoría Interna")*((($C$2="Todos")+(Consolidado!$I$5:$I$1000&amp;""=$C$2&amp;""))&gt;0))</f>
        <v>0</v>
      </c>
      <c r="E20" s="11" t="n">
        <f aca="false">SUMPRODUCT((Consolidado!$E$5:$E$1000=$B20)*(Consolidado!$C$5:$C$1000="Auditoría Externa")*((($C$2="Todos")+(Consolidado!$I$5:$I$1000&amp;""=$C$2&amp;""))&gt;0))</f>
        <v>1</v>
      </c>
      <c r="F20" s="11" t="n">
        <f aca="false">SUMPRODUCT((Consolidado!$E$5:$E$1000=$B20)*(Consolidado!$C$5:$C$1000="SSF")*((($C$2="Todos")+(Consolidado!$I$5:$I$1000&amp;""=$C$2&amp;""))&gt;0))</f>
        <v>0</v>
      </c>
      <c r="G20" s="11" t="n">
        <f aca="false">SUMPRODUCT((Consolidado!$E$5:$E$1000=$B20)*(Consolidado!$C$5:$C$1000="Comité de Supervisión")*((($C$2="Todos")+(Consolidado!$I$5:$I$1000&amp;""=$C$2&amp;""))&gt;0))</f>
        <v>0</v>
      </c>
      <c r="H20" s="11" t="n">
        <f aca="false">SUMPRODUCT((Consolidado!$E$5:$E$1000=$B20)*(Consolidado!$C$5:$C$1000="Consejo de Administración")*((($C$2="Todos")+(Consolidado!$I$5:$I$1000&amp;""=$C$2&amp;""))&gt;0))</f>
        <v>0</v>
      </c>
      <c r="I20" s="11" t="n">
        <f aca="false">SUMPRODUCT((Consolidado!$E$5:$E$1000=$B20)*(Consolidado!$C$5:$C$1000="Otros")*((($C$2="Todos")+(Consolidado!$I$5:$I$1000&amp;""=$C$2&amp;""))&gt;0))</f>
        <v>0</v>
      </c>
      <c r="J20" s="12" t="n">
        <f aca="false">SUM(D20:I20)</f>
        <v>1</v>
      </c>
      <c r="K20" s="12" t="n">
        <f aca="false">SUMPRODUCT((Consolidado!$E$5:$E$1000=$B20)*(Consolidado!$AE$5:$AE$1000)*((($C$2="Todos")+(Consolidado!$I$5:$I$1000&amp;""=$C$2&amp;""))&gt;0))</f>
        <v>1</v>
      </c>
      <c r="L20" s="8" t="n">
        <f aca="false">COUNTIF(D20:I20,"&gt;0")</f>
        <v>1</v>
      </c>
      <c r="M20" s="13" t="str">
        <f aca="false">IF(L20&gt;=2,"Sí","No")</f>
        <v>No</v>
      </c>
      <c r="N20" s="8" t="n">
        <f aca="false">IF(J20=0,"",RANK(J20,$J$5:$J$33))</f>
        <v>17</v>
      </c>
      <c r="O20" s="11" t="n">
        <f aca="false">SUMPRODUCT((Consolidado!$E$5:$E$1000=$B20)*(MONTH(Consolidado!$B$5:$B$1000+0*(Consolidado!$B$5:$B$1000=""))=1)*(Consolidado!$B$5:$B$1000&lt;&gt;"")*((($C$2="Todos")+(Consolidado!$I$5:$I$1000&amp;""=$C$2&amp;""))&gt;0))</f>
        <v>0</v>
      </c>
      <c r="P20" s="11" t="n">
        <f aca="false">SUMPRODUCT((Consolidado!$E$5:$E$1000=$B20)*(MONTH(Consolidado!$B$5:$B$1000+0*(Consolidado!$B$5:$B$1000=""))=2)*(Consolidado!$B$5:$B$1000&lt;&gt;"")*((($C$2="Todos")+(Consolidado!$I$5:$I$1000&amp;""=$C$2&amp;""))&gt;0))</f>
        <v>0</v>
      </c>
      <c r="Q20" s="11" t="n">
        <f aca="false">SUMPRODUCT((Consolidado!$E$5:$E$1000=$B20)*(MONTH(Consolidado!$B$5:$B$1000+0*(Consolidado!$B$5:$B$1000=""))=3)*(Consolidado!$B$5:$B$1000&lt;&gt;"")*((($C$2="Todos")+(Consolidado!$I$5:$I$1000&amp;""=$C$2&amp;""))&gt;0))</f>
        <v>0</v>
      </c>
      <c r="R20" s="11" t="n">
        <f aca="false">SUMPRODUCT((Consolidado!$E$5:$E$1000=$B20)*(MONTH(Consolidado!$B$5:$B$1000+0*(Consolidado!$B$5:$B$1000=""))=4)*(Consolidado!$B$5:$B$1000&lt;&gt;"")*((($C$2="Todos")+(Consolidado!$I$5:$I$1000&amp;""=$C$2&amp;""))&gt;0))</f>
        <v>0</v>
      </c>
      <c r="S20" s="11" t="n">
        <f aca="false">SUMPRODUCT((Consolidado!$E$5:$E$1000=$B20)*(MONTH(Consolidado!$B$5:$B$1000+0*(Consolidado!$B$5:$B$1000=""))=5)*(Consolidado!$B$5:$B$1000&lt;&gt;"")*((($C$2="Todos")+(Consolidado!$I$5:$I$1000&amp;""=$C$2&amp;""))&gt;0))</f>
        <v>0</v>
      </c>
      <c r="T20" s="11" t="n">
        <f aca="false">SUMPRODUCT((Consolidado!$E$5:$E$1000=$B20)*(MONTH(Consolidado!$B$5:$B$1000+0*(Consolidado!$B$5:$B$1000=""))=6)*(Consolidado!$B$5:$B$1000&lt;&gt;"")*((($C$2="Todos")+(Consolidado!$I$5:$I$1000&amp;""=$C$2&amp;""))&gt;0))</f>
        <v>0</v>
      </c>
      <c r="U20" s="11" t="n">
        <f aca="false">SUMPRODUCT((Consolidado!$E$5:$E$1000=$B20)*(MONTH(Consolidado!$B$5:$B$1000+0*(Consolidado!$B$5:$B$1000=""))=7)*(Consolidado!$B$5:$B$1000&lt;&gt;"")*((($C$2="Todos")+(Consolidado!$I$5:$I$1000&amp;""=$C$2&amp;""))&gt;0))</f>
        <v>0</v>
      </c>
      <c r="V20" s="11" t="n">
        <f aca="false">SUMPRODUCT((Consolidado!$E$5:$E$1000=$B20)*(MONTH(Consolidado!$B$5:$B$1000+0*(Consolidado!$B$5:$B$1000=""))=8)*(Consolidado!$B$5:$B$1000&lt;&gt;"")*((($C$2="Todos")+(Consolidado!$I$5:$I$1000&amp;""=$C$2&amp;""))&gt;0))</f>
        <v>0</v>
      </c>
      <c r="W20" s="11" t="n">
        <f aca="false">SUMPRODUCT((Consolidado!$E$5:$E$1000=$B20)*(MONTH(Consolidado!$B$5:$B$1000+0*(Consolidado!$B$5:$B$1000=""))=9)*(Consolidado!$B$5:$B$1000&lt;&gt;"")*((($C$2="Todos")+(Consolidado!$I$5:$I$1000&amp;""=$C$2&amp;""))&gt;0))</f>
        <v>0</v>
      </c>
      <c r="X20" s="11" t="n">
        <f aca="false">SUMPRODUCT((Consolidado!$E$5:$E$1000=$B20)*(MONTH(Consolidado!$B$5:$B$1000+0*(Consolidado!$B$5:$B$1000=""))=10)*(Consolidado!$B$5:$B$1000&lt;&gt;"")*((($C$2="Todos")+(Consolidado!$I$5:$I$1000&amp;""=$C$2&amp;""))&gt;0))</f>
        <v>1</v>
      </c>
      <c r="Y20" s="11" t="n">
        <f aca="false">SUMPRODUCT((Consolidado!$E$5:$E$1000=$B20)*(MONTH(Consolidado!$B$5:$B$1000+0*(Consolidado!$B$5:$B$1000=""))=11)*(Consolidado!$B$5:$B$1000&lt;&gt;"")*((($C$2="Todos")+(Consolidado!$I$5:$I$1000&amp;""=$C$2&amp;""))&gt;0))</f>
        <v>0</v>
      </c>
      <c r="Z20" s="11" t="n">
        <f aca="false">SUMPRODUCT((Consolidado!$E$5:$E$1000=$B20)*(MONTH(Consolidado!$B$5:$B$1000+0*(Consolidado!$B$5:$B$1000=""))=12)*(Consolidado!$B$5:$B$1000&lt;&gt;"")*((($C$2="Todos")+(Consolidado!$I$5:$I$1000&amp;""=$C$2&amp;""))&gt;0))</f>
        <v>0</v>
      </c>
    </row>
    <row r="21" customFormat="false" ht="15" hidden="false" customHeight="true" outlineLevel="0" collapsed="false">
      <c r="A21" s="8" t="n">
        <v>17</v>
      </c>
      <c r="B21" s="9" t="str">
        <f aca="false">Catálogos!C18</f>
        <v>Riesgo de liquidez</v>
      </c>
      <c r="C21" s="10" t="str">
        <f aca="false">Catálogos!D18</f>
        <v>NRP-05</v>
      </c>
      <c r="D21" s="11" t="n">
        <f aca="false">SUMPRODUCT((Consolidado!$E$5:$E$1000=$B21)*(Consolidado!$C$5:$C$1000="Auditoría Interna")*((($C$2="Todos")+(Consolidado!$I$5:$I$1000&amp;""=$C$2&amp;""))&gt;0))</f>
        <v>0</v>
      </c>
      <c r="E21" s="11" t="n">
        <f aca="false">SUMPRODUCT((Consolidado!$E$5:$E$1000=$B21)*(Consolidado!$C$5:$C$1000="Auditoría Externa")*((($C$2="Todos")+(Consolidado!$I$5:$I$1000&amp;""=$C$2&amp;""))&gt;0))</f>
        <v>1</v>
      </c>
      <c r="F21" s="11" t="n">
        <f aca="false">SUMPRODUCT((Consolidado!$E$5:$E$1000=$B21)*(Consolidado!$C$5:$C$1000="SSF")*((($C$2="Todos")+(Consolidado!$I$5:$I$1000&amp;""=$C$2&amp;""))&gt;0))</f>
        <v>0</v>
      </c>
      <c r="G21" s="11" t="n">
        <f aca="false">SUMPRODUCT((Consolidado!$E$5:$E$1000=$B21)*(Consolidado!$C$5:$C$1000="Comité de Supervisión")*((($C$2="Todos")+(Consolidado!$I$5:$I$1000&amp;""=$C$2&amp;""))&gt;0))</f>
        <v>0</v>
      </c>
      <c r="H21" s="11" t="n">
        <f aca="false">SUMPRODUCT((Consolidado!$E$5:$E$1000=$B21)*(Consolidado!$C$5:$C$1000="Consejo de Administración")*((($C$2="Todos")+(Consolidado!$I$5:$I$1000&amp;""=$C$2&amp;""))&gt;0))</f>
        <v>0</v>
      </c>
      <c r="I21" s="11" t="n">
        <f aca="false">SUMPRODUCT((Consolidado!$E$5:$E$1000=$B21)*(Consolidado!$C$5:$C$1000="Otros")*((($C$2="Todos")+(Consolidado!$I$5:$I$1000&amp;""=$C$2&amp;""))&gt;0))</f>
        <v>0</v>
      </c>
      <c r="J21" s="12" t="n">
        <f aca="false">SUM(D21:I21)</f>
        <v>1</v>
      </c>
      <c r="K21" s="12" t="n">
        <f aca="false">SUMPRODUCT((Consolidado!$E$5:$E$1000=$B21)*(Consolidado!$AE$5:$AE$1000)*((($C$2="Todos")+(Consolidado!$I$5:$I$1000&amp;""=$C$2&amp;""))&gt;0))</f>
        <v>1</v>
      </c>
      <c r="L21" s="8" t="n">
        <f aca="false">COUNTIF(D21:I21,"&gt;0")</f>
        <v>1</v>
      </c>
      <c r="M21" s="13" t="str">
        <f aca="false">IF(L21&gt;=2,"Sí","No")</f>
        <v>No</v>
      </c>
      <c r="N21" s="8" t="n">
        <f aca="false">IF(J21=0,"",RANK(J21,$J$5:$J$33))</f>
        <v>17</v>
      </c>
      <c r="O21" s="11" t="n">
        <f aca="false">SUMPRODUCT((Consolidado!$E$5:$E$1000=$B21)*(MONTH(Consolidado!$B$5:$B$1000+0*(Consolidado!$B$5:$B$1000=""))=1)*(Consolidado!$B$5:$B$1000&lt;&gt;"")*((($C$2="Todos")+(Consolidado!$I$5:$I$1000&amp;""=$C$2&amp;""))&gt;0))</f>
        <v>0</v>
      </c>
      <c r="P21" s="11" t="n">
        <f aca="false">SUMPRODUCT((Consolidado!$E$5:$E$1000=$B21)*(MONTH(Consolidado!$B$5:$B$1000+0*(Consolidado!$B$5:$B$1000=""))=2)*(Consolidado!$B$5:$B$1000&lt;&gt;"")*((($C$2="Todos")+(Consolidado!$I$5:$I$1000&amp;""=$C$2&amp;""))&gt;0))</f>
        <v>0</v>
      </c>
      <c r="Q21" s="11" t="n">
        <f aca="false">SUMPRODUCT((Consolidado!$E$5:$E$1000=$B21)*(MONTH(Consolidado!$B$5:$B$1000+0*(Consolidado!$B$5:$B$1000=""))=3)*(Consolidado!$B$5:$B$1000&lt;&gt;"")*((($C$2="Todos")+(Consolidado!$I$5:$I$1000&amp;""=$C$2&amp;""))&gt;0))</f>
        <v>0</v>
      </c>
      <c r="R21" s="11" t="n">
        <f aca="false">SUMPRODUCT((Consolidado!$E$5:$E$1000=$B21)*(MONTH(Consolidado!$B$5:$B$1000+0*(Consolidado!$B$5:$B$1000=""))=4)*(Consolidado!$B$5:$B$1000&lt;&gt;"")*((($C$2="Todos")+(Consolidado!$I$5:$I$1000&amp;""=$C$2&amp;""))&gt;0))</f>
        <v>0</v>
      </c>
      <c r="S21" s="11" t="n">
        <f aca="false">SUMPRODUCT((Consolidado!$E$5:$E$1000=$B21)*(MONTH(Consolidado!$B$5:$B$1000+0*(Consolidado!$B$5:$B$1000=""))=5)*(Consolidado!$B$5:$B$1000&lt;&gt;"")*((($C$2="Todos")+(Consolidado!$I$5:$I$1000&amp;""=$C$2&amp;""))&gt;0))</f>
        <v>0</v>
      </c>
      <c r="T21" s="11" t="n">
        <f aca="false">SUMPRODUCT((Consolidado!$E$5:$E$1000=$B21)*(MONTH(Consolidado!$B$5:$B$1000+0*(Consolidado!$B$5:$B$1000=""))=6)*(Consolidado!$B$5:$B$1000&lt;&gt;"")*((($C$2="Todos")+(Consolidado!$I$5:$I$1000&amp;""=$C$2&amp;""))&gt;0))</f>
        <v>0</v>
      </c>
      <c r="U21" s="11" t="n">
        <f aca="false">SUMPRODUCT((Consolidado!$E$5:$E$1000=$B21)*(MONTH(Consolidado!$B$5:$B$1000+0*(Consolidado!$B$5:$B$1000=""))=7)*(Consolidado!$B$5:$B$1000&lt;&gt;"")*((($C$2="Todos")+(Consolidado!$I$5:$I$1000&amp;""=$C$2&amp;""))&gt;0))</f>
        <v>0</v>
      </c>
      <c r="V21" s="11" t="n">
        <f aca="false">SUMPRODUCT((Consolidado!$E$5:$E$1000=$B21)*(MONTH(Consolidado!$B$5:$B$1000+0*(Consolidado!$B$5:$B$1000=""))=8)*(Consolidado!$B$5:$B$1000&lt;&gt;"")*((($C$2="Todos")+(Consolidado!$I$5:$I$1000&amp;""=$C$2&amp;""))&gt;0))</f>
        <v>0</v>
      </c>
      <c r="W21" s="11" t="n">
        <f aca="false">SUMPRODUCT((Consolidado!$E$5:$E$1000=$B21)*(MONTH(Consolidado!$B$5:$B$1000+0*(Consolidado!$B$5:$B$1000=""))=9)*(Consolidado!$B$5:$B$1000&lt;&gt;"")*((($C$2="Todos")+(Consolidado!$I$5:$I$1000&amp;""=$C$2&amp;""))&gt;0))</f>
        <v>0</v>
      </c>
      <c r="X21" s="11" t="n">
        <f aca="false">SUMPRODUCT((Consolidado!$E$5:$E$1000=$B21)*(MONTH(Consolidado!$B$5:$B$1000+0*(Consolidado!$B$5:$B$1000=""))=10)*(Consolidado!$B$5:$B$1000&lt;&gt;"")*((($C$2="Todos")+(Consolidado!$I$5:$I$1000&amp;""=$C$2&amp;""))&gt;0))</f>
        <v>1</v>
      </c>
      <c r="Y21" s="11" t="n">
        <f aca="false">SUMPRODUCT((Consolidado!$E$5:$E$1000=$B21)*(MONTH(Consolidado!$B$5:$B$1000+0*(Consolidado!$B$5:$B$1000=""))=11)*(Consolidado!$B$5:$B$1000&lt;&gt;"")*((($C$2="Todos")+(Consolidado!$I$5:$I$1000&amp;""=$C$2&amp;""))&gt;0))</f>
        <v>0</v>
      </c>
      <c r="Z21" s="11" t="n">
        <f aca="false">SUMPRODUCT((Consolidado!$E$5:$E$1000=$B21)*(MONTH(Consolidado!$B$5:$B$1000+0*(Consolidado!$B$5:$B$1000=""))=12)*(Consolidado!$B$5:$B$1000&lt;&gt;"")*((($C$2="Todos")+(Consolidado!$I$5:$I$1000&amp;""=$C$2&amp;""))&gt;0))</f>
        <v>0</v>
      </c>
    </row>
    <row r="22" customFormat="false" ht="15" hidden="false" customHeight="true" outlineLevel="0" collapsed="false">
      <c r="A22" s="8" t="n">
        <v>18</v>
      </c>
      <c r="B22" s="9" t="str">
        <f aca="false">Catálogos!C19</f>
        <v>Riesgo ambiental y social</v>
      </c>
      <c r="C22" s="10" t="str">
        <f aca="false">Catálogos!D19</f>
        <v>NRP-53</v>
      </c>
      <c r="D22" s="11" t="n">
        <f aca="false">SUMPRODUCT((Consolidado!$E$5:$E$1000=$B22)*(Consolidado!$C$5:$C$1000="Auditoría Interna")*((($C$2="Todos")+(Consolidado!$I$5:$I$1000&amp;""=$C$2&amp;""))&gt;0))</f>
        <v>2</v>
      </c>
      <c r="E22" s="11" t="n">
        <f aca="false">SUMPRODUCT((Consolidado!$E$5:$E$1000=$B22)*(Consolidado!$C$5:$C$1000="Auditoría Externa")*((($C$2="Todos")+(Consolidado!$I$5:$I$1000&amp;""=$C$2&amp;""))&gt;0))</f>
        <v>0</v>
      </c>
      <c r="F22" s="11" t="n">
        <f aca="false">SUMPRODUCT((Consolidado!$E$5:$E$1000=$B22)*(Consolidado!$C$5:$C$1000="SSF")*((($C$2="Todos")+(Consolidado!$I$5:$I$1000&amp;""=$C$2&amp;""))&gt;0))</f>
        <v>1</v>
      </c>
      <c r="G22" s="11" t="n">
        <f aca="false">SUMPRODUCT((Consolidado!$E$5:$E$1000=$B22)*(Consolidado!$C$5:$C$1000="Comité de Supervisión")*((($C$2="Todos")+(Consolidado!$I$5:$I$1000&amp;""=$C$2&amp;""))&gt;0))</f>
        <v>0</v>
      </c>
      <c r="H22" s="11" t="n">
        <f aca="false">SUMPRODUCT((Consolidado!$E$5:$E$1000=$B22)*(Consolidado!$C$5:$C$1000="Consejo de Administración")*((($C$2="Todos")+(Consolidado!$I$5:$I$1000&amp;""=$C$2&amp;""))&gt;0))</f>
        <v>0</v>
      </c>
      <c r="I22" s="11" t="n">
        <f aca="false">SUMPRODUCT((Consolidado!$E$5:$E$1000=$B22)*(Consolidado!$C$5:$C$1000="Otros")*((($C$2="Todos")+(Consolidado!$I$5:$I$1000&amp;""=$C$2&amp;""))&gt;0))</f>
        <v>0</v>
      </c>
      <c r="J22" s="12" t="n">
        <f aca="false">SUM(D22:I22)</f>
        <v>3</v>
      </c>
      <c r="K22" s="12" t="n">
        <f aca="false">SUMPRODUCT((Consolidado!$E$5:$E$1000=$B22)*(Consolidado!$AE$5:$AE$1000)*((($C$2="Todos")+(Consolidado!$I$5:$I$1000&amp;""=$C$2&amp;""))&gt;0))</f>
        <v>2</v>
      </c>
      <c r="L22" s="8" t="n">
        <f aca="false">COUNTIF(D22:I22,"&gt;0")</f>
        <v>2</v>
      </c>
      <c r="M22" s="13" t="str">
        <f aca="false">IF(L22&gt;=2,"Sí","No")</f>
        <v>Sí</v>
      </c>
      <c r="N22" s="8" t="n">
        <f aca="false">IF(J22=0,"",RANK(J22,$J$5:$J$33))</f>
        <v>8</v>
      </c>
      <c r="O22" s="11" t="n">
        <f aca="false">SUMPRODUCT((Consolidado!$E$5:$E$1000=$B22)*(MONTH(Consolidado!$B$5:$B$1000+0*(Consolidado!$B$5:$B$1000=""))=1)*(Consolidado!$B$5:$B$1000&lt;&gt;"")*((($C$2="Todos")+(Consolidado!$I$5:$I$1000&amp;""=$C$2&amp;""))&gt;0))</f>
        <v>0</v>
      </c>
      <c r="P22" s="11" t="n">
        <f aca="false">SUMPRODUCT((Consolidado!$E$5:$E$1000=$B22)*(MONTH(Consolidado!$B$5:$B$1000+0*(Consolidado!$B$5:$B$1000=""))=2)*(Consolidado!$B$5:$B$1000&lt;&gt;"")*((($C$2="Todos")+(Consolidado!$I$5:$I$1000&amp;""=$C$2&amp;""))&gt;0))</f>
        <v>0</v>
      </c>
      <c r="Q22" s="11" t="n">
        <f aca="false">SUMPRODUCT((Consolidado!$E$5:$E$1000=$B22)*(MONTH(Consolidado!$B$5:$B$1000+0*(Consolidado!$B$5:$B$1000=""))=3)*(Consolidado!$B$5:$B$1000&lt;&gt;"")*((($C$2="Todos")+(Consolidado!$I$5:$I$1000&amp;""=$C$2&amp;""))&gt;0))</f>
        <v>0</v>
      </c>
      <c r="R22" s="11" t="n">
        <f aca="false">SUMPRODUCT((Consolidado!$E$5:$E$1000=$B22)*(MONTH(Consolidado!$B$5:$B$1000+0*(Consolidado!$B$5:$B$1000=""))=4)*(Consolidado!$B$5:$B$1000&lt;&gt;"")*((($C$2="Todos")+(Consolidado!$I$5:$I$1000&amp;""=$C$2&amp;""))&gt;0))</f>
        <v>1</v>
      </c>
      <c r="S22" s="11" t="n">
        <f aca="false">SUMPRODUCT((Consolidado!$E$5:$E$1000=$B22)*(MONTH(Consolidado!$B$5:$B$1000+0*(Consolidado!$B$5:$B$1000=""))=5)*(Consolidado!$B$5:$B$1000&lt;&gt;"")*((($C$2="Todos")+(Consolidado!$I$5:$I$1000&amp;""=$C$2&amp;""))&gt;0))</f>
        <v>0</v>
      </c>
      <c r="T22" s="11" t="n">
        <f aca="false">SUMPRODUCT((Consolidado!$E$5:$E$1000=$B22)*(MONTH(Consolidado!$B$5:$B$1000+0*(Consolidado!$B$5:$B$1000=""))=6)*(Consolidado!$B$5:$B$1000&lt;&gt;"")*((($C$2="Todos")+(Consolidado!$I$5:$I$1000&amp;""=$C$2&amp;""))&gt;0))</f>
        <v>0</v>
      </c>
      <c r="U22" s="11" t="n">
        <f aca="false">SUMPRODUCT((Consolidado!$E$5:$E$1000=$B22)*(MONTH(Consolidado!$B$5:$B$1000+0*(Consolidado!$B$5:$B$1000=""))=7)*(Consolidado!$B$5:$B$1000&lt;&gt;"")*((($C$2="Todos")+(Consolidado!$I$5:$I$1000&amp;""=$C$2&amp;""))&gt;0))</f>
        <v>0</v>
      </c>
      <c r="V22" s="11" t="n">
        <f aca="false">SUMPRODUCT((Consolidado!$E$5:$E$1000=$B22)*(MONTH(Consolidado!$B$5:$B$1000+0*(Consolidado!$B$5:$B$1000=""))=8)*(Consolidado!$B$5:$B$1000&lt;&gt;"")*((($C$2="Todos")+(Consolidado!$I$5:$I$1000&amp;""=$C$2&amp;""))&gt;0))</f>
        <v>2</v>
      </c>
      <c r="W22" s="11" t="n">
        <f aca="false">SUMPRODUCT((Consolidado!$E$5:$E$1000=$B22)*(MONTH(Consolidado!$B$5:$B$1000+0*(Consolidado!$B$5:$B$1000=""))=9)*(Consolidado!$B$5:$B$1000&lt;&gt;"")*((($C$2="Todos")+(Consolidado!$I$5:$I$1000&amp;""=$C$2&amp;""))&gt;0))</f>
        <v>0</v>
      </c>
      <c r="X22" s="11" t="n">
        <f aca="false">SUMPRODUCT((Consolidado!$E$5:$E$1000=$B22)*(MONTH(Consolidado!$B$5:$B$1000+0*(Consolidado!$B$5:$B$1000=""))=10)*(Consolidado!$B$5:$B$1000&lt;&gt;"")*((($C$2="Todos")+(Consolidado!$I$5:$I$1000&amp;""=$C$2&amp;""))&gt;0))</f>
        <v>0</v>
      </c>
      <c r="Y22" s="11" t="n">
        <f aca="false">SUMPRODUCT((Consolidado!$E$5:$E$1000=$B22)*(MONTH(Consolidado!$B$5:$B$1000+0*(Consolidado!$B$5:$B$1000=""))=11)*(Consolidado!$B$5:$B$1000&lt;&gt;"")*((($C$2="Todos")+(Consolidado!$I$5:$I$1000&amp;""=$C$2&amp;""))&gt;0))</f>
        <v>0</v>
      </c>
      <c r="Z22" s="11" t="n">
        <f aca="false">SUMPRODUCT((Consolidado!$E$5:$E$1000=$B22)*(MONTH(Consolidado!$B$5:$B$1000+0*(Consolidado!$B$5:$B$1000=""))=12)*(Consolidado!$B$5:$B$1000&lt;&gt;"")*((($C$2="Todos")+(Consolidado!$I$5:$I$1000&amp;""=$C$2&amp;""))&gt;0))</f>
        <v>0</v>
      </c>
    </row>
    <row r="23" customFormat="false" ht="15" hidden="false" customHeight="true" outlineLevel="0" collapsed="false">
      <c r="A23" s="8" t="n">
        <v>19</v>
      </c>
      <c r="B23" s="9" t="str">
        <f aca="false">Catálogos!C20</f>
        <v>Riesgo reputacional</v>
      </c>
      <c r="C23" s="10" t="str">
        <f aca="false">Catálogos!D20</f>
        <v>NRP-20</v>
      </c>
      <c r="D23" s="11" t="n">
        <f aca="false">SUMPRODUCT((Consolidado!$E$5:$E$1000=$B23)*(Consolidado!$C$5:$C$1000="Auditoría Interna")*((($C$2="Todos")+(Consolidado!$I$5:$I$1000&amp;""=$C$2&amp;""))&gt;0))</f>
        <v>1</v>
      </c>
      <c r="E23" s="11" t="n">
        <f aca="false">SUMPRODUCT((Consolidado!$E$5:$E$1000=$B23)*(Consolidado!$C$5:$C$1000="Auditoría Externa")*((($C$2="Todos")+(Consolidado!$I$5:$I$1000&amp;""=$C$2&amp;""))&gt;0))</f>
        <v>0</v>
      </c>
      <c r="F23" s="11" t="n">
        <f aca="false">SUMPRODUCT((Consolidado!$E$5:$E$1000=$B23)*(Consolidado!$C$5:$C$1000="SSF")*((($C$2="Todos")+(Consolidado!$I$5:$I$1000&amp;""=$C$2&amp;""))&gt;0))</f>
        <v>0</v>
      </c>
      <c r="G23" s="11" t="n">
        <f aca="false">SUMPRODUCT((Consolidado!$E$5:$E$1000=$B23)*(Consolidado!$C$5:$C$1000="Comité de Supervisión")*((($C$2="Todos")+(Consolidado!$I$5:$I$1000&amp;""=$C$2&amp;""))&gt;0))</f>
        <v>0</v>
      </c>
      <c r="H23" s="11" t="n">
        <f aca="false">SUMPRODUCT((Consolidado!$E$5:$E$1000=$B23)*(Consolidado!$C$5:$C$1000="Consejo de Administración")*((($C$2="Todos")+(Consolidado!$I$5:$I$1000&amp;""=$C$2&amp;""))&gt;0))</f>
        <v>0</v>
      </c>
      <c r="I23" s="11" t="n">
        <f aca="false">SUMPRODUCT((Consolidado!$E$5:$E$1000=$B23)*(Consolidado!$C$5:$C$1000="Otros")*((($C$2="Todos")+(Consolidado!$I$5:$I$1000&amp;""=$C$2&amp;""))&gt;0))</f>
        <v>0</v>
      </c>
      <c r="J23" s="12" t="n">
        <f aca="false">SUM(D23:I23)</f>
        <v>1</v>
      </c>
      <c r="K23" s="12" t="n">
        <f aca="false">SUMPRODUCT((Consolidado!$E$5:$E$1000=$B23)*(Consolidado!$AE$5:$AE$1000)*((($C$2="Todos")+(Consolidado!$I$5:$I$1000&amp;""=$C$2&amp;""))&gt;0))</f>
        <v>1</v>
      </c>
      <c r="L23" s="8" t="n">
        <f aca="false">COUNTIF(D23:I23,"&gt;0")</f>
        <v>1</v>
      </c>
      <c r="M23" s="13" t="str">
        <f aca="false">IF(L23&gt;=2,"Sí","No")</f>
        <v>No</v>
      </c>
      <c r="N23" s="8" t="n">
        <f aca="false">IF(J23=0,"",RANK(J23,$J$5:$J$33))</f>
        <v>17</v>
      </c>
      <c r="O23" s="11" t="n">
        <f aca="false">SUMPRODUCT((Consolidado!$E$5:$E$1000=$B23)*(MONTH(Consolidado!$B$5:$B$1000+0*(Consolidado!$B$5:$B$1000=""))=1)*(Consolidado!$B$5:$B$1000&lt;&gt;"")*((($C$2="Todos")+(Consolidado!$I$5:$I$1000&amp;""=$C$2&amp;""))&gt;0))</f>
        <v>0</v>
      </c>
      <c r="P23" s="11" t="n">
        <f aca="false">SUMPRODUCT((Consolidado!$E$5:$E$1000=$B23)*(MONTH(Consolidado!$B$5:$B$1000+0*(Consolidado!$B$5:$B$1000=""))=2)*(Consolidado!$B$5:$B$1000&lt;&gt;"")*((($C$2="Todos")+(Consolidado!$I$5:$I$1000&amp;""=$C$2&amp;""))&gt;0))</f>
        <v>0</v>
      </c>
      <c r="Q23" s="11" t="n">
        <f aca="false">SUMPRODUCT((Consolidado!$E$5:$E$1000=$B23)*(MONTH(Consolidado!$B$5:$B$1000+0*(Consolidado!$B$5:$B$1000=""))=3)*(Consolidado!$B$5:$B$1000&lt;&gt;"")*((($C$2="Todos")+(Consolidado!$I$5:$I$1000&amp;""=$C$2&amp;""))&gt;0))</f>
        <v>0</v>
      </c>
      <c r="R23" s="11" t="n">
        <f aca="false">SUMPRODUCT((Consolidado!$E$5:$E$1000=$B23)*(MONTH(Consolidado!$B$5:$B$1000+0*(Consolidado!$B$5:$B$1000=""))=4)*(Consolidado!$B$5:$B$1000&lt;&gt;"")*((($C$2="Todos")+(Consolidado!$I$5:$I$1000&amp;""=$C$2&amp;""))&gt;0))</f>
        <v>0</v>
      </c>
      <c r="S23" s="11" t="n">
        <f aca="false">SUMPRODUCT((Consolidado!$E$5:$E$1000=$B23)*(MONTH(Consolidado!$B$5:$B$1000+0*(Consolidado!$B$5:$B$1000=""))=5)*(Consolidado!$B$5:$B$1000&lt;&gt;"")*((($C$2="Todos")+(Consolidado!$I$5:$I$1000&amp;""=$C$2&amp;""))&gt;0))</f>
        <v>0</v>
      </c>
      <c r="T23" s="11" t="n">
        <f aca="false">SUMPRODUCT((Consolidado!$E$5:$E$1000=$B23)*(MONTH(Consolidado!$B$5:$B$1000+0*(Consolidado!$B$5:$B$1000=""))=6)*(Consolidado!$B$5:$B$1000&lt;&gt;"")*((($C$2="Todos")+(Consolidado!$I$5:$I$1000&amp;""=$C$2&amp;""))&gt;0))</f>
        <v>0</v>
      </c>
      <c r="U23" s="11" t="n">
        <f aca="false">SUMPRODUCT((Consolidado!$E$5:$E$1000=$B23)*(MONTH(Consolidado!$B$5:$B$1000+0*(Consolidado!$B$5:$B$1000=""))=7)*(Consolidado!$B$5:$B$1000&lt;&gt;"")*((($C$2="Todos")+(Consolidado!$I$5:$I$1000&amp;""=$C$2&amp;""))&gt;0))</f>
        <v>0</v>
      </c>
      <c r="V23" s="11" t="n">
        <f aca="false">SUMPRODUCT((Consolidado!$E$5:$E$1000=$B23)*(MONTH(Consolidado!$B$5:$B$1000+0*(Consolidado!$B$5:$B$1000=""))=8)*(Consolidado!$B$5:$B$1000&lt;&gt;"")*((($C$2="Todos")+(Consolidado!$I$5:$I$1000&amp;""=$C$2&amp;""))&gt;0))</f>
        <v>1</v>
      </c>
      <c r="W23" s="11" t="n">
        <f aca="false">SUMPRODUCT((Consolidado!$E$5:$E$1000=$B23)*(MONTH(Consolidado!$B$5:$B$1000+0*(Consolidado!$B$5:$B$1000=""))=9)*(Consolidado!$B$5:$B$1000&lt;&gt;"")*((($C$2="Todos")+(Consolidado!$I$5:$I$1000&amp;""=$C$2&amp;""))&gt;0))</f>
        <v>0</v>
      </c>
      <c r="X23" s="11" t="n">
        <f aca="false">SUMPRODUCT((Consolidado!$E$5:$E$1000=$B23)*(MONTH(Consolidado!$B$5:$B$1000+0*(Consolidado!$B$5:$B$1000=""))=10)*(Consolidado!$B$5:$B$1000&lt;&gt;"")*((($C$2="Todos")+(Consolidado!$I$5:$I$1000&amp;""=$C$2&amp;""))&gt;0))</f>
        <v>0</v>
      </c>
      <c r="Y23" s="11" t="n">
        <f aca="false">SUMPRODUCT((Consolidado!$E$5:$E$1000=$B23)*(MONTH(Consolidado!$B$5:$B$1000+0*(Consolidado!$B$5:$B$1000=""))=11)*(Consolidado!$B$5:$B$1000&lt;&gt;"")*((($C$2="Todos")+(Consolidado!$I$5:$I$1000&amp;""=$C$2&amp;""))&gt;0))</f>
        <v>0</v>
      </c>
      <c r="Z23" s="11" t="n">
        <f aca="false">SUMPRODUCT((Consolidado!$E$5:$E$1000=$B23)*(MONTH(Consolidado!$B$5:$B$1000+0*(Consolidado!$B$5:$B$1000=""))=12)*(Consolidado!$B$5:$B$1000&lt;&gt;"")*((($C$2="Todos")+(Consolidado!$I$5:$I$1000&amp;""=$C$2&amp;""))&gt;0))</f>
        <v>0</v>
      </c>
    </row>
    <row r="24" customFormat="false" ht="15" hidden="false" customHeight="true" outlineLevel="0" collapsed="false">
      <c r="A24" s="8" t="n">
        <v>20</v>
      </c>
      <c r="B24" s="9" t="str">
        <f aca="false">Catálogos!C21</f>
        <v>Gestión de riesgos específicos (visita integral)</v>
      </c>
      <c r="C24" s="10" t="str">
        <f aca="false">Catálogos!D21</f>
        <v>NRP-20</v>
      </c>
      <c r="D24" s="11" t="n">
        <f aca="false">SUMPRODUCT((Consolidado!$E$5:$E$1000=$B24)*(Consolidado!$C$5:$C$1000="Auditoría Interna")*((($C$2="Todos")+(Consolidado!$I$5:$I$1000&amp;""=$C$2&amp;""))&gt;0))</f>
        <v>0</v>
      </c>
      <c r="E24" s="11" t="n">
        <f aca="false">SUMPRODUCT((Consolidado!$E$5:$E$1000=$B24)*(Consolidado!$C$5:$C$1000="Auditoría Externa")*((($C$2="Todos")+(Consolidado!$I$5:$I$1000&amp;""=$C$2&amp;""))&gt;0))</f>
        <v>0</v>
      </c>
      <c r="F24" s="11" t="n">
        <f aca="false">SUMPRODUCT((Consolidado!$E$5:$E$1000=$B24)*(Consolidado!$C$5:$C$1000="SSF")*((($C$2="Todos")+(Consolidado!$I$5:$I$1000&amp;""=$C$2&amp;""))&gt;0))</f>
        <v>4</v>
      </c>
      <c r="G24" s="11" t="n">
        <f aca="false">SUMPRODUCT((Consolidado!$E$5:$E$1000=$B24)*(Consolidado!$C$5:$C$1000="Comité de Supervisión")*((($C$2="Todos")+(Consolidado!$I$5:$I$1000&amp;""=$C$2&amp;""))&gt;0))</f>
        <v>0</v>
      </c>
      <c r="H24" s="11" t="n">
        <f aca="false">SUMPRODUCT((Consolidado!$E$5:$E$1000=$B24)*(Consolidado!$C$5:$C$1000="Consejo de Administración")*((($C$2="Todos")+(Consolidado!$I$5:$I$1000&amp;""=$C$2&amp;""))&gt;0))</f>
        <v>0</v>
      </c>
      <c r="I24" s="11" t="n">
        <f aca="false">SUMPRODUCT((Consolidado!$E$5:$E$1000=$B24)*(Consolidado!$C$5:$C$1000="Otros")*((($C$2="Todos")+(Consolidado!$I$5:$I$1000&amp;""=$C$2&amp;""))&gt;0))</f>
        <v>0</v>
      </c>
      <c r="J24" s="12" t="n">
        <f aca="false">SUM(D24:I24)</f>
        <v>4</v>
      </c>
      <c r="K24" s="12" t="n">
        <f aca="false">SUMPRODUCT((Consolidado!$E$5:$E$1000=$B24)*(Consolidado!$AE$5:$AE$1000)*((($C$2="Todos")+(Consolidado!$I$5:$I$1000&amp;""=$C$2&amp;""))&gt;0))</f>
        <v>4</v>
      </c>
      <c r="L24" s="8" t="n">
        <f aca="false">COUNTIF(D24:I24,"&gt;0")</f>
        <v>1</v>
      </c>
      <c r="M24" s="13" t="str">
        <f aca="false">IF(L24&gt;=2,"Sí","No")</f>
        <v>No</v>
      </c>
      <c r="N24" s="8" t="n">
        <f aca="false">IF(J24=0,"",RANK(J24,$J$5:$J$33))</f>
        <v>7</v>
      </c>
      <c r="O24" s="11" t="n">
        <f aca="false">SUMPRODUCT((Consolidado!$E$5:$E$1000=$B24)*(MONTH(Consolidado!$B$5:$B$1000+0*(Consolidado!$B$5:$B$1000=""))=1)*(Consolidado!$B$5:$B$1000&lt;&gt;"")*((($C$2="Todos")+(Consolidado!$I$5:$I$1000&amp;""=$C$2&amp;""))&gt;0))</f>
        <v>0</v>
      </c>
      <c r="P24" s="11" t="n">
        <f aca="false">SUMPRODUCT((Consolidado!$E$5:$E$1000=$B24)*(MONTH(Consolidado!$B$5:$B$1000+0*(Consolidado!$B$5:$B$1000=""))=2)*(Consolidado!$B$5:$B$1000&lt;&gt;"")*((($C$2="Todos")+(Consolidado!$I$5:$I$1000&amp;""=$C$2&amp;""))&gt;0))</f>
        <v>0</v>
      </c>
      <c r="Q24" s="11" t="n">
        <f aca="false">SUMPRODUCT((Consolidado!$E$5:$E$1000=$B24)*(MONTH(Consolidado!$B$5:$B$1000+0*(Consolidado!$B$5:$B$1000=""))=3)*(Consolidado!$B$5:$B$1000&lt;&gt;"")*((($C$2="Todos")+(Consolidado!$I$5:$I$1000&amp;""=$C$2&amp;""))&gt;0))</f>
        <v>1</v>
      </c>
      <c r="R24" s="11" t="n">
        <f aca="false">SUMPRODUCT((Consolidado!$E$5:$E$1000=$B24)*(MONTH(Consolidado!$B$5:$B$1000+0*(Consolidado!$B$5:$B$1000=""))=4)*(Consolidado!$B$5:$B$1000&lt;&gt;"")*((($C$2="Todos")+(Consolidado!$I$5:$I$1000&amp;""=$C$2&amp;""))&gt;0))</f>
        <v>0</v>
      </c>
      <c r="S24" s="11" t="n">
        <f aca="false">SUMPRODUCT((Consolidado!$E$5:$E$1000=$B24)*(MONTH(Consolidado!$B$5:$B$1000+0*(Consolidado!$B$5:$B$1000=""))=5)*(Consolidado!$B$5:$B$1000&lt;&gt;"")*((($C$2="Todos")+(Consolidado!$I$5:$I$1000&amp;""=$C$2&amp;""))&gt;0))</f>
        <v>0</v>
      </c>
      <c r="T24" s="11" t="n">
        <f aca="false">SUMPRODUCT((Consolidado!$E$5:$E$1000=$B24)*(MONTH(Consolidado!$B$5:$B$1000+0*(Consolidado!$B$5:$B$1000=""))=6)*(Consolidado!$B$5:$B$1000&lt;&gt;"")*((($C$2="Todos")+(Consolidado!$I$5:$I$1000&amp;""=$C$2&amp;""))&gt;0))</f>
        <v>0</v>
      </c>
      <c r="U24" s="11" t="n">
        <f aca="false">SUMPRODUCT((Consolidado!$E$5:$E$1000=$B24)*(MONTH(Consolidado!$B$5:$B$1000+0*(Consolidado!$B$5:$B$1000=""))=7)*(Consolidado!$B$5:$B$1000&lt;&gt;"")*((($C$2="Todos")+(Consolidado!$I$5:$I$1000&amp;""=$C$2&amp;""))&gt;0))</f>
        <v>1</v>
      </c>
      <c r="V24" s="11" t="n">
        <f aca="false">SUMPRODUCT((Consolidado!$E$5:$E$1000=$B24)*(MONTH(Consolidado!$B$5:$B$1000+0*(Consolidado!$B$5:$B$1000=""))=8)*(Consolidado!$B$5:$B$1000&lt;&gt;"")*((($C$2="Todos")+(Consolidado!$I$5:$I$1000&amp;""=$C$2&amp;""))&gt;0))</f>
        <v>0</v>
      </c>
      <c r="W24" s="11" t="n">
        <f aca="false">SUMPRODUCT((Consolidado!$E$5:$E$1000=$B24)*(MONTH(Consolidado!$B$5:$B$1000+0*(Consolidado!$B$5:$B$1000=""))=9)*(Consolidado!$B$5:$B$1000&lt;&gt;"")*((($C$2="Todos")+(Consolidado!$I$5:$I$1000&amp;""=$C$2&amp;""))&gt;0))</f>
        <v>0</v>
      </c>
      <c r="X24" s="11" t="n">
        <f aca="false">SUMPRODUCT((Consolidado!$E$5:$E$1000=$B24)*(MONTH(Consolidado!$B$5:$B$1000+0*(Consolidado!$B$5:$B$1000=""))=10)*(Consolidado!$B$5:$B$1000&lt;&gt;"")*((($C$2="Todos")+(Consolidado!$I$5:$I$1000&amp;""=$C$2&amp;""))&gt;0))</f>
        <v>2</v>
      </c>
      <c r="Y24" s="11" t="n">
        <f aca="false">SUMPRODUCT((Consolidado!$E$5:$E$1000=$B24)*(MONTH(Consolidado!$B$5:$B$1000+0*(Consolidado!$B$5:$B$1000=""))=11)*(Consolidado!$B$5:$B$1000&lt;&gt;"")*((($C$2="Todos")+(Consolidado!$I$5:$I$1000&amp;""=$C$2&amp;""))&gt;0))</f>
        <v>0</v>
      </c>
      <c r="Z24" s="11" t="n">
        <f aca="false">SUMPRODUCT((Consolidado!$E$5:$E$1000=$B24)*(MONTH(Consolidado!$B$5:$B$1000+0*(Consolidado!$B$5:$B$1000=""))=12)*(Consolidado!$B$5:$B$1000&lt;&gt;"")*((($C$2="Todos")+(Consolidado!$I$5:$I$1000&amp;""=$C$2&amp;""))&gt;0))</f>
        <v>0</v>
      </c>
    </row>
    <row r="25" customFormat="false" ht="15" hidden="false" customHeight="true" outlineLevel="0" collapsed="false">
      <c r="A25" s="8" t="n">
        <v>21</v>
      </c>
      <c r="B25" s="9" t="str">
        <f aca="false">Catálogos!C22</f>
        <v>Transparencia y atención al usuario</v>
      </c>
      <c r="C25" s="10" t="str">
        <f aca="false">Catálogos!D22</f>
        <v>NCM-02</v>
      </c>
      <c r="D25" s="11" t="n">
        <f aca="false">SUMPRODUCT((Consolidado!$E$5:$E$1000=$B25)*(Consolidado!$C$5:$C$1000="Auditoría Interna")*((($C$2="Todos")+(Consolidado!$I$5:$I$1000&amp;""=$C$2&amp;""))&gt;0))</f>
        <v>0</v>
      </c>
      <c r="E25" s="11" t="n">
        <f aca="false">SUMPRODUCT((Consolidado!$E$5:$E$1000=$B25)*(Consolidado!$C$5:$C$1000="Auditoría Externa")*((($C$2="Todos")+(Consolidado!$I$5:$I$1000&amp;""=$C$2&amp;""))&gt;0))</f>
        <v>0</v>
      </c>
      <c r="F25" s="11" t="n">
        <f aca="false">SUMPRODUCT((Consolidado!$E$5:$E$1000=$B25)*(Consolidado!$C$5:$C$1000="SSF")*((($C$2="Todos")+(Consolidado!$I$5:$I$1000&amp;""=$C$2&amp;""))&gt;0))</f>
        <v>2</v>
      </c>
      <c r="G25" s="11" t="n">
        <f aca="false">SUMPRODUCT((Consolidado!$E$5:$E$1000=$B25)*(Consolidado!$C$5:$C$1000="Comité de Supervisión")*((($C$2="Todos")+(Consolidado!$I$5:$I$1000&amp;""=$C$2&amp;""))&gt;0))</f>
        <v>0</v>
      </c>
      <c r="H25" s="11" t="n">
        <f aca="false">SUMPRODUCT((Consolidado!$E$5:$E$1000=$B25)*(Consolidado!$C$5:$C$1000="Consejo de Administración")*((($C$2="Todos")+(Consolidado!$I$5:$I$1000&amp;""=$C$2&amp;""))&gt;0))</f>
        <v>0</v>
      </c>
      <c r="I25" s="11" t="n">
        <f aca="false">SUMPRODUCT((Consolidado!$E$5:$E$1000=$B25)*(Consolidado!$C$5:$C$1000="Otros")*((($C$2="Todos")+(Consolidado!$I$5:$I$1000&amp;""=$C$2&amp;""))&gt;0))</f>
        <v>0</v>
      </c>
      <c r="J25" s="12" t="n">
        <f aca="false">SUM(D25:I25)</f>
        <v>2</v>
      </c>
      <c r="K25" s="12" t="n">
        <f aca="false">SUMPRODUCT((Consolidado!$E$5:$E$1000=$B25)*(Consolidado!$AE$5:$AE$1000)*((($C$2="Todos")+(Consolidado!$I$5:$I$1000&amp;""=$C$2&amp;""))&gt;0))</f>
        <v>2</v>
      </c>
      <c r="L25" s="8" t="n">
        <f aca="false">COUNTIF(D25:I25,"&gt;0")</f>
        <v>1</v>
      </c>
      <c r="M25" s="13" t="str">
        <f aca="false">IF(L25&gt;=2,"Sí","No")</f>
        <v>No</v>
      </c>
      <c r="N25" s="8" t="n">
        <f aca="false">IF(J25=0,"",RANK(J25,$J$5:$J$33))</f>
        <v>12</v>
      </c>
      <c r="O25" s="11" t="n">
        <f aca="false">SUMPRODUCT((Consolidado!$E$5:$E$1000=$B25)*(MONTH(Consolidado!$B$5:$B$1000+0*(Consolidado!$B$5:$B$1000=""))=1)*(Consolidado!$B$5:$B$1000&lt;&gt;"")*((($C$2="Todos")+(Consolidado!$I$5:$I$1000&amp;""=$C$2&amp;""))&gt;0))</f>
        <v>0</v>
      </c>
      <c r="P25" s="11" t="n">
        <f aca="false">SUMPRODUCT((Consolidado!$E$5:$E$1000=$B25)*(MONTH(Consolidado!$B$5:$B$1000+0*(Consolidado!$B$5:$B$1000=""))=2)*(Consolidado!$B$5:$B$1000&lt;&gt;"")*((($C$2="Todos")+(Consolidado!$I$5:$I$1000&amp;""=$C$2&amp;""))&gt;0))</f>
        <v>1</v>
      </c>
      <c r="Q25" s="11" t="n">
        <f aca="false">SUMPRODUCT((Consolidado!$E$5:$E$1000=$B25)*(MONTH(Consolidado!$B$5:$B$1000+0*(Consolidado!$B$5:$B$1000=""))=3)*(Consolidado!$B$5:$B$1000&lt;&gt;"")*((($C$2="Todos")+(Consolidado!$I$5:$I$1000&amp;""=$C$2&amp;""))&gt;0))</f>
        <v>0</v>
      </c>
      <c r="R25" s="11" t="n">
        <f aca="false">SUMPRODUCT((Consolidado!$E$5:$E$1000=$B25)*(MONTH(Consolidado!$B$5:$B$1000+0*(Consolidado!$B$5:$B$1000=""))=4)*(Consolidado!$B$5:$B$1000&lt;&gt;"")*((($C$2="Todos")+(Consolidado!$I$5:$I$1000&amp;""=$C$2&amp;""))&gt;0))</f>
        <v>1</v>
      </c>
      <c r="S25" s="11" t="n">
        <f aca="false">SUMPRODUCT((Consolidado!$E$5:$E$1000=$B25)*(MONTH(Consolidado!$B$5:$B$1000+0*(Consolidado!$B$5:$B$1000=""))=5)*(Consolidado!$B$5:$B$1000&lt;&gt;"")*((($C$2="Todos")+(Consolidado!$I$5:$I$1000&amp;""=$C$2&amp;""))&gt;0))</f>
        <v>0</v>
      </c>
      <c r="T25" s="11" t="n">
        <f aca="false">SUMPRODUCT((Consolidado!$E$5:$E$1000=$B25)*(MONTH(Consolidado!$B$5:$B$1000+0*(Consolidado!$B$5:$B$1000=""))=6)*(Consolidado!$B$5:$B$1000&lt;&gt;"")*((($C$2="Todos")+(Consolidado!$I$5:$I$1000&amp;""=$C$2&amp;""))&gt;0))</f>
        <v>0</v>
      </c>
      <c r="U25" s="11" t="n">
        <f aca="false">SUMPRODUCT((Consolidado!$E$5:$E$1000=$B25)*(MONTH(Consolidado!$B$5:$B$1000+0*(Consolidado!$B$5:$B$1000=""))=7)*(Consolidado!$B$5:$B$1000&lt;&gt;"")*((($C$2="Todos")+(Consolidado!$I$5:$I$1000&amp;""=$C$2&amp;""))&gt;0))</f>
        <v>0</v>
      </c>
      <c r="V25" s="11" t="n">
        <f aca="false">SUMPRODUCT((Consolidado!$E$5:$E$1000=$B25)*(MONTH(Consolidado!$B$5:$B$1000+0*(Consolidado!$B$5:$B$1000=""))=8)*(Consolidado!$B$5:$B$1000&lt;&gt;"")*((($C$2="Todos")+(Consolidado!$I$5:$I$1000&amp;""=$C$2&amp;""))&gt;0))</f>
        <v>0</v>
      </c>
      <c r="W25" s="11" t="n">
        <f aca="false">SUMPRODUCT((Consolidado!$E$5:$E$1000=$B25)*(MONTH(Consolidado!$B$5:$B$1000+0*(Consolidado!$B$5:$B$1000=""))=9)*(Consolidado!$B$5:$B$1000&lt;&gt;"")*((($C$2="Todos")+(Consolidado!$I$5:$I$1000&amp;""=$C$2&amp;""))&gt;0))</f>
        <v>0</v>
      </c>
      <c r="X25" s="11" t="n">
        <f aca="false">SUMPRODUCT((Consolidado!$E$5:$E$1000=$B25)*(MONTH(Consolidado!$B$5:$B$1000+0*(Consolidado!$B$5:$B$1000=""))=10)*(Consolidado!$B$5:$B$1000&lt;&gt;"")*((($C$2="Todos")+(Consolidado!$I$5:$I$1000&amp;""=$C$2&amp;""))&gt;0))</f>
        <v>0</v>
      </c>
      <c r="Y25" s="11" t="n">
        <f aca="false">SUMPRODUCT((Consolidado!$E$5:$E$1000=$B25)*(MONTH(Consolidado!$B$5:$B$1000+0*(Consolidado!$B$5:$B$1000=""))=11)*(Consolidado!$B$5:$B$1000&lt;&gt;"")*((($C$2="Todos")+(Consolidado!$I$5:$I$1000&amp;""=$C$2&amp;""))&gt;0))</f>
        <v>0</v>
      </c>
      <c r="Z25" s="11" t="n">
        <f aca="false">SUMPRODUCT((Consolidado!$E$5:$E$1000=$B25)*(MONTH(Consolidado!$B$5:$B$1000+0*(Consolidado!$B$5:$B$1000=""))=12)*(Consolidado!$B$5:$B$1000&lt;&gt;"")*((($C$2="Todos")+(Consolidado!$I$5:$I$1000&amp;""=$C$2&amp;""))&gt;0))</f>
        <v>0</v>
      </c>
    </row>
    <row r="26" customFormat="false" ht="15" hidden="false" customHeight="true" outlineLevel="0" collapsed="false">
      <c r="A26" s="8" t="n">
        <v>22</v>
      </c>
      <c r="B26" s="9" t="str">
        <f aca="false">Catálogos!C23</f>
        <v>PLD/FT/FPADM</v>
      </c>
      <c r="C26" s="10" t="str">
        <f aca="false">Catálogos!D23</f>
        <v>NRP-36</v>
      </c>
      <c r="D26" s="11" t="n">
        <f aca="false">SUMPRODUCT((Consolidado!$E$5:$E$1000=$B26)*(Consolidado!$C$5:$C$1000="Auditoría Interna")*((($C$2="Todos")+(Consolidado!$I$5:$I$1000&amp;""=$C$2&amp;""))&gt;0))</f>
        <v>0</v>
      </c>
      <c r="E26" s="11" t="n">
        <f aca="false">SUMPRODUCT((Consolidado!$E$5:$E$1000=$B26)*(Consolidado!$C$5:$C$1000="Auditoría Externa")*((($C$2="Todos")+(Consolidado!$I$5:$I$1000&amp;""=$C$2&amp;""))&gt;0))</f>
        <v>0</v>
      </c>
      <c r="F26" s="11" t="n">
        <f aca="false">SUMPRODUCT((Consolidado!$E$5:$E$1000=$B26)*(Consolidado!$C$5:$C$1000="SSF")*((($C$2="Todos")+(Consolidado!$I$5:$I$1000&amp;""=$C$2&amp;""))&gt;0))</f>
        <v>1</v>
      </c>
      <c r="G26" s="11" t="n">
        <f aca="false">SUMPRODUCT((Consolidado!$E$5:$E$1000=$B26)*(Consolidado!$C$5:$C$1000="Comité de Supervisión")*((($C$2="Todos")+(Consolidado!$I$5:$I$1000&amp;""=$C$2&amp;""))&gt;0))</f>
        <v>0</v>
      </c>
      <c r="H26" s="11" t="n">
        <f aca="false">SUMPRODUCT((Consolidado!$E$5:$E$1000=$B26)*(Consolidado!$C$5:$C$1000="Consejo de Administración")*((($C$2="Todos")+(Consolidado!$I$5:$I$1000&amp;""=$C$2&amp;""))&gt;0))</f>
        <v>0</v>
      </c>
      <c r="I26" s="11" t="n">
        <f aca="false">SUMPRODUCT((Consolidado!$E$5:$E$1000=$B26)*(Consolidado!$C$5:$C$1000="Otros")*((($C$2="Todos")+(Consolidado!$I$5:$I$1000&amp;""=$C$2&amp;""))&gt;0))</f>
        <v>0</v>
      </c>
      <c r="J26" s="12" t="n">
        <f aca="false">SUM(D26:I26)</f>
        <v>1</v>
      </c>
      <c r="K26" s="12" t="n">
        <f aca="false">SUMPRODUCT((Consolidado!$E$5:$E$1000=$B26)*(Consolidado!$AE$5:$AE$1000)*((($C$2="Todos")+(Consolidado!$I$5:$I$1000&amp;""=$C$2&amp;""))&gt;0))</f>
        <v>1</v>
      </c>
      <c r="L26" s="8" t="n">
        <f aca="false">COUNTIF(D26:I26,"&gt;0")</f>
        <v>1</v>
      </c>
      <c r="M26" s="13" t="str">
        <f aca="false">IF(L26&gt;=2,"Sí","No")</f>
        <v>No</v>
      </c>
      <c r="N26" s="8" t="n">
        <f aca="false">IF(J26=0,"",RANK(J26,$J$5:$J$33))</f>
        <v>17</v>
      </c>
      <c r="O26" s="11" t="n">
        <f aca="false">SUMPRODUCT((Consolidado!$E$5:$E$1000=$B26)*(MONTH(Consolidado!$B$5:$B$1000+0*(Consolidado!$B$5:$B$1000=""))=1)*(Consolidado!$B$5:$B$1000&lt;&gt;"")*((($C$2="Todos")+(Consolidado!$I$5:$I$1000&amp;""=$C$2&amp;""))&gt;0))</f>
        <v>0</v>
      </c>
      <c r="P26" s="11" t="n">
        <f aca="false">SUMPRODUCT((Consolidado!$E$5:$E$1000=$B26)*(MONTH(Consolidado!$B$5:$B$1000+0*(Consolidado!$B$5:$B$1000=""))=2)*(Consolidado!$B$5:$B$1000&lt;&gt;"")*((($C$2="Todos")+(Consolidado!$I$5:$I$1000&amp;""=$C$2&amp;""))&gt;0))</f>
        <v>0</v>
      </c>
      <c r="Q26" s="11" t="n">
        <f aca="false">SUMPRODUCT((Consolidado!$E$5:$E$1000=$B26)*(MONTH(Consolidado!$B$5:$B$1000+0*(Consolidado!$B$5:$B$1000=""))=3)*(Consolidado!$B$5:$B$1000&lt;&gt;"")*((($C$2="Todos")+(Consolidado!$I$5:$I$1000&amp;""=$C$2&amp;""))&gt;0))</f>
        <v>0</v>
      </c>
      <c r="R26" s="11" t="n">
        <f aca="false">SUMPRODUCT((Consolidado!$E$5:$E$1000=$B26)*(MONTH(Consolidado!$B$5:$B$1000+0*(Consolidado!$B$5:$B$1000=""))=4)*(Consolidado!$B$5:$B$1000&lt;&gt;"")*((($C$2="Todos")+(Consolidado!$I$5:$I$1000&amp;""=$C$2&amp;""))&gt;0))</f>
        <v>0</v>
      </c>
      <c r="S26" s="11" t="n">
        <f aca="false">SUMPRODUCT((Consolidado!$E$5:$E$1000=$B26)*(MONTH(Consolidado!$B$5:$B$1000+0*(Consolidado!$B$5:$B$1000=""))=5)*(Consolidado!$B$5:$B$1000&lt;&gt;"")*((($C$2="Todos")+(Consolidado!$I$5:$I$1000&amp;""=$C$2&amp;""))&gt;0))</f>
        <v>0</v>
      </c>
      <c r="T26" s="11" t="n">
        <f aca="false">SUMPRODUCT((Consolidado!$E$5:$E$1000=$B26)*(MONTH(Consolidado!$B$5:$B$1000+0*(Consolidado!$B$5:$B$1000=""))=6)*(Consolidado!$B$5:$B$1000&lt;&gt;"")*((($C$2="Todos")+(Consolidado!$I$5:$I$1000&amp;""=$C$2&amp;""))&gt;0))</f>
        <v>1</v>
      </c>
      <c r="U26" s="11" t="n">
        <f aca="false">SUMPRODUCT((Consolidado!$E$5:$E$1000=$B26)*(MONTH(Consolidado!$B$5:$B$1000+0*(Consolidado!$B$5:$B$1000=""))=7)*(Consolidado!$B$5:$B$1000&lt;&gt;"")*((($C$2="Todos")+(Consolidado!$I$5:$I$1000&amp;""=$C$2&amp;""))&gt;0))</f>
        <v>0</v>
      </c>
      <c r="V26" s="11" t="n">
        <f aca="false">SUMPRODUCT((Consolidado!$E$5:$E$1000=$B26)*(MONTH(Consolidado!$B$5:$B$1000+0*(Consolidado!$B$5:$B$1000=""))=8)*(Consolidado!$B$5:$B$1000&lt;&gt;"")*((($C$2="Todos")+(Consolidado!$I$5:$I$1000&amp;""=$C$2&amp;""))&gt;0))</f>
        <v>0</v>
      </c>
      <c r="W26" s="11" t="n">
        <f aca="false">SUMPRODUCT((Consolidado!$E$5:$E$1000=$B26)*(MONTH(Consolidado!$B$5:$B$1000+0*(Consolidado!$B$5:$B$1000=""))=9)*(Consolidado!$B$5:$B$1000&lt;&gt;"")*((($C$2="Todos")+(Consolidado!$I$5:$I$1000&amp;""=$C$2&amp;""))&gt;0))</f>
        <v>0</v>
      </c>
      <c r="X26" s="11" t="n">
        <f aca="false">SUMPRODUCT((Consolidado!$E$5:$E$1000=$B26)*(MONTH(Consolidado!$B$5:$B$1000+0*(Consolidado!$B$5:$B$1000=""))=10)*(Consolidado!$B$5:$B$1000&lt;&gt;"")*((($C$2="Todos")+(Consolidado!$I$5:$I$1000&amp;""=$C$2&amp;""))&gt;0))</f>
        <v>0</v>
      </c>
      <c r="Y26" s="11" t="n">
        <f aca="false">SUMPRODUCT((Consolidado!$E$5:$E$1000=$B26)*(MONTH(Consolidado!$B$5:$B$1000+0*(Consolidado!$B$5:$B$1000=""))=11)*(Consolidado!$B$5:$B$1000&lt;&gt;"")*((($C$2="Todos")+(Consolidado!$I$5:$I$1000&amp;""=$C$2&amp;""))&gt;0))</f>
        <v>0</v>
      </c>
      <c r="Z26" s="11" t="n">
        <f aca="false">SUMPRODUCT((Consolidado!$E$5:$E$1000=$B26)*(MONTH(Consolidado!$B$5:$B$1000+0*(Consolidado!$B$5:$B$1000=""))=12)*(Consolidado!$B$5:$B$1000&lt;&gt;"")*((($C$2="Todos")+(Consolidado!$I$5:$I$1000&amp;""=$C$2&amp;""))&gt;0))</f>
        <v>0</v>
      </c>
    </row>
    <row r="27" customFormat="false" ht="15" hidden="false" customHeight="true" outlineLevel="0" collapsed="false">
      <c r="A27" s="8" t="n">
        <v>23</v>
      </c>
      <c r="B27" s="9" t="str">
        <f aca="false">Catálogos!C24</f>
        <v>Registro de accionistas</v>
      </c>
      <c r="C27" s="10" t="str">
        <f aca="false">Catálogos!D24</f>
        <v>NRP-37</v>
      </c>
      <c r="D27" s="11" t="n">
        <f aca="false">SUMPRODUCT((Consolidado!$E$5:$E$1000=$B27)*(Consolidado!$C$5:$C$1000="Auditoría Interna")*((($C$2="Todos")+(Consolidado!$I$5:$I$1000&amp;""=$C$2&amp;""))&gt;0))</f>
        <v>0</v>
      </c>
      <c r="E27" s="11" t="n">
        <f aca="false">SUMPRODUCT((Consolidado!$E$5:$E$1000=$B27)*(Consolidado!$C$5:$C$1000="Auditoría Externa")*((($C$2="Todos")+(Consolidado!$I$5:$I$1000&amp;""=$C$2&amp;""))&gt;0))</f>
        <v>0</v>
      </c>
      <c r="F27" s="11" t="n">
        <f aca="false">SUMPRODUCT((Consolidado!$E$5:$E$1000=$B27)*(Consolidado!$C$5:$C$1000="SSF")*((($C$2="Todos")+(Consolidado!$I$5:$I$1000&amp;""=$C$2&amp;""))&gt;0))</f>
        <v>1</v>
      </c>
      <c r="G27" s="11" t="n">
        <f aca="false">SUMPRODUCT((Consolidado!$E$5:$E$1000=$B27)*(Consolidado!$C$5:$C$1000="Comité de Supervisión")*((($C$2="Todos")+(Consolidado!$I$5:$I$1000&amp;""=$C$2&amp;""))&gt;0))</f>
        <v>0</v>
      </c>
      <c r="H27" s="11" t="n">
        <f aca="false">SUMPRODUCT((Consolidado!$E$5:$E$1000=$B27)*(Consolidado!$C$5:$C$1000="Consejo de Administración")*((($C$2="Todos")+(Consolidado!$I$5:$I$1000&amp;""=$C$2&amp;""))&gt;0))</f>
        <v>0</v>
      </c>
      <c r="I27" s="11" t="n">
        <f aca="false">SUMPRODUCT((Consolidado!$E$5:$E$1000=$B27)*(Consolidado!$C$5:$C$1000="Otros")*((($C$2="Todos")+(Consolidado!$I$5:$I$1000&amp;""=$C$2&amp;""))&gt;0))</f>
        <v>0</v>
      </c>
      <c r="J27" s="12" t="n">
        <f aca="false">SUM(D27:I27)</f>
        <v>1</v>
      </c>
      <c r="K27" s="12" t="n">
        <f aca="false">SUMPRODUCT((Consolidado!$E$5:$E$1000=$B27)*(Consolidado!$AE$5:$AE$1000)*((($C$2="Todos")+(Consolidado!$I$5:$I$1000&amp;""=$C$2&amp;""))&gt;0))</f>
        <v>1</v>
      </c>
      <c r="L27" s="8" t="n">
        <f aca="false">COUNTIF(D27:I27,"&gt;0")</f>
        <v>1</v>
      </c>
      <c r="M27" s="13" t="str">
        <f aca="false">IF(L27&gt;=2,"Sí","No")</f>
        <v>No</v>
      </c>
      <c r="N27" s="8" t="n">
        <f aca="false">IF(J27=0,"",RANK(J27,$J$5:$J$33))</f>
        <v>17</v>
      </c>
      <c r="O27" s="11" t="n">
        <f aca="false">SUMPRODUCT((Consolidado!$E$5:$E$1000=$B27)*(MONTH(Consolidado!$B$5:$B$1000+0*(Consolidado!$B$5:$B$1000=""))=1)*(Consolidado!$B$5:$B$1000&lt;&gt;"")*((($C$2="Todos")+(Consolidado!$I$5:$I$1000&amp;""=$C$2&amp;""))&gt;0))</f>
        <v>0</v>
      </c>
      <c r="P27" s="11" t="n">
        <f aca="false">SUMPRODUCT((Consolidado!$E$5:$E$1000=$B27)*(MONTH(Consolidado!$B$5:$B$1000+0*(Consolidado!$B$5:$B$1000=""))=2)*(Consolidado!$B$5:$B$1000&lt;&gt;"")*((($C$2="Todos")+(Consolidado!$I$5:$I$1000&amp;""=$C$2&amp;""))&gt;0))</f>
        <v>1</v>
      </c>
      <c r="Q27" s="11" t="n">
        <f aca="false">SUMPRODUCT((Consolidado!$E$5:$E$1000=$B27)*(MONTH(Consolidado!$B$5:$B$1000+0*(Consolidado!$B$5:$B$1000=""))=3)*(Consolidado!$B$5:$B$1000&lt;&gt;"")*((($C$2="Todos")+(Consolidado!$I$5:$I$1000&amp;""=$C$2&amp;""))&gt;0))</f>
        <v>0</v>
      </c>
      <c r="R27" s="11" t="n">
        <f aca="false">SUMPRODUCT((Consolidado!$E$5:$E$1000=$B27)*(MONTH(Consolidado!$B$5:$B$1000+0*(Consolidado!$B$5:$B$1000=""))=4)*(Consolidado!$B$5:$B$1000&lt;&gt;"")*((($C$2="Todos")+(Consolidado!$I$5:$I$1000&amp;""=$C$2&amp;""))&gt;0))</f>
        <v>0</v>
      </c>
      <c r="S27" s="11" t="n">
        <f aca="false">SUMPRODUCT((Consolidado!$E$5:$E$1000=$B27)*(MONTH(Consolidado!$B$5:$B$1000+0*(Consolidado!$B$5:$B$1000=""))=5)*(Consolidado!$B$5:$B$1000&lt;&gt;"")*((($C$2="Todos")+(Consolidado!$I$5:$I$1000&amp;""=$C$2&amp;""))&gt;0))</f>
        <v>0</v>
      </c>
      <c r="T27" s="11" t="n">
        <f aca="false">SUMPRODUCT((Consolidado!$E$5:$E$1000=$B27)*(MONTH(Consolidado!$B$5:$B$1000+0*(Consolidado!$B$5:$B$1000=""))=6)*(Consolidado!$B$5:$B$1000&lt;&gt;"")*((($C$2="Todos")+(Consolidado!$I$5:$I$1000&amp;""=$C$2&amp;""))&gt;0))</f>
        <v>0</v>
      </c>
      <c r="U27" s="11" t="n">
        <f aca="false">SUMPRODUCT((Consolidado!$E$5:$E$1000=$B27)*(MONTH(Consolidado!$B$5:$B$1000+0*(Consolidado!$B$5:$B$1000=""))=7)*(Consolidado!$B$5:$B$1000&lt;&gt;"")*((($C$2="Todos")+(Consolidado!$I$5:$I$1000&amp;""=$C$2&amp;""))&gt;0))</f>
        <v>0</v>
      </c>
      <c r="V27" s="11" t="n">
        <f aca="false">SUMPRODUCT((Consolidado!$E$5:$E$1000=$B27)*(MONTH(Consolidado!$B$5:$B$1000+0*(Consolidado!$B$5:$B$1000=""))=8)*(Consolidado!$B$5:$B$1000&lt;&gt;"")*((($C$2="Todos")+(Consolidado!$I$5:$I$1000&amp;""=$C$2&amp;""))&gt;0))</f>
        <v>0</v>
      </c>
      <c r="W27" s="11" t="n">
        <f aca="false">SUMPRODUCT((Consolidado!$E$5:$E$1000=$B27)*(MONTH(Consolidado!$B$5:$B$1000+0*(Consolidado!$B$5:$B$1000=""))=9)*(Consolidado!$B$5:$B$1000&lt;&gt;"")*((($C$2="Todos")+(Consolidado!$I$5:$I$1000&amp;""=$C$2&amp;""))&gt;0))</f>
        <v>0</v>
      </c>
      <c r="X27" s="11" t="n">
        <f aca="false">SUMPRODUCT((Consolidado!$E$5:$E$1000=$B27)*(MONTH(Consolidado!$B$5:$B$1000+0*(Consolidado!$B$5:$B$1000=""))=10)*(Consolidado!$B$5:$B$1000&lt;&gt;"")*((($C$2="Todos")+(Consolidado!$I$5:$I$1000&amp;""=$C$2&amp;""))&gt;0))</f>
        <v>0</v>
      </c>
      <c r="Y27" s="11" t="n">
        <f aca="false">SUMPRODUCT((Consolidado!$E$5:$E$1000=$B27)*(MONTH(Consolidado!$B$5:$B$1000+0*(Consolidado!$B$5:$B$1000=""))=11)*(Consolidado!$B$5:$B$1000&lt;&gt;"")*((($C$2="Todos")+(Consolidado!$I$5:$I$1000&amp;""=$C$2&amp;""))&gt;0))</f>
        <v>0</v>
      </c>
      <c r="Z27" s="11" t="n">
        <f aca="false">SUMPRODUCT((Consolidado!$E$5:$E$1000=$B27)*(MONTH(Consolidado!$B$5:$B$1000+0*(Consolidado!$B$5:$B$1000=""))=12)*(Consolidado!$B$5:$B$1000&lt;&gt;"")*((($C$2="Todos")+(Consolidado!$I$5:$I$1000&amp;""=$C$2&amp;""))&gt;0))</f>
        <v>0</v>
      </c>
    </row>
    <row r="28" customFormat="false" ht="15" hidden="false" customHeight="true" outlineLevel="0" collapsed="false">
      <c r="A28" s="8" t="n">
        <v>24</v>
      </c>
      <c r="B28" s="9" t="str">
        <f aca="false">Catálogos!C25</f>
        <v>Canales digitales / migración tecnológica</v>
      </c>
      <c r="C28" s="10" t="str">
        <f aca="false">Catálogos!D25</f>
        <v>NRP-32</v>
      </c>
      <c r="D28" s="11" t="n">
        <f aca="false">SUMPRODUCT((Consolidado!$E$5:$E$1000=$B28)*(Consolidado!$C$5:$C$1000="Auditoría Interna")*((($C$2="Todos")+(Consolidado!$I$5:$I$1000&amp;""=$C$2&amp;""))&gt;0))</f>
        <v>0</v>
      </c>
      <c r="E28" s="11" t="n">
        <f aca="false">SUMPRODUCT((Consolidado!$E$5:$E$1000=$B28)*(Consolidado!$C$5:$C$1000="Auditoría Externa")*((($C$2="Todos")+(Consolidado!$I$5:$I$1000&amp;""=$C$2&amp;""))&gt;0))</f>
        <v>0</v>
      </c>
      <c r="F28" s="11" t="n">
        <f aca="false">SUMPRODUCT((Consolidado!$E$5:$E$1000=$B28)*(Consolidado!$C$5:$C$1000="SSF")*((($C$2="Todos")+(Consolidado!$I$5:$I$1000&amp;""=$C$2&amp;""))&gt;0))</f>
        <v>1</v>
      </c>
      <c r="G28" s="11" t="n">
        <f aca="false">SUMPRODUCT((Consolidado!$E$5:$E$1000=$B28)*(Consolidado!$C$5:$C$1000="Comité de Supervisión")*((($C$2="Todos")+(Consolidado!$I$5:$I$1000&amp;""=$C$2&amp;""))&gt;0))</f>
        <v>0</v>
      </c>
      <c r="H28" s="11" t="n">
        <f aca="false">SUMPRODUCT((Consolidado!$E$5:$E$1000=$B28)*(Consolidado!$C$5:$C$1000="Consejo de Administración")*((($C$2="Todos")+(Consolidado!$I$5:$I$1000&amp;""=$C$2&amp;""))&gt;0))</f>
        <v>0</v>
      </c>
      <c r="I28" s="11" t="n">
        <f aca="false">SUMPRODUCT((Consolidado!$E$5:$E$1000=$B28)*(Consolidado!$C$5:$C$1000="Otros")*((($C$2="Todos")+(Consolidado!$I$5:$I$1000&amp;""=$C$2&amp;""))&gt;0))</f>
        <v>0</v>
      </c>
      <c r="J28" s="12" t="n">
        <f aca="false">SUM(D28:I28)</f>
        <v>1</v>
      </c>
      <c r="K28" s="12" t="n">
        <f aca="false">SUMPRODUCT((Consolidado!$E$5:$E$1000=$B28)*(Consolidado!$AE$5:$AE$1000)*((($C$2="Todos")+(Consolidado!$I$5:$I$1000&amp;""=$C$2&amp;""))&gt;0))</f>
        <v>1</v>
      </c>
      <c r="L28" s="8" t="n">
        <f aca="false">COUNTIF(D28:I28,"&gt;0")</f>
        <v>1</v>
      </c>
      <c r="M28" s="13" t="str">
        <f aca="false">IF(L28&gt;=2,"Sí","No")</f>
        <v>No</v>
      </c>
      <c r="N28" s="8" t="n">
        <f aca="false">IF(J28=0,"",RANK(J28,$J$5:$J$33))</f>
        <v>17</v>
      </c>
      <c r="O28" s="11" t="n">
        <f aca="false">SUMPRODUCT((Consolidado!$E$5:$E$1000=$B28)*(MONTH(Consolidado!$B$5:$B$1000+0*(Consolidado!$B$5:$B$1000=""))=1)*(Consolidado!$B$5:$B$1000&lt;&gt;"")*((($C$2="Todos")+(Consolidado!$I$5:$I$1000&amp;""=$C$2&amp;""))&gt;0))</f>
        <v>0</v>
      </c>
      <c r="P28" s="11" t="n">
        <f aca="false">SUMPRODUCT((Consolidado!$E$5:$E$1000=$B28)*(MONTH(Consolidado!$B$5:$B$1000+0*(Consolidado!$B$5:$B$1000=""))=2)*(Consolidado!$B$5:$B$1000&lt;&gt;"")*((($C$2="Todos")+(Consolidado!$I$5:$I$1000&amp;""=$C$2&amp;""))&gt;0))</f>
        <v>0</v>
      </c>
      <c r="Q28" s="11" t="n">
        <f aca="false">SUMPRODUCT((Consolidado!$E$5:$E$1000=$B28)*(MONTH(Consolidado!$B$5:$B$1000+0*(Consolidado!$B$5:$B$1000=""))=3)*(Consolidado!$B$5:$B$1000&lt;&gt;"")*((($C$2="Todos")+(Consolidado!$I$5:$I$1000&amp;""=$C$2&amp;""))&gt;0))</f>
        <v>0</v>
      </c>
      <c r="R28" s="11" t="n">
        <f aca="false">SUMPRODUCT((Consolidado!$E$5:$E$1000=$B28)*(MONTH(Consolidado!$B$5:$B$1000+0*(Consolidado!$B$5:$B$1000=""))=4)*(Consolidado!$B$5:$B$1000&lt;&gt;"")*((($C$2="Todos")+(Consolidado!$I$5:$I$1000&amp;""=$C$2&amp;""))&gt;0))</f>
        <v>0</v>
      </c>
      <c r="S28" s="11" t="n">
        <f aca="false">SUMPRODUCT((Consolidado!$E$5:$E$1000=$B28)*(MONTH(Consolidado!$B$5:$B$1000+0*(Consolidado!$B$5:$B$1000=""))=5)*(Consolidado!$B$5:$B$1000&lt;&gt;"")*((($C$2="Todos")+(Consolidado!$I$5:$I$1000&amp;""=$C$2&amp;""))&gt;0))</f>
        <v>0</v>
      </c>
      <c r="T28" s="11" t="n">
        <f aca="false">SUMPRODUCT((Consolidado!$E$5:$E$1000=$B28)*(MONTH(Consolidado!$B$5:$B$1000+0*(Consolidado!$B$5:$B$1000=""))=6)*(Consolidado!$B$5:$B$1000&lt;&gt;"")*((($C$2="Todos")+(Consolidado!$I$5:$I$1000&amp;""=$C$2&amp;""))&gt;0))</f>
        <v>0</v>
      </c>
      <c r="U28" s="11" t="n">
        <f aca="false">SUMPRODUCT((Consolidado!$E$5:$E$1000=$B28)*(MONTH(Consolidado!$B$5:$B$1000+0*(Consolidado!$B$5:$B$1000=""))=7)*(Consolidado!$B$5:$B$1000&lt;&gt;"")*((($C$2="Todos")+(Consolidado!$I$5:$I$1000&amp;""=$C$2&amp;""))&gt;0))</f>
        <v>0</v>
      </c>
      <c r="V28" s="11" t="n">
        <f aca="false">SUMPRODUCT((Consolidado!$E$5:$E$1000=$B28)*(MONTH(Consolidado!$B$5:$B$1000+0*(Consolidado!$B$5:$B$1000=""))=8)*(Consolidado!$B$5:$B$1000&lt;&gt;"")*((($C$2="Todos")+(Consolidado!$I$5:$I$1000&amp;""=$C$2&amp;""))&gt;0))</f>
        <v>0</v>
      </c>
      <c r="W28" s="11" t="n">
        <f aca="false">SUMPRODUCT((Consolidado!$E$5:$E$1000=$B28)*(MONTH(Consolidado!$B$5:$B$1000+0*(Consolidado!$B$5:$B$1000=""))=9)*(Consolidado!$B$5:$B$1000&lt;&gt;"")*((($C$2="Todos")+(Consolidado!$I$5:$I$1000&amp;""=$C$2&amp;""))&gt;0))</f>
        <v>0</v>
      </c>
      <c r="X28" s="11" t="n">
        <f aca="false">SUMPRODUCT((Consolidado!$E$5:$E$1000=$B28)*(MONTH(Consolidado!$B$5:$B$1000+0*(Consolidado!$B$5:$B$1000=""))=10)*(Consolidado!$B$5:$B$1000&lt;&gt;"")*((($C$2="Todos")+(Consolidado!$I$5:$I$1000&amp;""=$C$2&amp;""))&gt;0))</f>
        <v>0</v>
      </c>
      <c r="Y28" s="11" t="n">
        <f aca="false">SUMPRODUCT((Consolidado!$E$5:$E$1000=$B28)*(MONTH(Consolidado!$B$5:$B$1000+0*(Consolidado!$B$5:$B$1000=""))=11)*(Consolidado!$B$5:$B$1000&lt;&gt;"")*((($C$2="Todos")+(Consolidado!$I$5:$I$1000&amp;""=$C$2&amp;""))&gt;0))</f>
        <v>0</v>
      </c>
      <c r="Z28" s="11" t="n">
        <f aca="false">SUMPRODUCT((Consolidado!$E$5:$E$1000=$B28)*(MONTH(Consolidado!$B$5:$B$1000+0*(Consolidado!$B$5:$B$1000=""))=12)*(Consolidado!$B$5:$B$1000&lt;&gt;"")*((($C$2="Todos")+(Consolidado!$I$5:$I$1000&amp;""=$C$2&amp;""))&gt;0))</f>
        <v>0</v>
      </c>
    </row>
    <row r="29" customFormat="false" ht="15" hidden="false" customHeight="true" outlineLevel="0" collapsed="false">
      <c r="A29" s="8" t="n">
        <v>25</v>
      </c>
      <c r="B29" s="9" t="str">
        <f aca="false">Catálogos!C26</f>
        <v>Información financiera (NRSF-01 / NRSF-03)</v>
      </c>
      <c r="C29" s="10" t="str">
        <f aca="false">Catálogos!D26</f>
        <v>NRSF-01 / NRSF-03</v>
      </c>
      <c r="D29" s="11" t="n">
        <f aca="false">SUMPRODUCT((Consolidado!$E$5:$E$1000=$B29)*(Consolidado!$C$5:$C$1000="Auditoría Interna")*((($C$2="Todos")+(Consolidado!$I$5:$I$1000&amp;""=$C$2&amp;""))&gt;0))</f>
        <v>0</v>
      </c>
      <c r="E29" s="11" t="n">
        <f aca="false">SUMPRODUCT((Consolidado!$E$5:$E$1000=$B29)*(Consolidado!$C$5:$C$1000="Auditoría Externa")*((($C$2="Todos")+(Consolidado!$I$5:$I$1000&amp;""=$C$2&amp;""))&gt;0))</f>
        <v>0</v>
      </c>
      <c r="F29" s="11" t="n">
        <f aca="false">SUMPRODUCT((Consolidado!$E$5:$E$1000=$B29)*(Consolidado!$C$5:$C$1000="SSF")*((($C$2="Todos")+(Consolidado!$I$5:$I$1000&amp;""=$C$2&amp;""))&gt;0))</f>
        <v>2</v>
      </c>
      <c r="G29" s="11" t="n">
        <f aca="false">SUMPRODUCT((Consolidado!$E$5:$E$1000=$B29)*(Consolidado!$C$5:$C$1000="Comité de Supervisión")*((($C$2="Todos")+(Consolidado!$I$5:$I$1000&amp;""=$C$2&amp;""))&gt;0))</f>
        <v>0</v>
      </c>
      <c r="H29" s="11" t="n">
        <f aca="false">SUMPRODUCT((Consolidado!$E$5:$E$1000=$B29)*(Consolidado!$C$5:$C$1000="Consejo de Administración")*((($C$2="Todos")+(Consolidado!$I$5:$I$1000&amp;""=$C$2&amp;""))&gt;0))</f>
        <v>0</v>
      </c>
      <c r="I29" s="11" t="n">
        <f aca="false">SUMPRODUCT((Consolidado!$E$5:$E$1000=$B29)*(Consolidado!$C$5:$C$1000="Otros")*((($C$2="Todos")+(Consolidado!$I$5:$I$1000&amp;""=$C$2&amp;""))&gt;0))</f>
        <v>0</v>
      </c>
      <c r="J29" s="12" t="n">
        <f aca="false">SUM(D29:I29)</f>
        <v>2</v>
      </c>
      <c r="K29" s="12" t="n">
        <f aca="false">SUMPRODUCT((Consolidado!$E$5:$E$1000=$B29)*(Consolidado!$AE$5:$AE$1000)*((($C$2="Todos")+(Consolidado!$I$5:$I$1000&amp;""=$C$2&amp;""))&gt;0))</f>
        <v>2</v>
      </c>
      <c r="L29" s="8" t="n">
        <f aca="false">COUNTIF(D29:I29,"&gt;0")</f>
        <v>1</v>
      </c>
      <c r="M29" s="13" t="str">
        <f aca="false">IF(L29&gt;=2,"Sí","No")</f>
        <v>No</v>
      </c>
      <c r="N29" s="8" t="n">
        <f aca="false">IF(J29=0,"",RANK(J29,$J$5:$J$33))</f>
        <v>12</v>
      </c>
      <c r="O29" s="11" t="n">
        <f aca="false">SUMPRODUCT((Consolidado!$E$5:$E$1000=$B29)*(MONTH(Consolidado!$B$5:$B$1000+0*(Consolidado!$B$5:$B$1000=""))=1)*(Consolidado!$B$5:$B$1000&lt;&gt;"")*((($C$2="Todos")+(Consolidado!$I$5:$I$1000&amp;""=$C$2&amp;""))&gt;0))</f>
        <v>0</v>
      </c>
      <c r="P29" s="11" t="n">
        <f aca="false">SUMPRODUCT((Consolidado!$E$5:$E$1000=$B29)*(MONTH(Consolidado!$B$5:$B$1000+0*(Consolidado!$B$5:$B$1000=""))=2)*(Consolidado!$B$5:$B$1000&lt;&gt;"")*((($C$2="Todos")+(Consolidado!$I$5:$I$1000&amp;""=$C$2&amp;""))&gt;0))</f>
        <v>1</v>
      </c>
      <c r="Q29" s="11" t="n">
        <f aca="false">SUMPRODUCT((Consolidado!$E$5:$E$1000=$B29)*(MONTH(Consolidado!$B$5:$B$1000+0*(Consolidado!$B$5:$B$1000=""))=3)*(Consolidado!$B$5:$B$1000&lt;&gt;"")*((($C$2="Todos")+(Consolidado!$I$5:$I$1000&amp;""=$C$2&amp;""))&gt;0))</f>
        <v>0</v>
      </c>
      <c r="R29" s="11" t="n">
        <f aca="false">SUMPRODUCT((Consolidado!$E$5:$E$1000=$B29)*(MONTH(Consolidado!$B$5:$B$1000+0*(Consolidado!$B$5:$B$1000=""))=4)*(Consolidado!$B$5:$B$1000&lt;&gt;"")*((($C$2="Todos")+(Consolidado!$I$5:$I$1000&amp;""=$C$2&amp;""))&gt;0))</f>
        <v>0</v>
      </c>
      <c r="S29" s="11" t="n">
        <f aca="false">SUMPRODUCT((Consolidado!$E$5:$E$1000=$B29)*(MONTH(Consolidado!$B$5:$B$1000+0*(Consolidado!$B$5:$B$1000=""))=5)*(Consolidado!$B$5:$B$1000&lt;&gt;"")*((($C$2="Todos")+(Consolidado!$I$5:$I$1000&amp;""=$C$2&amp;""))&gt;0))</f>
        <v>0</v>
      </c>
      <c r="T29" s="11" t="n">
        <f aca="false">SUMPRODUCT((Consolidado!$E$5:$E$1000=$B29)*(MONTH(Consolidado!$B$5:$B$1000+0*(Consolidado!$B$5:$B$1000=""))=6)*(Consolidado!$B$5:$B$1000&lt;&gt;"")*((($C$2="Todos")+(Consolidado!$I$5:$I$1000&amp;""=$C$2&amp;""))&gt;0))</f>
        <v>0</v>
      </c>
      <c r="U29" s="11" t="n">
        <f aca="false">SUMPRODUCT((Consolidado!$E$5:$E$1000=$B29)*(MONTH(Consolidado!$B$5:$B$1000+0*(Consolidado!$B$5:$B$1000=""))=7)*(Consolidado!$B$5:$B$1000&lt;&gt;"")*((($C$2="Todos")+(Consolidado!$I$5:$I$1000&amp;""=$C$2&amp;""))&gt;0))</f>
        <v>0</v>
      </c>
      <c r="V29" s="11" t="n">
        <f aca="false">SUMPRODUCT((Consolidado!$E$5:$E$1000=$B29)*(MONTH(Consolidado!$B$5:$B$1000+0*(Consolidado!$B$5:$B$1000=""))=8)*(Consolidado!$B$5:$B$1000&lt;&gt;"")*((($C$2="Todos")+(Consolidado!$I$5:$I$1000&amp;""=$C$2&amp;""))&gt;0))</f>
        <v>0</v>
      </c>
      <c r="W29" s="11" t="n">
        <f aca="false">SUMPRODUCT((Consolidado!$E$5:$E$1000=$B29)*(MONTH(Consolidado!$B$5:$B$1000+0*(Consolidado!$B$5:$B$1000=""))=9)*(Consolidado!$B$5:$B$1000&lt;&gt;"")*((($C$2="Todos")+(Consolidado!$I$5:$I$1000&amp;""=$C$2&amp;""))&gt;0))</f>
        <v>1</v>
      </c>
      <c r="X29" s="11" t="n">
        <f aca="false">SUMPRODUCT((Consolidado!$E$5:$E$1000=$B29)*(MONTH(Consolidado!$B$5:$B$1000+0*(Consolidado!$B$5:$B$1000=""))=10)*(Consolidado!$B$5:$B$1000&lt;&gt;"")*((($C$2="Todos")+(Consolidado!$I$5:$I$1000&amp;""=$C$2&amp;""))&gt;0))</f>
        <v>0</v>
      </c>
      <c r="Y29" s="11" t="n">
        <f aca="false">SUMPRODUCT((Consolidado!$E$5:$E$1000=$B29)*(MONTH(Consolidado!$B$5:$B$1000+0*(Consolidado!$B$5:$B$1000=""))=11)*(Consolidado!$B$5:$B$1000&lt;&gt;"")*((($C$2="Todos")+(Consolidado!$I$5:$I$1000&amp;""=$C$2&amp;""))&gt;0))</f>
        <v>0</v>
      </c>
      <c r="Z29" s="11" t="n">
        <f aca="false">SUMPRODUCT((Consolidado!$E$5:$E$1000=$B29)*(MONTH(Consolidado!$B$5:$B$1000+0*(Consolidado!$B$5:$B$1000=""))=12)*(Consolidado!$B$5:$B$1000&lt;&gt;"")*((($C$2="Todos")+(Consolidado!$I$5:$I$1000&amp;""=$C$2&amp;""))&gt;0))</f>
        <v>0</v>
      </c>
    </row>
    <row r="30" customFormat="false" ht="15" hidden="false" customHeight="true" outlineLevel="0" collapsed="false">
      <c r="A30" s="8" t="n">
        <v>26</v>
      </c>
      <c r="B30" s="9" t="str">
        <f aca="false">Catálogos!C27</f>
        <v>Estabilidad financiera y garantía de depósitos</v>
      </c>
      <c r="C30" s="10" t="str">
        <f aca="false">Catálogos!D27</f>
        <v>Ley de Estabilidad del SF</v>
      </c>
      <c r="D30" s="11" t="n">
        <f aca="false">SUMPRODUCT((Consolidado!$E$5:$E$1000=$B30)*(Consolidado!$C$5:$C$1000="Auditoría Interna")*((($C$2="Todos")+(Consolidado!$I$5:$I$1000&amp;""=$C$2&amp;""))&gt;0))</f>
        <v>0</v>
      </c>
      <c r="E30" s="11" t="n">
        <f aca="false">SUMPRODUCT((Consolidado!$E$5:$E$1000=$B30)*(Consolidado!$C$5:$C$1000="Auditoría Externa")*((($C$2="Todos")+(Consolidado!$I$5:$I$1000&amp;""=$C$2&amp;""))&gt;0))</f>
        <v>0</v>
      </c>
      <c r="F30" s="11" t="n">
        <f aca="false">SUMPRODUCT((Consolidado!$E$5:$E$1000=$B30)*(Consolidado!$C$5:$C$1000="SSF")*((($C$2="Todos")+(Consolidado!$I$5:$I$1000&amp;""=$C$2&amp;""))&gt;0))</f>
        <v>1</v>
      </c>
      <c r="G30" s="11" t="n">
        <f aca="false">SUMPRODUCT((Consolidado!$E$5:$E$1000=$B30)*(Consolidado!$C$5:$C$1000="Comité de Supervisión")*((($C$2="Todos")+(Consolidado!$I$5:$I$1000&amp;""=$C$2&amp;""))&gt;0))</f>
        <v>0</v>
      </c>
      <c r="H30" s="11" t="n">
        <f aca="false">SUMPRODUCT((Consolidado!$E$5:$E$1000=$B30)*(Consolidado!$C$5:$C$1000="Consejo de Administración")*((($C$2="Todos")+(Consolidado!$I$5:$I$1000&amp;""=$C$2&amp;""))&gt;0))</f>
        <v>0</v>
      </c>
      <c r="I30" s="11" t="n">
        <f aca="false">SUMPRODUCT((Consolidado!$E$5:$E$1000=$B30)*(Consolidado!$C$5:$C$1000="Otros")*((($C$2="Todos")+(Consolidado!$I$5:$I$1000&amp;""=$C$2&amp;""))&gt;0))</f>
        <v>0</v>
      </c>
      <c r="J30" s="12" t="n">
        <f aca="false">SUM(D30:I30)</f>
        <v>1</v>
      </c>
      <c r="K30" s="12" t="n">
        <f aca="false">SUMPRODUCT((Consolidado!$E$5:$E$1000=$B30)*(Consolidado!$AE$5:$AE$1000)*((($C$2="Todos")+(Consolidado!$I$5:$I$1000&amp;""=$C$2&amp;""))&gt;0))</f>
        <v>1</v>
      </c>
      <c r="L30" s="8" t="n">
        <f aca="false">COUNTIF(D30:I30,"&gt;0")</f>
        <v>1</v>
      </c>
      <c r="M30" s="13" t="str">
        <f aca="false">IF(L30&gt;=2,"Sí","No")</f>
        <v>No</v>
      </c>
      <c r="N30" s="8" t="n">
        <f aca="false">IF(J30=0,"",RANK(J30,$J$5:$J$33))</f>
        <v>17</v>
      </c>
      <c r="O30" s="11" t="n">
        <f aca="false">SUMPRODUCT((Consolidado!$E$5:$E$1000=$B30)*(MONTH(Consolidado!$B$5:$B$1000+0*(Consolidado!$B$5:$B$1000=""))=1)*(Consolidado!$B$5:$B$1000&lt;&gt;"")*((($C$2="Todos")+(Consolidado!$I$5:$I$1000&amp;""=$C$2&amp;""))&gt;0))</f>
        <v>0</v>
      </c>
      <c r="P30" s="11" t="n">
        <f aca="false">SUMPRODUCT((Consolidado!$E$5:$E$1000=$B30)*(MONTH(Consolidado!$B$5:$B$1000+0*(Consolidado!$B$5:$B$1000=""))=2)*(Consolidado!$B$5:$B$1000&lt;&gt;"")*((($C$2="Todos")+(Consolidado!$I$5:$I$1000&amp;""=$C$2&amp;""))&gt;0))</f>
        <v>0</v>
      </c>
      <c r="Q30" s="11" t="n">
        <f aca="false">SUMPRODUCT((Consolidado!$E$5:$E$1000=$B30)*(MONTH(Consolidado!$B$5:$B$1000+0*(Consolidado!$B$5:$B$1000=""))=3)*(Consolidado!$B$5:$B$1000&lt;&gt;"")*((($C$2="Todos")+(Consolidado!$I$5:$I$1000&amp;""=$C$2&amp;""))&gt;0))</f>
        <v>0</v>
      </c>
      <c r="R30" s="11" t="n">
        <f aca="false">SUMPRODUCT((Consolidado!$E$5:$E$1000=$B30)*(MONTH(Consolidado!$B$5:$B$1000+0*(Consolidado!$B$5:$B$1000=""))=4)*(Consolidado!$B$5:$B$1000&lt;&gt;"")*((($C$2="Todos")+(Consolidado!$I$5:$I$1000&amp;""=$C$2&amp;""))&gt;0))</f>
        <v>0</v>
      </c>
      <c r="S30" s="11" t="n">
        <f aca="false">SUMPRODUCT((Consolidado!$E$5:$E$1000=$B30)*(MONTH(Consolidado!$B$5:$B$1000+0*(Consolidado!$B$5:$B$1000=""))=5)*(Consolidado!$B$5:$B$1000&lt;&gt;"")*((($C$2="Todos")+(Consolidado!$I$5:$I$1000&amp;""=$C$2&amp;""))&gt;0))</f>
        <v>0</v>
      </c>
      <c r="T30" s="11" t="n">
        <f aca="false">SUMPRODUCT((Consolidado!$E$5:$E$1000=$B30)*(MONTH(Consolidado!$B$5:$B$1000+0*(Consolidado!$B$5:$B$1000=""))=6)*(Consolidado!$B$5:$B$1000&lt;&gt;"")*((($C$2="Todos")+(Consolidado!$I$5:$I$1000&amp;""=$C$2&amp;""))&gt;0))</f>
        <v>0</v>
      </c>
      <c r="U30" s="11" t="n">
        <f aca="false">SUMPRODUCT((Consolidado!$E$5:$E$1000=$B30)*(MONTH(Consolidado!$B$5:$B$1000+0*(Consolidado!$B$5:$B$1000=""))=7)*(Consolidado!$B$5:$B$1000&lt;&gt;"")*((($C$2="Todos")+(Consolidado!$I$5:$I$1000&amp;""=$C$2&amp;""))&gt;0))</f>
        <v>0</v>
      </c>
      <c r="V30" s="11" t="n">
        <f aca="false">SUMPRODUCT((Consolidado!$E$5:$E$1000=$B30)*(MONTH(Consolidado!$B$5:$B$1000+0*(Consolidado!$B$5:$B$1000=""))=8)*(Consolidado!$B$5:$B$1000&lt;&gt;"")*((($C$2="Todos")+(Consolidado!$I$5:$I$1000&amp;""=$C$2&amp;""))&gt;0))</f>
        <v>1</v>
      </c>
      <c r="W30" s="11" t="n">
        <f aca="false">SUMPRODUCT((Consolidado!$E$5:$E$1000=$B30)*(MONTH(Consolidado!$B$5:$B$1000+0*(Consolidado!$B$5:$B$1000=""))=9)*(Consolidado!$B$5:$B$1000&lt;&gt;"")*((($C$2="Todos")+(Consolidado!$I$5:$I$1000&amp;""=$C$2&amp;""))&gt;0))</f>
        <v>0</v>
      </c>
      <c r="X30" s="11" t="n">
        <f aca="false">SUMPRODUCT((Consolidado!$E$5:$E$1000=$B30)*(MONTH(Consolidado!$B$5:$B$1000+0*(Consolidado!$B$5:$B$1000=""))=10)*(Consolidado!$B$5:$B$1000&lt;&gt;"")*((($C$2="Todos")+(Consolidado!$I$5:$I$1000&amp;""=$C$2&amp;""))&gt;0))</f>
        <v>0</v>
      </c>
      <c r="Y30" s="11" t="n">
        <f aca="false">SUMPRODUCT((Consolidado!$E$5:$E$1000=$B30)*(MONTH(Consolidado!$B$5:$B$1000+0*(Consolidado!$B$5:$B$1000=""))=11)*(Consolidado!$B$5:$B$1000&lt;&gt;"")*((($C$2="Todos")+(Consolidado!$I$5:$I$1000&amp;""=$C$2&amp;""))&gt;0))</f>
        <v>0</v>
      </c>
      <c r="Z30" s="11" t="n">
        <f aca="false">SUMPRODUCT((Consolidado!$E$5:$E$1000=$B30)*(MONTH(Consolidado!$B$5:$B$1000+0*(Consolidado!$B$5:$B$1000=""))=12)*(Consolidado!$B$5:$B$1000&lt;&gt;"")*((($C$2="Todos")+(Consolidado!$I$5:$I$1000&amp;""=$C$2&amp;""))&gt;0))</f>
        <v>0</v>
      </c>
    </row>
    <row r="31" customFormat="false" ht="15" hidden="false" customHeight="true" outlineLevel="0" collapsed="false">
      <c r="A31" s="8" t="n">
        <v>27</v>
      </c>
      <c r="B31" s="9" t="str">
        <f aca="false">Catálogos!C28</f>
        <v>Informes y observaciones de la SSF</v>
      </c>
      <c r="C31" s="10" t="str">
        <f aca="false">Catálogos!D28</f>
        <v>Varias</v>
      </c>
      <c r="D31" s="11" t="n">
        <f aca="false">SUMPRODUCT((Consolidado!$E$5:$E$1000=$B31)*(Consolidado!$C$5:$C$1000="Auditoría Interna")*((($C$2="Todos")+(Consolidado!$I$5:$I$1000&amp;""=$C$2&amp;""))&gt;0))</f>
        <v>0</v>
      </c>
      <c r="E31" s="11" t="n">
        <f aca="false">SUMPRODUCT((Consolidado!$E$5:$E$1000=$B31)*(Consolidado!$C$5:$C$1000="Auditoría Externa")*((($C$2="Todos")+(Consolidado!$I$5:$I$1000&amp;""=$C$2&amp;""))&gt;0))</f>
        <v>1</v>
      </c>
      <c r="F31" s="11" t="n">
        <f aca="false">SUMPRODUCT((Consolidado!$E$5:$E$1000=$B31)*(Consolidado!$C$5:$C$1000="SSF")*((($C$2="Todos")+(Consolidado!$I$5:$I$1000&amp;""=$C$2&amp;""))&gt;0))</f>
        <v>0</v>
      </c>
      <c r="G31" s="11" t="n">
        <f aca="false">SUMPRODUCT((Consolidado!$E$5:$E$1000=$B31)*(Consolidado!$C$5:$C$1000="Comité de Supervisión")*((($C$2="Todos")+(Consolidado!$I$5:$I$1000&amp;""=$C$2&amp;""))&gt;0))</f>
        <v>0</v>
      </c>
      <c r="H31" s="11" t="n">
        <f aca="false">SUMPRODUCT((Consolidado!$E$5:$E$1000=$B31)*(Consolidado!$C$5:$C$1000="Consejo de Administración")*((($C$2="Todos")+(Consolidado!$I$5:$I$1000&amp;""=$C$2&amp;""))&gt;0))</f>
        <v>0</v>
      </c>
      <c r="I31" s="11" t="n">
        <f aca="false">SUMPRODUCT((Consolidado!$E$5:$E$1000=$B31)*(Consolidado!$C$5:$C$1000="Otros")*((($C$2="Todos")+(Consolidado!$I$5:$I$1000&amp;""=$C$2&amp;""))&gt;0))</f>
        <v>0</v>
      </c>
      <c r="J31" s="12" t="n">
        <f aca="false">SUM(D31:I31)</f>
        <v>1</v>
      </c>
      <c r="K31" s="12" t="n">
        <f aca="false">SUMPRODUCT((Consolidado!$E$5:$E$1000=$B31)*(Consolidado!$AE$5:$AE$1000)*((($C$2="Todos")+(Consolidado!$I$5:$I$1000&amp;""=$C$2&amp;""))&gt;0))</f>
        <v>1</v>
      </c>
      <c r="L31" s="8" t="n">
        <f aca="false">COUNTIF(D31:I31,"&gt;0")</f>
        <v>1</v>
      </c>
      <c r="M31" s="13" t="str">
        <f aca="false">IF(L31&gt;=2,"Sí","No")</f>
        <v>No</v>
      </c>
      <c r="N31" s="8" t="n">
        <f aca="false">IF(J31=0,"",RANK(J31,$J$5:$J$33))</f>
        <v>17</v>
      </c>
      <c r="O31" s="11" t="n">
        <f aca="false">SUMPRODUCT((Consolidado!$E$5:$E$1000=$B31)*(MONTH(Consolidado!$B$5:$B$1000+0*(Consolidado!$B$5:$B$1000=""))=1)*(Consolidado!$B$5:$B$1000&lt;&gt;"")*((($C$2="Todos")+(Consolidado!$I$5:$I$1000&amp;""=$C$2&amp;""))&gt;0))</f>
        <v>0</v>
      </c>
      <c r="P31" s="11" t="n">
        <f aca="false">SUMPRODUCT((Consolidado!$E$5:$E$1000=$B31)*(MONTH(Consolidado!$B$5:$B$1000+0*(Consolidado!$B$5:$B$1000=""))=2)*(Consolidado!$B$5:$B$1000&lt;&gt;"")*((($C$2="Todos")+(Consolidado!$I$5:$I$1000&amp;""=$C$2&amp;""))&gt;0))</f>
        <v>0</v>
      </c>
      <c r="Q31" s="11" t="n">
        <f aca="false">SUMPRODUCT((Consolidado!$E$5:$E$1000=$B31)*(MONTH(Consolidado!$B$5:$B$1000+0*(Consolidado!$B$5:$B$1000=""))=3)*(Consolidado!$B$5:$B$1000&lt;&gt;"")*((($C$2="Todos")+(Consolidado!$I$5:$I$1000&amp;""=$C$2&amp;""))&gt;0))</f>
        <v>0</v>
      </c>
      <c r="R31" s="11" t="n">
        <f aca="false">SUMPRODUCT((Consolidado!$E$5:$E$1000=$B31)*(MONTH(Consolidado!$B$5:$B$1000+0*(Consolidado!$B$5:$B$1000=""))=4)*(Consolidado!$B$5:$B$1000&lt;&gt;"")*((($C$2="Todos")+(Consolidado!$I$5:$I$1000&amp;""=$C$2&amp;""))&gt;0))</f>
        <v>0</v>
      </c>
      <c r="S31" s="11" t="n">
        <f aca="false">SUMPRODUCT((Consolidado!$E$5:$E$1000=$B31)*(MONTH(Consolidado!$B$5:$B$1000+0*(Consolidado!$B$5:$B$1000=""))=5)*(Consolidado!$B$5:$B$1000&lt;&gt;"")*((($C$2="Todos")+(Consolidado!$I$5:$I$1000&amp;""=$C$2&amp;""))&gt;0))</f>
        <v>0</v>
      </c>
      <c r="T31" s="11" t="n">
        <f aca="false">SUMPRODUCT((Consolidado!$E$5:$E$1000=$B31)*(MONTH(Consolidado!$B$5:$B$1000+0*(Consolidado!$B$5:$B$1000=""))=6)*(Consolidado!$B$5:$B$1000&lt;&gt;"")*((($C$2="Todos")+(Consolidado!$I$5:$I$1000&amp;""=$C$2&amp;""))&gt;0))</f>
        <v>0</v>
      </c>
      <c r="U31" s="11" t="n">
        <f aca="false">SUMPRODUCT((Consolidado!$E$5:$E$1000=$B31)*(MONTH(Consolidado!$B$5:$B$1000+0*(Consolidado!$B$5:$B$1000=""))=7)*(Consolidado!$B$5:$B$1000&lt;&gt;"")*((($C$2="Todos")+(Consolidado!$I$5:$I$1000&amp;""=$C$2&amp;""))&gt;0))</f>
        <v>0</v>
      </c>
      <c r="V31" s="11" t="n">
        <f aca="false">SUMPRODUCT((Consolidado!$E$5:$E$1000=$B31)*(MONTH(Consolidado!$B$5:$B$1000+0*(Consolidado!$B$5:$B$1000=""))=8)*(Consolidado!$B$5:$B$1000&lt;&gt;"")*((($C$2="Todos")+(Consolidado!$I$5:$I$1000&amp;""=$C$2&amp;""))&gt;0))</f>
        <v>0</v>
      </c>
      <c r="W31" s="11" t="n">
        <f aca="false">SUMPRODUCT((Consolidado!$E$5:$E$1000=$B31)*(MONTH(Consolidado!$B$5:$B$1000+0*(Consolidado!$B$5:$B$1000=""))=9)*(Consolidado!$B$5:$B$1000&lt;&gt;"")*((($C$2="Todos")+(Consolidado!$I$5:$I$1000&amp;""=$C$2&amp;""))&gt;0))</f>
        <v>0</v>
      </c>
      <c r="X31" s="11" t="n">
        <f aca="false">SUMPRODUCT((Consolidado!$E$5:$E$1000=$B31)*(MONTH(Consolidado!$B$5:$B$1000+0*(Consolidado!$B$5:$B$1000=""))=10)*(Consolidado!$B$5:$B$1000&lt;&gt;"")*((($C$2="Todos")+(Consolidado!$I$5:$I$1000&amp;""=$C$2&amp;""))&gt;0))</f>
        <v>1</v>
      </c>
      <c r="Y31" s="11" t="n">
        <f aca="false">SUMPRODUCT((Consolidado!$E$5:$E$1000=$B31)*(MONTH(Consolidado!$B$5:$B$1000+0*(Consolidado!$B$5:$B$1000=""))=11)*(Consolidado!$B$5:$B$1000&lt;&gt;"")*((($C$2="Todos")+(Consolidado!$I$5:$I$1000&amp;""=$C$2&amp;""))&gt;0))</f>
        <v>0</v>
      </c>
      <c r="Z31" s="11" t="n">
        <f aca="false">SUMPRODUCT((Consolidado!$E$5:$E$1000=$B31)*(MONTH(Consolidado!$B$5:$B$1000+0*(Consolidado!$B$5:$B$1000=""))=12)*(Consolidado!$B$5:$B$1000&lt;&gt;"")*((($C$2="Todos")+(Consolidado!$I$5:$I$1000&amp;""=$C$2&amp;""))&gt;0))</f>
        <v>0</v>
      </c>
    </row>
    <row r="32" customFormat="false" ht="15" hidden="false" customHeight="true" outlineLevel="0" collapsed="false">
      <c r="A32" s="8" t="n">
        <v>28</v>
      </c>
      <c r="B32" s="9" t="str">
        <f aca="false">Catálogos!C29</f>
        <v>Sostenibilidad e inclusión financiera</v>
      </c>
      <c r="C32" s="10" t="str">
        <f aca="false">Catálogos!D29</f>
        <v>Otros</v>
      </c>
      <c r="D32" s="11" t="n">
        <f aca="false">SUMPRODUCT((Consolidado!$E$5:$E$1000=$B32)*(Consolidado!$C$5:$C$1000="Auditoría Interna")*((($C$2="Todos")+(Consolidado!$I$5:$I$1000&amp;""=$C$2&amp;""))&gt;0))</f>
        <v>0</v>
      </c>
      <c r="E32" s="11" t="n">
        <f aca="false">SUMPRODUCT((Consolidado!$E$5:$E$1000=$B32)*(Consolidado!$C$5:$C$1000="Auditoría Externa")*((($C$2="Todos")+(Consolidado!$I$5:$I$1000&amp;""=$C$2&amp;""))&gt;0))</f>
        <v>0</v>
      </c>
      <c r="F32" s="11" t="n">
        <f aca="false">SUMPRODUCT((Consolidado!$E$5:$E$1000=$B32)*(Consolidado!$C$5:$C$1000="SSF")*((($C$2="Todos")+(Consolidado!$I$5:$I$1000&amp;""=$C$2&amp;""))&gt;0))</f>
        <v>1</v>
      </c>
      <c r="G32" s="11" t="n">
        <f aca="false">SUMPRODUCT((Consolidado!$E$5:$E$1000=$B32)*(Consolidado!$C$5:$C$1000="Comité de Supervisión")*((($C$2="Todos")+(Consolidado!$I$5:$I$1000&amp;""=$C$2&amp;""))&gt;0))</f>
        <v>0</v>
      </c>
      <c r="H32" s="11" t="n">
        <f aca="false">SUMPRODUCT((Consolidado!$E$5:$E$1000=$B32)*(Consolidado!$C$5:$C$1000="Consejo de Administración")*((($C$2="Todos")+(Consolidado!$I$5:$I$1000&amp;""=$C$2&amp;""))&gt;0))</f>
        <v>0</v>
      </c>
      <c r="I32" s="11" t="n">
        <f aca="false">SUMPRODUCT((Consolidado!$E$5:$E$1000=$B32)*(Consolidado!$C$5:$C$1000="Otros")*((($C$2="Todos")+(Consolidado!$I$5:$I$1000&amp;""=$C$2&amp;""))&gt;0))</f>
        <v>0</v>
      </c>
      <c r="J32" s="12" t="n">
        <f aca="false">SUM(D32:I32)</f>
        <v>1</v>
      </c>
      <c r="K32" s="12" t="n">
        <f aca="false">SUMPRODUCT((Consolidado!$E$5:$E$1000=$B32)*(Consolidado!$AE$5:$AE$1000)*((($C$2="Todos")+(Consolidado!$I$5:$I$1000&amp;""=$C$2&amp;""))&gt;0))</f>
        <v>1</v>
      </c>
      <c r="L32" s="8" t="n">
        <f aca="false">COUNTIF(D32:I32,"&gt;0")</f>
        <v>1</v>
      </c>
      <c r="M32" s="13" t="str">
        <f aca="false">IF(L32&gt;=2,"Sí","No")</f>
        <v>No</v>
      </c>
      <c r="N32" s="8" t="n">
        <f aca="false">IF(J32=0,"",RANK(J32,$J$5:$J$33))</f>
        <v>17</v>
      </c>
      <c r="O32" s="11" t="n">
        <f aca="false">SUMPRODUCT((Consolidado!$E$5:$E$1000=$B32)*(MONTH(Consolidado!$B$5:$B$1000+0*(Consolidado!$B$5:$B$1000=""))=1)*(Consolidado!$B$5:$B$1000&lt;&gt;"")*((($C$2="Todos")+(Consolidado!$I$5:$I$1000&amp;""=$C$2&amp;""))&gt;0))</f>
        <v>0</v>
      </c>
      <c r="P32" s="11" t="n">
        <f aca="false">SUMPRODUCT((Consolidado!$E$5:$E$1000=$B32)*(MONTH(Consolidado!$B$5:$B$1000+0*(Consolidado!$B$5:$B$1000=""))=2)*(Consolidado!$B$5:$B$1000&lt;&gt;"")*((($C$2="Todos")+(Consolidado!$I$5:$I$1000&amp;""=$C$2&amp;""))&gt;0))</f>
        <v>0</v>
      </c>
      <c r="Q32" s="11" t="n">
        <f aca="false">SUMPRODUCT((Consolidado!$E$5:$E$1000=$B32)*(MONTH(Consolidado!$B$5:$B$1000+0*(Consolidado!$B$5:$B$1000=""))=3)*(Consolidado!$B$5:$B$1000&lt;&gt;"")*((($C$2="Todos")+(Consolidado!$I$5:$I$1000&amp;""=$C$2&amp;""))&gt;0))</f>
        <v>0</v>
      </c>
      <c r="R32" s="11" t="n">
        <f aca="false">SUMPRODUCT((Consolidado!$E$5:$E$1000=$B32)*(MONTH(Consolidado!$B$5:$B$1000+0*(Consolidado!$B$5:$B$1000=""))=4)*(Consolidado!$B$5:$B$1000&lt;&gt;"")*((($C$2="Todos")+(Consolidado!$I$5:$I$1000&amp;""=$C$2&amp;""))&gt;0))</f>
        <v>0</v>
      </c>
      <c r="S32" s="11" t="n">
        <f aca="false">SUMPRODUCT((Consolidado!$E$5:$E$1000=$B32)*(MONTH(Consolidado!$B$5:$B$1000+0*(Consolidado!$B$5:$B$1000=""))=5)*(Consolidado!$B$5:$B$1000&lt;&gt;"")*((($C$2="Todos")+(Consolidado!$I$5:$I$1000&amp;""=$C$2&amp;""))&gt;0))</f>
        <v>0</v>
      </c>
      <c r="T32" s="11" t="n">
        <f aca="false">SUMPRODUCT((Consolidado!$E$5:$E$1000=$B32)*(MONTH(Consolidado!$B$5:$B$1000+0*(Consolidado!$B$5:$B$1000=""))=6)*(Consolidado!$B$5:$B$1000&lt;&gt;"")*((($C$2="Todos")+(Consolidado!$I$5:$I$1000&amp;""=$C$2&amp;""))&gt;0))</f>
        <v>0</v>
      </c>
      <c r="U32" s="11" t="n">
        <f aca="false">SUMPRODUCT((Consolidado!$E$5:$E$1000=$B32)*(MONTH(Consolidado!$B$5:$B$1000+0*(Consolidado!$B$5:$B$1000=""))=7)*(Consolidado!$B$5:$B$1000&lt;&gt;"")*((($C$2="Todos")+(Consolidado!$I$5:$I$1000&amp;""=$C$2&amp;""))&gt;0))</f>
        <v>0</v>
      </c>
      <c r="V32" s="11" t="n">
        <f aca="false">SUMPRODUCT((Consolidado!$E$5:$E$1000=$B32)*(MONTH(Consolidado!$B$5:$B$1000+0*(Consolidado!$B$5:$B$1000=""))=8)*(Consolidado!$B$5:$B$1000&lt;&gt;"")*((($C$2="Todos")+(Consolidado!$I$5:$I$1000&amp;""=$C$2&amp;""))&gt;0))</f>
        <v>0</v>
      </c>
      <c r="W32" s="11" t="n">
        <f aca="false">SUMPRODUCT((Consolidado!$E$5:$E$1000=$B32)*(MONTH(Consolidado!$B$5:$B$1000+0*(Consolidado!$B$5:$B$1000=""))=9)*(Consolidado!$B$5:$B$1000&lt;&gt;"")*((($C$2="Todos")+(Consolidado!$I$5:$I$1000&amp;""=$C$2&amp;""))&gt;0))</f>
        <v>0</v>
      </c>
      <c r="X32" s="11" t="n">
        <f aca="false">SUMPRODUCT((Consolidado!$E$5:$E$1000=$B32)*(MONTH(Consolidado!$B$5:$B$1000+0*(Consolidado!$B$5:$B$1000=""))=10)*(Consolidado!$B$5:$B$1000&lt;&gt;"")*((($C$2="Todos")+(Consolidado!$I$5:$I$1000&amp;""=$C$2&amp;""))&gt;0))</f>
        <v>1</v>
      </c>
      <c r="Y32" s="11" t="n">
        <f aca="false">SUMPRODUCT((Consolidado!$E$5:$E$1000=$B32)*(MONTH(Consolidado!$B$5:$B$1000+0*(Consolidado!$B$5:$B$1000=""))=11)*(Consolidado!$B$5:$B$1000&lt;&gt;"")*((($C$2="Todos")+(Consolidado!$I$5:$I$1000&amp;""=$C$2&amp;""))&gt;0))</f>
        <v>0</v>
      </c>
      <c r="Z32" s="11" t="n">
        <f aca="false">SUMPRODUCT((Consolidado!$E$5:$E$1000=$B32)*(MONTH(Consolidado!$B$5:$B$1000+0*(Consolidado!$B$5:$B$1000=""))=12)*(Consolidado!$B$5:$B$1000&lt;&gt;"")*((($C$2="Todos")+(Consolidado!$I$5:$I$1000&amp;""=$C$2&amp;""))&gt;0))</f>
        <v>0</v>
      </c>
    </row>
    <row r="33" customFormat="false" ht="15" hidden="false" customHeight="true" outlineLevel="0" collapsed="false">
      <c r="A33" s="8" t="n">
        <v>29</v>
      </c>
      <c r="B33" s="9" t="str">
        <f aca="false">Catálogos!C30</f>
        <v>Declaraciones juradas</v>
      </c>
      <c r="C33" s="10" t="str">
        <f aca="false">Catálogos!D30</f>
        <v>Ley Bancos Coop. Art. 15</v>
      </c>
      <c r="D33" s="11" t="n">
        <f aca="false">SUMPRODUCT((Consolidado!$E$5:$E$1000=$B33)*(Consolidado!$C$5:$C$1000="Auditoría Interna")*((($C$2="Todos")+(Consolidado!$I$5:$I$1000&amp;""=$C$2&amp;""))&gt;0))</f>
        <v>0</v>
      </c>
      <c r="E33" s="11" t="n">
        <f aca="false">SUMPRODUCT((Consolidado!$E$5:$E$1000=$B33)*(Consolidado!$C$5:$C$1000="Auditoría Externa")*((($C$2="Todos")+(Consolidado!$I$5:$I$1000&amp;""=$C$2&amp;""))&gt;0))</f>
        <v>0</v>
      </c>
      <c r="F33" s="11" t="n">
        <f aca="false">SUMPRODUCT((Consolidado!$E$5:$E$1000=$B33)*(Consolidado!$C$5:$C$1000="SSF")*((($C$2="Todos")+(Consolidado!$I$5:$I$1000&amp;""=$C$2&amp;""))&gt;0))</f>
        <v>1</v>
      </c>
      <c r="G33" s="11" t="n">
        <f aca="false">SUMPRODUCT((Consolidado!$E$5:$E$1000=$B33)*(Consolidado!$C$5:$C$1000="Comité de Supervisión")*((($C$2="Todos")+(Consolidado!$I$5:$I$1000&amp;""=$C$2&amp;""))&gt;0))</f>
        <v>0</v>
      </c>
      <c r="H33" s="11" t="n">
        <f aca="false">SUMPRODUCT((Consolidado!$E$5:$E$1000=$B33)*(Consolidado!$C$5:$C$1000="Consejo de Administración")*((($C$2="Todos")+(Consolidado!$I$5:$I$1000&amp;""=$C$2&amp;""))&gt;0))</f>
        <v>0</v>
      </c>
      <c r="I33" s="11" t="n">
        <f aca="false">SUMPRODUCT((Consolidado!$E$5:$E$1000=$B33)*(Consolidado!$C$5:$C$1000="Otros")*((($C$2="Todos")+(Consolidado!$I$5:$I$1000&amp;""=$C$2&amp;""))&gt;0))</f>
        <v>0</v>
      </c>
      <c r="J33" s="12" t="n">
        <f aca="false">SUM(D33:I33)</f>
        <v>1</v>
      </c>
      <c r="K33" s="12" t="n">
        <f aca="false">SUMPRODUCT((Consolidado!$E$5:$E$1000=$B33)*(Consolidado!$AE$5:$AE$1000)*((($C$2="Todos")+(Consolidado!$I$5:$I$1000&amp;""=$C$2&amp;""))&gt;0))</f>
        <v>1</v>
      </c>
      <c r="L33" s="8" t="n">
        <f aca="false">COUNTIF(D33:I33,"&gt;0")</f>
        <v>1</v>
      </c>
      <c r="M33" s="13" t="str">
        <f aca="false">IF(L33&gt;=2,"Sí","No")</f>
        <v>No</v>
      </c>
      <c r="N33" s="8" t="n">
        <f aca="false">IF(J33=0,"",RANK(J33,$J$5:$J$33))</f>
        <v>17</v>
      </c>
      <c r="O33" s="11" t="n">
        <f aca="false">SUMPRODUCT((Consolidado!$E$5:$E$1000=$B33)*(MONTH(Consolidado!$B$5:$B$1000+0*(Consolidado!$B$5:$B$1000=""))=1)*(Consolidado!$B$5:$B$1000&lt;&gt;"")*((($C$2="Todos")+(Consolidado!$I$5:$I$1000&amp;""=$C$2&amp;""))&gt;0))</f>
        <v>0</v>
      </c>
      <c r="P33" s="11" t="n">
        <f aca="false">SUMPRODUCT((Consolidado!$E$5:$E$1000=$B33)*(MONTH(Consolidado!$B$5:$B$1000+0*(Consolidado!$B$5:$B$1000=""))=2)*(Consolidado!$B$5:$B$1000&lt;&gt;"")*((($C$2="Todos")+(Consolidado!$I$5:$I$1000&amp;""=$C$2&amp;""))&gt;0))</f>
        <v>0</v>
      </c>
      <c r="Q33" s="11" t="n">
        <f aca="false">SUMPRODUCT((Consolidado!$E$5:$E$1000=$B33)*(MONTH(Consolidado!$B$5:$B$1000+0*(Consolidado!$B$5:$B$1000=""))=3)*(Consolidado!$B$5:$B$1000&lt;&gt;"")*((($C$2="Todos")+(Consolidado!$I$5:$I$1000&amp;""=$C$2&amp;""))&gt;0))</f>
        <v>0</v>
      </c>
      <c r="R33" s="11" t="n">
        <f aca="false">SUMPRODUCT((Consolidado!$E$5:$E$1000=$B33)*(MONTH(Consolidado!$B$5:$B$1000+0*(Consolidado!$B$5:$B$1000=""))=4)*(Consolidado!$B$5:$B$1000&lt;&gt;"")*((($C$2="Todos")+(Consolidado!$I$5:$I$1000&amp;""=$C$2&amp;""))&gt;0))</f>
        <v>0</v>
      </c>
      <c r="S33" s="11" t="n">
        <f aca="false">SUMPRODUCT((Consolidado!$E$5:$E$1000=$B33)*(MONTH(Consolidado!$B$5:$B$1000+0*(Consolidado!$B$5:$B$1000=""))=5)*(Consolidado!$B$5:$B$1000&lt;&gt;"")*((($C$2="Todos")+(Consolidado!$I$5:$I$1000&amp;""=$C$2&amp;""))&gt;0))</f>
        <v>0</v>
      </c>
      <c r="T33" s="11" t="n">
        <f aca="false">SUMPRODUCT((Consolidado!$E$5:$E$1000=$B33)*(MONTH(Consolidado!$B$5:$B$1000+0*(Consolidado!$B$5:$B$1000=""))=6)*(Consolidado!$B$5:$B$1000&lt;&gt;"")*((($C$2="Todos")+(Consolidado!$I$5:$I$1000&amp;""=$C$2&amp;""))&gt;0))</f>
        <v>0</v>
      </c>
      <c r="U33" s="11" t="n">
        <f aca="false">SUMPRODUCT((Consolidado!$E$5:$E$1000=$B33)*(MONTH(Consolidado!$B$5:$B$1000+0*(Consolidado!$B$5:$B$1000=""))=7)*(Consolidado!$B$5:$B$1000&lt;&gt;"")*((($C$2="Todos")+(Consolidado!$I$5:$I$1000&amp;""=$C$2&amp;""))&gt;0))</f>
        <v>1</v>
      </c>
      <c r="V33" s="11" t="n">
        <f aca="false">SUMPRODUCT((Consolidado!$E$5:$E$1000=$B33)*(MONTH(Consolidado!$B$5:$B$1000+0*(Consolidado!$B$5:$B$1000=""))=8)*(Consolidado!$B$5:$B$1000&lt;&gt;"")*((($C$2="Todos")+(Consolidado!$I$5:$I$1000&amp;""=$C$2&amp;""))&gt;0))</f>
        <v>0</v>
      </c>
      <c r="W33" s="11" t="n">
        <f aca="false">SUMPRODUCT((Consolidado!$E$5:$E$1000=$B33)*(MONTH(Consolidado!$B$5:$B$1000+0*(Consolidado!$B$5:$B$1000=""))=9)*(Consolidado!$B$5:$B$1000&lt;&gt;"")*((($C$2="Todos")+(Consolidado!$I$5:$I$1000&amp;""=$C$2&amp;""))&gt;0))</f>
        <v>0</v>
      </c>
      <c r="X33" s="11" t="n">
        <f aca="false">SUMPRODUCT((Consolidado!$E$5:$E$1000=$B33)*(MONTH(Consolidado!$B$5:$B$1000+0*(Consolidado!$B$5:$B$1000=""))=10)*(Consolidado!$B$5:$B$1000&lt;&gt;"")*((($C$2="Todos")+(Consolidado!$I$5:$I$1000&amp;""=$C$2&amp;""))&gt;0))</f>
        <v>0</v>
      </c>
      <c r="Y33" s="11" t="n">
        <f aca="false">SUMPRODUCT((Consolidado!$E$5:$E$1000=$B33)*(MONTH(Consolidado!$B$5:$B$1000+0*(Consolidado!$B$5:$B$1000=""))=11)*(Consolidado!$B$5:$B$1000&lt;&gt;"")*((($C$2="Todos")+(Consolidado!$I$5:$I$1000&amp;""=$C$2&amp;""))&gt;0))</f>
        <v>0</v>
      </c>
      <c r="Z33" s="11" t="n">
        <f aca="false">SUMPRODUCT((Consolidado!$E$5:$E$1000=$B33)*(MONTH(Consolidado!$B$5:$B$1000+0*(Consolidado!$B$5:$B$1000=""))=12)*(Consolidado!$B$5:$B$1000&lt;&gt;"")*((($C$2="Todos")+(Consolidado!$I$5:$I$1000&amp;""=$C$2&amp;""))&gt;0))</f>
        <v>0</v>
      </c>
    </row>
    <row r="34" customFormat="false" ht="15" hidden="false" customHeight="true" outlineLevel="0" collapsed="false">
      <c r="B34" s="14" t="s">
        <v>30</v>
      </c>
      <c r="D34" s="15" t="n">
        <f aca="false">SUM(D5:D33)</f>
        <v>52</v>
      </c>
      <c r="E34" s="15" t="n">
        <f aca="false">SUM(E5:E33)</f>
        <v>15</v>
      </c>
      <c r="F34" s="15" t="n">
        <f aca="false">SUM(F5:F33)</f>
        <v>23</v>
      </c>
      <c r="G34" s="15" t="n">
        <f aca="false">SUM(G5:G33)</f>
        <v>0</v>
      </c>
      <c r="H34" s="15" t="n">
        <f aca="false">SUM(H5:H33)</f>
        <v>0</v>
      </c>
      <c r="I34" s="15" t="n">
        <f aca="false">SUM(I5:I33)</f>
        <v>0</v>
      </c>
      <c r="J34" s="15" t="n">
        <f aca="false">SUM(J5:J33)</f>
        <v>90</v>
      </c>
      <c r="K34" s="15" t="n">
        <f aca="false">SUM(K5:K33)</f>
        <v>51</v>
      </c>
      <c r="L34" s="15" t="n">
        <f aca="false">SUM(L5:L33)</f>
        <v>39</v>
      </c>
      <c r="M34" s="12" t="str">
        <f aca="false">COUNTIF(M5:M33,"Sí")&amp;" repetidos"</f>
        <v>8 repetidos</v>
      </c>
      <c r="O34" s="15" t="n">
        <f aca="false">SUM(O5:O33)</f>
        <v>2</v>
      </c>
      <c r="P34" s="15" t="n">
        <f aca="false">SUM(P5:P33)</f>
        <v>3</v>
      </c>
      <c r="Q34" s="15" t="n">
        <f aca="false">SUM(Q5:Q33)</f>
        <v>1</v>
      </c>
      <c r="R34" s="15" t="n">
        <f aca="false">SUM(R5:R33)</f>
        <v>4</v>
      </c>
      <c r="S34" s="15" t="n">
        <f aca="false">SUM(S5:S33)</f>
        <v>12</v>
      </c>
      <c r="T34" s="15" t="n">
        <f aca="false">SUM(T5:T33)</f>
        <v>1</v>
      </c>
      <c r="U34" s="15" t="n">
        <f aca="false">SUM(U5:U33)</f>
        <v>2</v>
      </c>
      <c r="V34" s="15" t="n">
        <f aca="false">SUM(V5:V33)</f>
        <v>26</v>
      </c>
      <c r="W34" s="15" t="n">
        <f aca="false">SUM(W5:W33)</f>
        <v>1</v>
      </c>
      <c r="X34" s="15" t="n">
        <f aca="false">SUM(X5:X33)</f>
        <v>37</v>
      </c>
      <c r="Y34" s="15" t="n">
        <f aca="false">SUM(Y5:Y33)</f>
        <v>0</v>
      </c>
      <c r="Z34" s="15" t="n">
        <f aca="false">SUM(Z5:Z33)</f>
        <v>0</v>
      </c>
    </row>
    <row r="36" customFormat="false" ht="15" hidden="false" customHeight="true" outlineLevel="0" collapsed="false">
      <c r="A36" s="16" t="s">
        <v>31</v>
      </c>
    </row>
    <row r="37" customFormat="false" ht="15" hidden="false" customHeight="true" outlineLevel="0" collapsed="false">
      <c r="A37" s="5" t="s">
        <v>32</v>
      </c>
    </row>
    <row r="38" customFormat="false" ht="15" hidden="false" customHeight="true" outlineLevel="0" collapsed="false">
      <c r="A38" s="5" t="s">
        <v>33</v>
      </c>
    </row>
    <row r="39" customFormat="false" ht="15" hidden="false" customHeight="true" outlineLevel="0" collapsed="false">
      <c r="A39" s="5" t="s">
        <v>34</v>
      </c>
    </row>
    <row r="40" customFormat="false" ht="15" hidden="false" customHeight="true" outlineLevel="0" collapsed="false">
      <c r="A40" s="5" t="s">
        <v>35</v>
      </c>
    </row>
    <row r="41" customFormat="false" ht="15" hidden="false" customHeight="true" outlineLevel="0" collapsed="false">
      <c r="A41" s="5" t="s">
        <v>36</v>
      </c>
    </row>
    <row r="42" customFormat="false" ht="15" hidden="false" customHeight="true" outlineLevel="0" collapsed="false">
      <c r="A42" s="5" t="s">
        <v>37</v>
      </c>
    </row>
  </sheetData>
  <autoFilter ref="A4:Z33"/>
  <conditionalFormatting sqref="M5:M33">
    <cfRule type="expression" priority="2" aboveAverage="0" equalAverage="0" bottom="0" percent="0" rank="0" text="" dxfId="25">
      <formula>M5="Sí"</formula>
    </cfRule>
  </conditionalFormatting>
  <conditionalFormatting sqref="J5:J33">
    <cfRule type="colorScale" priority="3">
      <colorScale>
        <cfvo type="num" val="0"/>
        <cfvo type="max" val="0"/>
        <color rgb="FFFFFFFF"/>
        <color rgb="FFF4B183"/>
      </colorScale>
    </cfRule>
  </conditionalFormatting>
  <conditionalFormatting sqref="O5:Z33">
    <cfRule type="colorScale" priority="4">
      <colorScale>
        <cfvo type="num" val="0"/>
        <cfvo type="max" val="0"/>
        <color rgb="FFFFFFFF"/>
        <color rgb="FF9DC3E6"/>
      </colorScale>
    </cfRule>
  </conditionalFormatting>
  <conditionalFormatting sqref="D5:I33">
    <cfRule type="expression" priority="5" aboveAverage="0" equalAverage="0" bottom="0" percent="0" rank="0" text="" dxfId="26">
      <formula>D5=0</formula>
    </cfRule>
  </conditionalFormatting>
  <dataValidations count="1">
    <dataValidation allowBlank="false" errorStyle="stop" operator="between" showDropDown="false" showErrorMessage="false" showInputMessage="false" sqref="C2" type="list">
      <formula1>"Todos,2024,2025,2026,2027,2028"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3" topLeftCell="A1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3" min="2" style="1" width="18"/>
    <col collapsed="false" customWidth="true" hidden="false" outlineLevel="0" max="4" min="4" style="1" width="12"/>
    <col collapsed="false" customWidth="true" hidden="false" outlineLevel="0" max="5" min="5" style="1" width="6"/>
    <col collapsed="false" customWidth="true" hidden="false" outlineLevel="0" max="6" min="6" style="1" width="7"/>
    <col collapsed="false" customWidth="true" hidden="false" outlineLevel="0" max="7" min="7" style="1" width="24"/>
    <col collapsed="false" customWidth="true" hidden="false" outlineLevel="0" max="8" min="8" style="1" width="70"/>
    <col collapsed="false" customWidth="true" hidden="false" outlineLevel="0" max="9" min="9" style="1" width="14"/>
    <col collapsed="false" customWidth="true" hidden="false" outlineLevel="0" max="10" min="10" style="1" width="11"/>
    <col collapsed="false" customWidth="true" hidden="false" outlineLevel="0" max="12" min="11" style="1" width="14"/>
    <col collapsed="false" customWidth="true" hidden="false" outlineLevel="0" max="13" min="13" style="1" width="9"/>
  </cols>
  <sheetData>
    <row r="1" customFormat="false" ht="17.25" hidden="false" customHeight="true" outlineLevel="0" collapsed="false">
      <c r="A1" s="2" t="s">
        <v>38</v>
      </c>
    </row>
    <row r="2" customFormat="false" ht="15" hidden="false" customHeight="true" outlineLevel="0" collapsed="false">
      <c r="A2" s="5" t="s">
        <v>39</v>
      </c>
    </row>
    <row r="3" customFormat="false" ht="15" hidden="false" customHeight="true" outlineLevel="0" collapsed="false">
      <c r="B3" s="17" t="s">
        <v>40</v>
      </c>
      <c r="C3" s="18" t="n">
        <v>53</v>
      </c>
      <c r="K3" s="6" t="s">
        <v>41</v>
      </c>
      <c r="L3" s="6"/>
      <c r="M3" s="6"/>
    </row>
    <row r="4" customFormat="false" ht="15" hidden="false" customHeight="true" outlineLevel="0" collapsed="false">
      <c r="B4" s="17" t="s">
        <v>42</v>
      </c>
      <c r="C4" s="19" t="str">
        <f aca="false">IFERROR(INDEX(Consolidado!$C$5:$C$1000,MATCH($C$3,Consolidado!$A$5:$A$1000,0)),"")</f>
        <v>SSF</v>
      </c>
      <c r="D4" s="19"/>
      <c r="E4" s="19"/>
      <c r="F4" s="19"/>
      <c r="G4" s="19"/>
      <c r="H4" s="19"/>
      <c r="I4" s="19"/>
      <c r="K4" s="20" t="s">
        <v>7</v>
      </c>
      <c r="L4" s="20"/>
      <c r="M4" s="12" t="n">
        <f aca="false">IF($C$5="",0,COUNTIFS(Consolidado!$E$5:$E$1000,$C$5,Consolidado!$C$5:$C$1000,"Auditoría Interna"))</f>
        <v>6</v>
      </c>
    </row>
    <row r="5" customFormat="false" ht="15" hidden="false" customHeight="true" outlineLevel="0" collapsed="false">
      <c r="B5" s="17" t="s">
        <v>43</v>
      </c>
      <c r="C5" s="21" t="str">
        <f aca="false">IFERROR(INDEX(Consolidado!$E$5:$E$1000,MATCH($C$3,Consolidado!$A$5:$A$1000,0)),"")</f>
        <v>Gobierno Corporativo</v>
      </c>
      <c r="D5" s="21"/>
      <c r="E5" s="21"/>
      <c r="F5" s="21"/>
      <c r="G5" s="21"/>
      <c r="H5" s="21"/>
      <c r="I5" s="21"/>
      <c r="K5" s="20" t="s">
        <v>8</v>
      </c>
      <c r="L5" s="20"/>
      <c r="M5" s="12" t="n">
        <f aca="false">IF($C$5="",0,COUNTIFS(Consolidado!$E$5:$E$1000,$C$5,Consolidado!$C$5:$C$1000,"Auditoría Externa"))</f>
        <v>0</v>
      </c>
    </row>
    <row r="6" customFormat="false" ht="15" hidden="false" customHeight="true" outlineLevel="0" collapsed="false">
      <c r="B6" s="17" t="s">
        <v>44</v>
      </c>
      <c r="C6" s="22" t="n">
        <f aca="false">IFERROR(INDEX(Consolidado!$B$5:$B$1000,MATCH($C$3,Consolidado!$A$5:$A$1000,0)),"")</f>
        <v>46255</v>
      </c>
      <c r="D6" s="22"/>
      <c r="E6" s="22"/>
      <c r="F6" s="22"/>
      <c r="G6" s="22"/>
      <c r="H6" s="22"/>
      <c r="I6" s="22"/>
      <c r="K6" s="20" t="s">
        <v>9</v>
      </c>
      <c r="L6" s="20"/>
      <c r="M6" s="12" t="n">
        <f aca="false">IF($C$5="",0,COUNTIFS(Consolidado!$E$5:$E$1000,$C$5,Consolidado!$C$5:$C$1000,"SSF"))</f>
        <v>2</v>
      </c>
    </row>
    <row r="7" customFormat="false" ht="15" hidden="false" customHeight="true" outlineLevel="0" collapsed="false">
      <c r="B7" s="17" t="s">
        <v>6</v>
      </c>
      <c r="C7" s="19" t="str">
        <f aca="false">IFERROR(INDEX(Consolidado!$D$5:$D$1000,MATCH($C$3,Consolidado!$A$5:$A$1000,0)),"")</f>
        <v>NRP-17</v>
      </c>
      <c r="D7" s="19"/>
      <c r="E7" s="19"/>
      <c r="F7" s="19"/>
      <c r="G7" s="19"/>
      <c r="H7" s="19"/>
      <c r="I7" s="19"/>
      <c r="K7" s="20" t="s">
        <v>10</v>
      </c>
      <c r="L7" s="20"/>
      <c r="M7" s="12" t="n">
        <f aca="false">IF($C$5="",0,COUNTIFS(Consolidado!$E$5:$E$1000,$C$5,Consolidado!$C$5:$C$1000,"Comité de Supervisión"))</f>
        <v>0</v>
      </c>
    </row>
    <row r="8" customFormat="false" ht="48" hidden="false" customHeight="true" outlineLevel="0" collapsed="false">
      <c r="B8" s="17" t="s">
        <v>5</v>
      </c>
      <c r="C8" s="19" t="str">
        <f aca="false">IFERROR(INDEX(Consolidado!$F$5:$F$1000,MATCH($C$3,Consolidado!$A$5:$A$1000,0)),"")</f>
        <v>Visita de supervisión ampliada para evaluar el Gobierno Corporativo. SABAO-BCS-BC-18432</v>
      </c>
      <c r="D8" s="19"/>
      <c r="E8" s="19"/>
      <c r="F8" s="19"/>
      <c r="G8" s="19"/>
      <c r="H8" s="19"/>
      <c r="I8" s="19"/>
      <c r="K8" s="20" t="s">
        <v>45</v>
      </c>
      <c r="L8" s="20"/>
      <c r="M8" s="12" t="n">
        <f aca="false">IF($C$5="",0,COUNTIFS(Consolidado!$E$5:$E$1000,$C$5,Consolidado!$C$5:$C$1000,"Consejo de Administración"))</f>
        <v>0</v>
      </c>
    </row>
    <row r="9" customFormat="false" ht="15" hidden="false" customHeight="true" outlineLevel="0" collapsed="false">
      <c r="K9" s="20" t="s">
        <v>12</v>
      </c>
      <c r="L9" s="20"/>
      <c r="M9" s="12" t="n">
        <f aca="false">IF($C$5="",0,COUNTIFS(Consolidado!$E$5:$E$1000,$C$5,Consolidado!$C$5:$C$1000,"Otros"))</f>
        <v>0</v>
      </c>
    </row>
    <row r="10" customFormat="false" ht="15" hidden="false" customHeight="true" outlineLevel="0" collapsed="false">
      <c r="K10" s="23" t="s">
        <v>46</v>
      </c>
      <c r="L10" s="23"/>
      <c r="M10" s="12" t="n">
        <f aca="false">SUM(M4:M9)</f>
        <v>8</v>
      </c>
    </row>
    <row r="11" customFormat="false" ht="15" hidden="false" customHeight="true" outlineLevel="0" collapsed="false">
      <c r="K11" s="23" t="s">
        <v>47</v>
      </c>
      <c r="L11" s="23"/>
      <c r="M11" s="13" t="n">
        <f aca="false">IFERROR(INDEX(Consolidado!$X$5:$X$1000,MATCH($C$3,Consolidado!$A$5:$A$1000,0)),"")</f>
        <v>6</v>
      </c>
    </row>
    <row r="13" customFormat="false" ht="23.25" hidden="false" customHeight="true" outlineLevel="0" collapsed="false">
      <c r="A13" s="6" t="s">
        <v>48</v>
      </c>
      <c r="B13" s="6" t="s">
        <v>4</v>
      </c>
      <c r="C13" s="6" t="s">
        <v>42</v>
      </c>
      <c r="D13" s="6" t="s">
        <v>49</v>
      </c>
      <c r="E13" s="6" t="s">
        <v>50</v>
      </c>
      <c r="F13" s="6" t="s">
        <v>51</v>
      </c>
      <c r="G13" s="6" t="s">
        <v>52</v>
      </c>
      <c r="H13" s="6" t="s">
        <v>5</v>
      </c>
      <c r="I13" s="6" t="s">
        <v>53</v>
      </c>
      <c r="J13" s="6" t="s">
        <v>54</v>
      </c>
    </row>
    <row r="14" customFormat="false" ht="23.25" hidden="false" customHeight="true" outlineLevel="0" collapsed="false">
      <c r="A14" s="24" t="n">
        <f aca="false">IF(B14="","",1)</f>
        <v>1</v>
      </c>
      <c r="B14" s="24" t="n">
        <f aca="false">IFERROR(INDEX(Consolidado!$A$5:$A$1000,MATCH(1,Consolidado!$AC$5:$AC$1000,0)),"")</f>
        <v>8</v>
      </c>
      <c r="C14" s="24" t="str">
        <f aca="false">IFERROR(INDEX(Consolidado!$C$5:$C$1000,MATCH(1,Consolidado!$AC$5:$AC$1000,0))&amp;"","")</f>
        <v>SSF</v>
      </c>
      <c r="D14" s="25" t="n">
        <f aca="false">IFERROR(INDEX(Consolidado!$B$5:$B$1000,MATCH(1,Consolidado!$AC$5:$AC$1000,0)),"")</f>
        <v>45796</v>
      </c>
      <c r="E14" s="24" t="str">
        <f aca="false">IF(OR(D14="",D14=0),"",CHOOSE(MONTH(D14),"Ene","Feb","Mar","Abr","May","Jun","Jul","Ago","Sep","Oct","Nov","Dic"))</f>
        <v>May</v>
      </c>
      <c r="F14" s="24" t="n">
        <f aca="false">IF(OR(D14="",D14=0),"",YEAR(D14))</f>
        <v>2025</v>
      </c>
      <c r="G14" s="24" t="str">
        <f aca="false">IF(B14="","",IF(B14=$C$3,"◄ SELECCIONADO",IF(OR(D14="",D14=0,$C$6="",$C$6=0),"Sin fecha",IF(AND(YEAR(D14)=YEAR($C$6),MONTH(D14)=MONTH($C$6)),"MISMO MES",ABS((YEAR(D14)-YEAR($C$6))*12+MONTH(D14)-MONTH($C$6))&amp;" meses "&amp;IF(D14&lt;$C$6,"antes","después")))))</f>
        <v>15 meses antes</v>
      </c>
      <c r="H14" s="26" t="str">
        <f aca="false">IFERROR(INDEX(Consolidado!$F$5:$F$1000,MATCH(1,Consolidado!$AC$5:$AC$1000,0))&amp;"","")</f>
        <v>Visita de supervision ampliada para evaluar el Gobierno Corporativo SABAO- BCS- BC-9337</v>
      </c>
      <c r="I14" s="27" t="str">
        <f aca="false">IFERROR(INDEX(Consolidado!$G$5:$G$1000,MATCH(1,Consolidado!$AC$5:$AC$1000,0))&amp;"","")</f>
        <v/>
      </c>
      <c r="J14" s="24" t="str">
        <f aca="false">IFERROR(INDEX(Consolidado!$H$5:$H$1000,MATCH(1,Consolidado!$AC$5:$AC$1000,0))&amp;"","")</f>
        <v/>
      </c>
    </row>
    <row r="15" customFormat="false" ht="23.25" hidden="false" customHeight="true" outlineLevel="0" collapsed="false">
      <c r="A15" s="24" t="n">
        <f aca="false">IF(B15="","",2)</f>
        <v>2</v>
      </c>
      <c r="B15" s="24" t="n">
        <f aca="false">IFERROR(INDEX(Consolidado!$A$5:$A$1000,MATCH(2,Consolidado!$AC$5:$AC$1000,0)),"")</f>
        <v>39</v>
      </c>
      <c r="C15" s="24" t="str">
        <f aca="false">IFERROR(INDEX(Consolidado!$C$5:$C$1000,MATCH(2,Consolidado!$AC$5:$AC$1000,0))&amp;"","")</f>
        <v>Auditoría Interna</v>
      </c>
      <c r="D15" s="25" t="n">
        <f aca="false">IFERROR(INDEX(Consolidado!$B$5:$B$1000,MATCH(2,Consolidado!$AC$5:$AC$1000,0)),"")</f>
        <v>46249</v>
      </c>
      <c r="E15" s="24" t="str">
        <f aca="false">IF(OR(D15="",D15=0),"",CHOOSE(MONTH(D15),"Ene","Feb","Mar","Abr","May","Jun","Jul","Ago","Sep","Oct","Nov","Dic"))</f>
        <v>Ago</v>
      </c>
      <c r="F15" s="24" t="n">
        <f aca="false">IF(OR(D15="",D15=0),"",YEAR(D15))</f>
        <v>2026</v>
      </c>
      <c r="G15" s="24" t="str">
        <f aca="false">IF(B15="","",IF(B15=$C$3,"◄ SELECCIONADO",IF(OR(D15="",D15=0,$C$6="",$C$6=0),"Sin fecha",IF(AND(YEAR(D15)=YEAR($C$6),MONTH(D15)=MONTH($C$6)),"MISMO MES",ABS((YEAR(D15)-YEAR($C$6))*12+MONTH(D15)-MONTH($C$6))&amp;" meses "&amp;IF(D15&lt;$C$6,"antes","después")))))</f>
        <v>MISMO MES</v>
      </c>
      <c r="H15" s="26" t="str">
        <f aca="false">IFERROR(INDEX(Consolidado!$F$5:$F$1000,MATCH(2,Consolidado!$AC$5:$AC$1000,0))&amp;"","")</f>
        <v>Informe anual de gobierno corporativo remisión y recepción de la SSF (ejecución de enero a marzo 2026)</v>
      </c>
      <c r="I15" s="27" t="str">
        <f aca="false">IFERROR(INDEX(Consolidado!$G$5:$G$1000,MATCH(2,Consolidado!$AC$5:$AC$1000,0))&amp;"","")</f>
        <v>Silvita</v>
      </c>
      <c r="J15" s="24" t="str">
        <f aca="false">IFERROR(INDEX(Consolidado!$H$5:$H$1000,MATCH(2,Consolidado!$AC$5:$AC$1000,0))&amp;"","")</f>
        <v/>
      </c>
    </row>
    <row r="16" customFormat="false" ht="34.5" hidden="false" customHeight="true" outlineLevel="0" collapsed="false">
      <c r="A16" s="24" t="n">
        <f aca="false">IF(B16="","",3)</f>
        <v>3</v>
      </c>
      <c r="B16" s="24" t="n">
        <f aca="false">IFERROR(INDEX(Consolidado!$A$5:$A$1000,MATCH(3,Consolidado!$AC$5:$AC$1000,0)),"")</f>
        <v>40</v>
      </c>
      <c r="C16" s="24" t="str">
        <f aca="false">IFERROR(INDEX(Consolidado!$C$5:$C$1000,MATCH(3,Consolidado!$AC$5:$AC$1000,0))&amp;"","")</f>
        <v>Auditoría Interna</v>
      </c>
      <c r="D16" s="25" t="n">
        <f aca="false">IFERROR(INDEX(Consolidado!$B$5:$B$1000,MATCH(3,Consolidado!$AC$5:$AC$1000,0)),"")</f>
        <v>46249</v>
      </c>
      <c r="E16" s="24" t="str">
        <f aca="false">IF(OR(D16="",D16=0),"",CHOOSE(MONTH(D16),"Ene","Feb","Mar","Abr","May","Jun","Jul","Ago","Sep","Oct","Nov","Dic"))</f>
        <v>Ago</v>
      </c>
      <c r="F16" s="24" t="n">
        <f aca="false">IF(OR(D16="",D16=0),"",YEAR(D16))</f>
        <v>2026</v>
      </c>
      <c r="G16" s="24" t="str">
        <f aca="false">IF(B16="","",IF(B16=$C$3,"◄ SELECCIONADO",IF(OR(D16="",D16=0,$C$6="",$C$6=0),"Sin fecha",IF(AND(YEAR(D16)=YEAR($C$6),MONTH(D16)=MONTH($C$6)),"MISMO MES",ABS((YEAR(D16)-YEAR($C$6))*12+MONTH(D16)-MONTH($C$6))&amp;" meses "&amp;IF(D16&lt;$C$6,"antes","después")))))</f>
        <v>MISMO MES</v>
      </c>
      <c r="H16" s="26" t="str">
        <f aca="false">IFERROR(INDEX(Consolidado!$F$5:$F$1000,MATCH(3,Consolidado!$AC$5:$AC$1000,0))&amp;"","")</f>
        <v>Remisión de anexo 2 información de gobierno corporativo desagregada por sexo los primeros 30 días posteriores a cada semestre (Ejecución en Julio 2025, Enero y julio 2026)</v>
      </c>
      <c r="I16" s="27" t="str">
        <f aca="false">IFERROR(INDEX(Consolidado!$G$5:$G$1000,MATCH(3,Consolidado!$AC$5:$AC$1000,0))&amp;"","")</f>
        <v/>
      </c>
      <c r="J16" s="24" t="str">
        <f aca="false">IFERROR(INDEX(Consolidado!$H$5:$H$1000,MATCH(3,Consolidado!$AC$5:$AC$1000,0))&amp;"","")</f>
        <v/>
      </c>
    </row>
    <row r="17" customFormat="false" ht="23.25" hidden="false" customHeight="true" outlineLevel="0" collapsed="false">
      <c r="A17" s="24" t="n">
        <f aca="false">IF(B17="","",4)</f>
        <v>4</v>
      </c>
      <c r="B17" s="24" t="n">
        <f aca="false">IFERROR(INDEX(Consolidado!$A$5:$A$1000,MATCH(4,Consolidado!$AC$5:$AC$1000,0)),"")</f>
        <v>41</v>
      </c>
      <c r="C17" s="24" t="str">
        <f aca="false">IFERROR(INDEX(Consolidado!$C$5:$C$1000,MATCH(4,Consolidado!$AC$5:$AC$1000,0))&amp;"","")</f>
        <v>Auditoría Interna</v>
      </c>
      <c r="D17" s="25" t="n">
        <f aca="false">IFERROR(INDEX(Consolidado!$B$5:$B$1000,MATCH(4,Consolidado!$AC$5:$AC$1000,0)),"")</f>
        <v>46249</v>
      </c>
      <c r="E17" s="24" t="str">
        <f aca="false">IF(OR(D17="",D17=0),"",CHOOSE(MONTH(D17),"Ene","Feb","Mar","Abr","May","Jun","Jul","Ago","Sep","Oct","Nov","Dic"))</f>
        <v>Ago</v>
      </c>
      <c r="F17" s="24" t="n">
        <f aca="false">IF(OR(D17="",D17=0),"",YEAR(D17))</f>
        <v>2026</v>
      </c>
      <c r="G17" s="24" t="str">
        <f aca="false">IF(B17="","",IF(B17=$C$3,"◄ SELECCIONADO",IF(OR(D17="",D17=0,$C$6="",$C$6=0),"Sin fecha",IF(AND(YEAR(D17)=YEAR($C$6),MONTH(D17)=MONTH($C$6)),"MISMO MES",ABS((YEAR(D17)-YEAR($C$6))*12+MONTH(D17)-MONTH($C$6))&amp;" meses "&amp;IF(D17&lt;$C$6,"antes","después")))))</f>
        <v>MISMO MES</v>
      </c>
      <c r="H17" s="26" t="str">
        <f aca="false">IFERROR(INDEX(Consolidado!$F$5:$F$1000,MATCH(4,Consolidado!$AC$5:$AC$1000,0))&amp;"","")</f>
        <v>Publicación en el sitio web de la información citada en el artículo 29 de la NRP-17 (ejecución de enero, marzo y julio 2026)</v>
      </c>
      <c r="I17" s="27" t="str">
        <f aca="false">IFERROR(INDEX(Consolidado!$G$5:$G$1000,MATCH(4,Consolidado!$AC$5:$AC$1000,0))&amp;"","")</f>
        <v>Silvita</v>
      </c>
      <c r="J17" s="24" t="str">
        <f aca="false">IFERROR(INDEX(Consolidado!$H$5:$H$1000,MATCH(4,Consolidado!$AC$5:$AC$1000,0))&amp;"","")</f>
        <v/>
      </c>
    </row>
    <row r="18" customFormat="false" ht="23.25" hidden="false" customHeight="true" outlineLevel="0" collapsed="false">
      <c r="A18" s="24" t="n">
        <f aca="false">IF(B18="","",5)</f>
        <v>5</v>
      </c>
      <c r="B18" s="24" t="n">
        <f aca="false">IFERROR(INDEX(Consolidado!$A$5:$A$1000,MATCH(5,Consolidado!$AC$5:$AC$1000,0)),"")</f>
        <v>42</v>
      </c>
      <c r="C18" s="24" t="str">
        <f aca="false">IFERROR(INDEX(Consolidado!$C$5:$C$1000,MATCH(5,Consolidado!$AC$5:$AC$1000,0))&amp;"","")</f>
        <v>Auditoría Interna</v>
      </c>
      <c r="D18" s="25" t="n">
        <f aca="false">IFERROR(INDEX(Consolidado!$B$5:$B$1000,MATCH(5,Consolidado!$AC$5:$AC$1000,0)),"")</f>
        <v>46249</v>
      </c>
      <c r="E18" s="24" t="str">
        <f aca="false">IF(OR(D18="",D18=0),"",CHOOSE(MONTH(D18),"Ene","Feb","Mar","Abr","May","Jun","Jul","Ago","Sep","Oct","Nov","Dic"))</f>
        <v>Ago</v>
      </c>
      <c r="F18" s="24" t="n">
        <f aca="false">IF(OR(D18="",D18=0),"",YEAR(D18))</f>
        <v>2026</v>
      </c>
      <c r="G18" s="24" t="str">
        <f aca="false">IF(B18="","",IF(B18=$C$3,"◄ SELECCIONADO",IF(OR(D18="",D18=0,$C$6="",$C$6=0),"Sin fecha",IF(AND(YEAR(D18)=YEAR($C$6),MONTH(D18)=MONTH($C$6)),"MISMO MES",ABS((YEAR(D18)-YEAR($C$6))*12+MONTH(D18)-MONTH($C$6))&amp;" meses "&amp;IF(D18&lt;$C$6,"antes","después")))))</f>
        <v>MISMO MES</v>
      </c>
      <c r="H18" s="26" t="str">
        <f aca="false">IFERROR(INDEX(Consolidado!$F$5:$F$1000,MATCH(5,Consolidado!$AC$5:$AC$1000,0))&amp;"","")</f>
        <v>Creación, aprobación y publicación de Perfil Aspirante a Directores Del Consejo de Administración (ejecución de Agosto y septiembre 2025)</v>
      </c>
      <c r="I18" s="27" t="str">
        <f aca="false">IFERROR(INDEX(Consolidado!$G$5:$G$1000,MATCH(5,Consolidado!$AC$5:$AC$1000,0))&amp;"","")</f>
        <v>Silvita</v>
      </c>
      <c r="J18" s="24" t="str">
        <f aca="false">IFERROR(INDEX(Consolidado!$H$5:$H$1000,MATCH(5,Consolidado!$AC$5:$AC$1000,0))&amp;"","")</f>
        <v/>
      </c>
    </row>
    <row r="19" customFormat="false" ht="34.5" hidden="false" customHeight="true" outlineLevel="0" collapsed="false">
      <c r="A19" s="24" t="n">
        <f aca="false">IF(B19="","",6)</f>
        <v>6</v>
      </c>
      <c r="B19" s="24" t="n">
        <f aca="false">IFERROR(INDEX(Consolidado!$A$5:$A$1000,MATCH(6,Consolidado!$AC$5:$AC$1000,0)),"")</f>
        <v>43</v>
      </c>
      <c r="C19" s="24" t="str">
        <f aca="false">IFERROR(INDEX(Consolidado!$C$5:$C$1000,MATCH(6,Consolidado!$AC$5:$AC$1000,0))&amp;"","")</f>
        <v>Auditoría Interna</v>
      </c>
      <c r="D19" s="25" t="n">
        <f aca="false">IFERROR(INDEX(Consolidado!$B$5:$B$1000,MATCH(6,Consolidado!$AC$5:$AC$1000,0)),"")</f>
        <v>46249</v>
      </c>
      <c r="E19" s="24" t="str">
        <f aca="false">IF(OR(D19="",D19=0),"",CHOOSE(MONTH(D19),"Ene","Feb","Mar","Abr","May","Jun","Jul","Ago","Sep","Oct","Nov","Dic"))</f>
        <v>Ago</v>
      </c>
      <c r="F19" s="24" t="n">
        <f aca="false">IF(OR(D19="",D19=0),"",YEAR(D19))</f>
        <v>2026</v>
      </c>
      <c r="G19" s="24" t="str">
        <f aca="false">IF(B19="","",IF(B19=$C$3,"◄ SELECCIONADO",IF(OR(D19="",D19=0,$C$6="",$C$6=0),"Sin fecha",IF(AND(YEAR(D19)=YEAR($C$6),MONTH(D19)=MONTH($C$6)),"MISMO MES",ABS((YEAR(D19)-YEAR($C$6))*12+MONTH(D19)-MONTH($C$6))&amp;" meses "&amp;IF(D19&lt;$C$6,"antes","después")))))</f>
        <v>MISMO MES</v>
      </c>
      <c r="H19" s="26" t="str">
        <f aca="false">IFERROR(INDEX(Consolidado!$F$5:$F$1000,MATCH(6,Consolidado!$AC$5:$AC$1000,0))&amp;"","")</f>
        <v>Revisión con Comisión de Acreditación para revisar Curriculum de Aspirantes a Directores del Consejo de Administración (ejecución de Diciembre 2025, enero y febrero 2026)</v>
      </c>
      <c r="I19" s="27" t="str">
        <f aca="false">IFERROR(INDEX(Consolidado!$G$5:$G$1000,MATCH(6,Consolidado!$AC$5:$AC$1000,0))&amp;"","")</f>
        <v>Silvita</v>
      </c>
      <c r="J19" s="24" t="str">
        <f aca="false">IFERROR(INDEX(Consolidado!$H$5:$H$1000,MATCH(6,Consolidado!$AC$5:$AC$1000,0))&amp;"","")</f>
        <v/>
      </c>
    </row>
    <row r="20" customFormat="false" ht="23.25" hidden="false" customHeight="true" outlineLevel="0" collapsed="false">
      <c r="A20" s="24" t="n">
        <f aca="false">IF(B20="","",7)</f>
        <v>7</v>
      </c>
      <c r="B20" s="24" t="n">
        <f aca="false">IFERROR(INDEX(Consolidado!$A$5:$A$1000,MATCH(7,Consolidado!$AC$5:$AC$1000,0)),"")</f>
        <v>51</v>
      </c>
      <c r="C20" s="24" t="str">
        <f aca="false">IFERROR(INDEX(Consolidado!$C$5:$C$1000,MATCH(7,Consolidado!$AC$5:$AC$1000,0))&amp;"","")</f>
        <v>Auditoría Interna</v>
      </c>
      <c r="D20" s="25" t="n">
        <f aca="false">IFERROR(INDEX(Consolidado!$B$5:$B$1000,MATCH(7,Consolidado!$AC$5:$AC$1000,0)),"")</f>
        <v>46249</v>
      </c>
      <c r="E20" s="24" t="str">
        <f aca="false">IF(OR(D20="",D20=0),"",CHOOSE(MONTH(D20),"Ene","Feb","Mar","Abr","May","Jun","Jul","Ago","Sep","Oct","Nov","Dic"))</f>
        <v>Ago</v>
      </c>
      <c r="F20" s="24" t="n">
        <f aca="false">IF(OR(D20="",D20=0),"",YEAR(D20))</f>
        <v>2026</v>
      </c>
      <c r="G20" s="24" t="str">
        <f aca="false">IF(B20="","",IF(B20=$C$3,"◄ SELECCIONADO",IF(OR(D20="",D20=0,$C$6="",$C$6=0),"Sin fecha",IF(AND(YEAR(D20)=YEAR($C$6),MONTH(D20)=MONTH($C$6)),"MISMO MES",ABS((YEAR(D20)-YEAR($C$6))*12+MONTH(D20)-MONTH($C$6))&amp;" meses "&amp;IF(D20&lt;$C$6,"antes","después")))))</f>
        <v>MISMO MES</v>
      </c>
      <c r="H20" s="26" t="str">
        <f aca="false">IFERROR(INDEX(Consolidado!$F$5:$F$1000,MATCH(7,Consolidado!$AC$5:$AC$1000,0))&amp;"","")</f>
        <v>Expedientes de directivos, Consejo de Administración, Junta de Vigilancia y comités.</v>
      </c>
      <c r="I20" s="27" t="str">
        <f aca="false">IFERROR(INDEX(Consolidado!$G$5:$G$1000,MATCH(7,Consolidado!$AC$5:$AC$1000,0))&amp;"","")</f>
        <v>Sara</v>
      </c>
      <c r="J20" s="24" t="str">
        <f aca="false">IFERROR(INDEX(Consolidado!$H$5:$H$1000,MATCH(7,Consolidado!$AC$5:$AC$1000,0))&amp;"","")</f>
        <v/>
      </c>
    </row>
    <row r="21" customFormat="false" ht="23.25" hidden="false" customHeight="true" outlineLevel="0" collapsed="false">
      <c r="A21" s="24" t="n">
        <f aca="false">IF(B21="","",8)</f>
        <v>8</v>
      </c>
      <c r="B21" s="24" t="n">
        <f aca="false">IFERROR(INDEX(Consolidado!$A$5:$A$1000,MATCH(8,Consolidado!$AC$5:$AC$1000,0)),"")</f>
        <v>53</v>
      </c>
      <c r="C21" s="24" t="str">
        <f aca="false">IFERROR(INDEX(Consolidado!$C$5:$C$1000,MATCH(8,Consolidado!$AC$5:$AC$1000,0))&amp;"","")</f>
        <v>SSF</v>
      </c>
      <c r="D21" s="25" t="n">
        <f aca="false">IFERROR(INDEX(Consolidado!$B$5:$B$1000,MATCH(8,Consolidado!$AC$5:$AC$1000,0)),"")</f>
        <v>46255</v>
      </c>
      <c r="E21" s="24" t="str">
        <f aca="false">IF(OR(D21="",D21=0),"",CHOOSE(MONTH(D21),"Ene","Feb","Mar","Abr","May","Jun","Jul","Ago","Sep","Oct","Nov","Dic"))</f>
        <v>Ago</v>
      </c>
      <c r="F21" s="24" t="n">
        <f aca="false">IF(OR(D21="",D21=0),"",YEAR(D21))</f>
        <v>2026</v>
      </c>
      <c r="G21" s="24" t="str">
        <f aca="false">IF(B21="","",IF(B21=$C$3,"◄ SELECCIONADO",IF(OR(D21="",D21=0,$C$6="",$C$6=0),"Sin fecha",IF(AND(YEAR(D21)=YEAR($C$6),MONTH(D21)=MONTH($C$6)),"MISMO MES",ABS((YEAR(D21)-YEAR($C$6))*12+MONTH(D21)-MONTH($C$6))&amp;" meses "&amp;IF(D21&lt;$C$6,"antes","después")))))</f>
        <v>◄ SELECCIONADO</v>
      </c>
      <c r="H21" s="26" t="str">
        <f aca="false">IFERROR(INDEX(Consolidado!$F$5:$F$1000,MATCH(8,Consolidado!$AC$5:$AC$1000,0))&amp;"","")</f>
        <v>Visita de supervisión ampliada para evaluar el Gobierno Corporativo. SABAO-BCS-BC-18432</v>
      </c>
      <c r="I21" s="27" t="str">
        <f aca="false">IFERROR(INDEX(Consolidado!$G$5:$G$1000,MATCH(8,Consolidado!$AC$5:$AC$1000,0))&amp;"","")</f>
        <v/>
      </c>
      <c r="J21" s="24" t="str">
        <f aca="false">IFERROR(INDEX(Consolidado!$H$5:$H$1000,MATCH(8,Consolidado!$AC$5:$AC$1000,0))&amp;"","")</f>
        <v/>
      </c>
    </row>
    <row r="22" customFormat="false" ht="15" hidden="false" customHeight="true" outlineLevel="0" collapsed="false">
      <c r="A22" s="24" t="str">
        <f aca="false">IF(B22="","",9)</f>
        <v/>
      </c>
      <c r="B22" s="24" t="str">
        <f aca="false">IFERROR(INDEX(Consolidado!$A$5:$A$1000,MATCH(9,Consolidado!$AC$5:$AC$1000,0)),"")</f>
        <v/>
      </c>
      <c r="C22" s="24" t="str">
        <f aca="false">IFERROR(INDEX(Consolidado!$C$5:$C$1000,MATCH(9,Consolidado!$AC$5:$AC$1000,0))&amp;"","")</f>
        <v/>
      </c>
      <c r="D22" s="25" t="str">
        <f aca="false">IFERROR(INDEX(Consolidado!$B$5:$B$1000,MATCH(9,Consolidado!$AC$5:$AC$1000,0)),"")</f>
        <v/>
      </c>
      <c r="E22" s="24" t="str">
        <f aca="false">IF(OR(D22="",D22=0),"",CHOOSE(MONTH(D22),"Ene","Feb","Mar","Abr","May","Jun","Jul","Ago","Sep","Oct","Nov","Dic"))</f>
        <v/>
      </c>
      <c r="F22" s="24" t="str">
        <f aca="false">IF(OR(D22="",D22=0),"",YEAR(D22))</f>
        <v/>
      </c>
      <c r="G22" s="24" t="str">
        <f aca="false">IF(B22="","",IF(B22=$C$3,"◄ SELECCIONADO",IF(OR(D22="",D22=0,$C$6="",$C$6=0),"Sin fecha",IF(AND(YEAR(D22)=YEAR($C$6),MONTH(D22)=MONTH($C$6)),"MISMO MES",ABS((YEAR(D22)-YEAR($C$6))*12+MONTH(D22)-MONTH($C$6))&amp;" meses "&amp;IF(D22&lt;$C$6,"antes","después")))))</f>
        <v/>
      </c>
      <c r="H22" s="26" t="str">
        <f aca="false">IFERROR(INDEX(Consolidado!$F$5:$F$1000,MATCH(9,Consolidado!$AC$5:$AC$1000,0))&amp;"","")</f>
        <v/>
      </c>
      <c r="I22" s="27" t="str">
        <f aca="false">IFERROR(INDEX(Consolidado!$G$5:$G$1000,MATCH(9,Consolidado!$AC$5:$AC$1000,0))&amp;"","")</f>
        <v/>
      </c>
      <c r="J22" s="24" t="str">
        <f aca="false">IFERROR(INDEX(Consolidado!$H$5:$H$1000,MATCH(9,Consolidado!$AC$5:$AC$1000,0))&amp;"","")</f>
        <v/>
      </c>
    </row>
    <row r="23" customFormat="false" ht="15" hidden="false" customHeight="true" outlineLevel="0" collapsed="false">
      <c r="A23" s="24" t="str">
        <f aca="false">IF(B23="","",10)</f>
        <v/>
      </c>
      <c r="B23" s="24" t="str">
        <f aca="false">IFERROR(INDEX(Consolidado!$A$5:$A$1000,MATCH(10,Consolidado!$AC$5:$AC$1000,0)),"")</f>
        <v/>
      </c>
      <c r="C23" s="24" t="str">
        <f aca="false">IFERROR(INDEX(Consolidado!$C$5:$C$1000,MATCH(10,Consolidado!$AC$5:$AC$1000,0))&amp;"","")</f>
        <v/>
      </c>
      <c r="D23" s="25" t="str">
        <f aca="false">IFERROR(INDEX(Consolidado!$B$5:$B$1000,MATCH(10,Consolidado!$AC$5:$AC$1000,0)),"")</f>
        <v/>
      </c>
      <c r="E23" s="24" t="str">
        <f aca="false">IF(OR(D23="",D23=0),"",CHOOSE(MONTH(D23),"Ene","Feb","Mar","Abr","May","Jun","Jul","Ago","Sep","Oct","Nov","Dic"))</f>
        <v/>
      </c>
      <c r="F23" s="24" t="str">
        <f aca="false">IF(OR(D23="",D23=0),"",YEAR(D23))</f>
        <v/>
      </c>
      <c r="G23" s="24" t="str">
        <f aca="false">IF(B23="","",IF(B23=$C$3,"◄ SELECCIONADO",IF(OR(D23="",D23=0,$C$6="",$C$6=0),"Sin fecha",IF(AND(YEAR(D23)=YEAR($C$6),MONTH(D23)=MONTH($C$6)),"MISMO MES",ABS((YEAR(D23)-YEAR($C$6))*12+MONTH(D23)-MONTH($C$6))&amp;" meses "&amp;IF(D23&lt;$C$6,"antes","después")))))</f>
        <v/>
      </c>
      <c r="H23" s="26" t="str">
        <f aca="false">IFERROR(INDEX(Consolidado!$F$5:$F$1000,MATCH(10,Consolidado!$AC$5:$AC$1000,0))&amp;"","")</f>
        <v/>
      </c>
      <c r="I23" s="27" t="str">
        <f aca="false">IFERROR(INDEX(Consolidado!$G$5:$G$1000,MATCH(10,Consolidado!$AC$5:$AC$1000,0))&amp;"","")</f>
        <v/>
      </c>
      <c r="J23" s="24" t="str">
        <f aca="false">IFERROR(INDEX(Consolidado!$H$5:$H$1000,MATCH(10,Consolidado!$AC$5:$AC$1000,0))&amp;"","")</f>
        <v/>
      </c>
    </row>
    <row r="24" customFormat="false" ht="15" hidden="false" customHeight="true" outlineLevel="0" collapsed="false">
      <c r="A24" s="24" t="str">
        <f aca="false">IF(B24="","",11)</f>
        <v/>
      </c>
      <c r="B24" s="24" t="str">
        <f aca="false">IFERROR(INDEX(Consolidado!$A$5:$A$1000,MATCH(11,Consolidado!$AC$5:$AC$1000,0)),"")</f>
        <v/>
      </c>
      <c r="C24" s="24" t="str">
        <f aca="false">IFERROR(INDEX(Consolidado!$C$5:$C$1000,MATCH(11,Consolidado!$AC$5:$AC$1000,0))&amp;"","")</f>
        <v/>
      </c>
      <c r="D24" s="25" t="str">
        <f aca="false">IFERROR(INDEX(Consolidado!$B$5:$B$1000,MATCH(11,Consolidado!$AC$5:$AC$1000,0)),"")</f>
        <v/>
      </c>
      <c r="E24" s="24" t="str">
        <f aca="false">IF(OR(D24="",D24=0),"",CHOOSE(MONTH(D24),"Ene","Feb","Mar","Abr","May","Jun","Jul","Ago","Sep","Oct","Nov","Dic"))</f>
        <v/>
      </c>
      <c r="F24" s="24" t="str">
        <f aca="false">IF(OR(D24="",D24=0),"",YEAR(D24))</f>
        <v/>
      </c>
      <c r="G24" s="24" t="str">
        <f aca="false">IF(B24="","",IF(B24=$C$3,"◄ SELECCIONADO",IF(OR(D24="",D24=0,$C$6="",$C$6=0),"Sin fecha",IF(AND(YEAR(D24)=YEAR($C$6),MONTH(D24)=MONTH($C$6)),"MISMO MES",ABS((YEAR(D24)-YEAR($C$6))*12+MONTH(D24)-MONTH($C$6))&amp;" meses "&amp;IF(D24&lt;$C$6,"antes","después")))))</f>
        <v/>
      </c>
      <c r="H24" s="26" t="str">
        <f aca="false">IFERROR(INDEX(Consolidado!$F$5:$F$1000,MATCH(11,Consolidado!$AC$5:$AC$1000,0))&amp;"","")</f>
        <v/>
      </c>
      <c r="I24" s="27" t="str">
        <f aca="false">IFERROR(INDEX(Consolidado!$G$5:$G$1000,MATCH(11,Consolidado!$AC$5:$AC$1000,0))&amp;"","")</f>
        <v/>
      </c>
      <c r="J24" s="24" t="str">
        <f aca="false">IFERROR(INDEX(Consolidado!$H$5:$H$1000,MATCH(11,Consolidado!$AC$5:$AC$1000,0))&amp;"","")</f>
        <v/>
      </c>
    </row>
    <row r="25" customFormat="false" ht="15" hidden="false" customHeight="true" outlineLevel="0" collapsed="false">
      <c r="A25" s="24" t="str">
        <f aca="false">IF(B25="","",12)</f>
        <v/>
      </c>
      <c r="B25" s="24" t="str">
        <f aca="false">IFERROR(INDEX(Consolidado!$A$5:$A$1000,MATCH(12,Consolidado!$AC$5:$AC$1000,0)),"")</f>
        <v/>
      </c>
      <c r="C25" s="24" t="str">
        <f aca="false">IFERROR(INDEX(Consolidado!$C$5:$C$1000,MATCH(12,Consolidado!$AC$5:$AC$1000,0))&amp;"","")</f>
        <v/>
      </c>
      <c r="D25" s="25" t="str">
        <f aca="false">IFERROR(INDEX(Consolidado!$B$5:$B$1000,MATCH(12,Consolidado!$AC$5:$AC$1000,0)),"")</f>
        <v/>
      </c>
      <c r="E25" s="24" t="str">
        <f aca="false">IF(OR(D25="",D25=0),"",CHOOSE(MONTH(D25),"Ene","Feb","Mar","Abr","May","Jun","Jul","Ago","Sep","Oct","Nov","Dic"))</f>
        <v/>
      </c>
      <c r="F25" s="24" t="str">
        <f aca="false">IF(OR(D25="",D25=0),"",YEAR(D25))</f>
        <v/>
      </c>
      <c r="G25" s="24" t="str">
        <f aca="false">IF(B25="","",IF(B25=$C$3,"◄ SELECCIONADO",IF(OR(D25="",D25=0,$C$6="",$C$6=0),"Sin fecha",IF(AND(YEAR(D25)=YEAR($C$6),MONTH(D25)=MONTH($C$6)),"MISMO MES",ABS((YEAR(D25)-YEAR($C$6))*12+MONTH(D25)-MONTH($C$6))&amp;" meses "&amp;IF(D25&lt;$C$6,"antes","después")))))</f>
        <v/>
      </c>
      <c r="H25" s="26" t="str">
        <f aca="false">IFERROR(INDEX(Consolidado!$F$5:$F$1000,MATCH(12,Consolidado!$AC$5:$AC$1000,0))&amp;"","")</f>
        <v/>
      </c>
      <c r="I25" s="27" t="str">
        <f aca="false">IFERROR(INDEX(Consolidado!$G$5:$G$1000,MATCH(12,Consolidado!$AC$5:$AC$1000,0))&amp;"","")</f>
        <v/>
      </c>
      <c r="J25" s="24" t="str">
        <f aca="false">IFERROR(INDEX(Consolidado!$H$5:$H$1000,MATCH(12,Consolidado!$AC$5:$AC$1000,0))&amp;"","")</f>
        <v/>
      </c>
    </row>
    <row r="26" customFormat="false" ht="15" hidden="false" customHeight="true" outlineLevel="0" collapsed="false">
      <c r="A26" s="24" t="str">
        <f aca="false">IF(B26="","",13)</f>
        <v/>
      </c>
      <c r="B26" s="24" t="str">
        <f aca="false">IFERROR(INDEX(Consolidado!$A$5:$A$1000,MATCH(13,Consolidado!$AC$5:$AC$1000,0)),"")</f>
        <v/>
      </c>
      <c r="C26" s="24" t="str">
        <f aca="false">IFERROR(INDEX(Consolidado!$C$5:$C$1000,MATCH(13,Consolidado!$AC$5:$AC$1000,0))&amp;"","")</f>
        <v/>
      </c>
      <c r="D26" s="25" t="str">
        <f aca="false">IFERROR(INDEX(Consolidado!$B$5:$B$1000,MATCH(13,Consolidado!$AC$5:$AC$1000,0)),"")</f>
        <v/>
      </c>
      <c r="E26" s="24" t="str">
        <f aca="false">IF(OR(D26="",D26=0),"",CHOOSE(MONTH(D26),"Ene","Feb","Mar","Abr","May","Jun","Jul","Ago","Sep","Oct","Nov","Dic"))</f>
        <v/>
      </c>
      <c r="F26" s="24" t="str">
        <f aca="false">IF(OR(D26="",D26=0),"",YEAR(D26))</f>
        <v/>
      </c>
      <c r="G26" s="24" t="str">
        <f aca="false">IF(B26="","",IF(B26=$C$3,"◄ SELECCIONADO",IF(OR(D26="",D26=0,$C$6="",$C$6=0),"Sin fecha",IF(AND(YEAR(D26)=YEAR($C$6),MONTH(D26)=MONTH($C$6)),"MISMO MES",ABS((YEAR(D26)-YEAR($C$6))*12+MONTH(D26)-MONTH($C$6))&amp;" meses "&amp;IF(D26&lt;$C$6,"antes","después")))))</f>
        <v/>
      </c>
      <c r="H26" s="26" t="str">
        <f aca="false">IFERROR(INDEX(Consolidado!$F$5:$F$1000,MATCH(13,Consolidado!$AC$5:$AC$1000,0))&amp;"","")</f>
        <v/>
      </c>
      <c r="I26" s="27" t="str">
        <f aca="false">IFERROR(INDEX(Consolidado!$G$5:$G$1000,MATCH(13,Consolidado!$AC$5:$AC$1000,0))&amp;"","")</f>
        <v/>
      </c>
      <c r="J26" s="24" t="str">
        <f aca="false">IFERROR(INDEX(Consolidado!$H$5:$H$1000,MATCH(13,Consolidado!$AC$5:$AC$1000,0))&amp;"","")</f>
        <v/>
      </c>
    </row>
    <row r="27" customFormat="false" ht="15" hidden="false" customHeight="true" outlineLevel="0" collapsed="false">
      <c r="A27" s="24" t="str">
        <f aca="false">IF(B27="","",14)</f>
        <v/>
      </c>
      <c r="B27" s="24" t="str">
        <f aca="false">IFERROR(INDEX(Consolidado!$A$5:$A$1000,MATCH(14,Consolidado!$AC$5:$AC$1000,0)),"")</f>
        <v/>
      </c>
      <c r="C27" s="24" t="str">
        <f aca="false">IFERROR(INDEX(Consolidado!$C$5:$C$1000,MATCH(14,Consolidado!$AC$5:$AC$1000,0))&amp;"","")</f>
        <v/>
      </c>
      <c r="D27" s="25" t="str">
        <f aca="false">IFERROR(INDEX(Consolidado!$B$5:$B$1000,MATCH(14,Consolidado!$AC$5:$AC$1000,0)),"")</f>
        <v/>
      </c>
      <c r="E27" s="24" t="str">
        <f aca="false">IF(OR(D27="",D27=0),"",CHOOSE(MONTH(D27),"Ene","Feb","Mar","Abr","May","Jun","Jul","Ago","Sep","Oct","Nov","Dic"))</f>
        <v/>
      </c>
      <c r="F27" s="24" t="str">
        <f aca="false">IF(OR(D27="",D27=0),"",YEAR(D27))</f>
        <v/>
      </c>
      <c r="G27" s="24" t="str">
        <f aca="false">IF(B27="","",IF(B27=$C$3,"◄ SELECCIONADO",IF(OR(D27="",D27=0,$C$6="",$C$6=0),"Sin fecha",IF(AND(YEAR(D27)=YEAR($C$6),MONTH(D27)=MONTH($C$6)),"MISMO MES",ABS((YEAR(D27)-YEAR($C$6))*12+MONTH(D27)-MONTH($C$6))&amp;" meses "&amp;IF(D27&lt;$C$6,"antes","después")))))</f>
        <v/>
      </c>
      <c r="H27" s="26" t="str">
        <f aca="false">IFERROR(INDEX(Consolidado!$F$5:$F$1000,MATCH(14,Consolidado!$AC$5:$AC$1000,0))&amp;"","")</f>
        <v/>
      </c>
      <c r="I27" s="27" t="str">
        <f aca="false">IFERROR(INDEX(Consolidado!$G$5:$G$1000,MATCH(14,Consolidado!$AC$5:$AC$1000,0))&amp;"","")</f>
        <v/>
      </c>
      <c r="J27" s="24" t="str">
        <f aca="false">IFERROR(INDEX(Consolidado!$H$5:$H$1000,MATCH(14,Consolidado!$AC$5:$AC$1000,0))&amp;"","")</f>
        <v/>
      </c>
    </row>
    <row r="28" customFormat="false" ht="15" hidden="false" customHeight="true" outlineLevel="0" collapsed="false">
      <c r="A28" s="24" t="str">
        <f aca="false">IF(B28="","",15)</f>
        <v/>
      </c>
      <c r="B28" s="24" t="str">
        <f aca="false">IFERROR(INDEX(Consolidado!$A$5:$A$1000,MATCH(15,Consolidado!$AC$5:$AC$1000,0)),"")</f>
        <v/>
      </c>
      <c r="C28" s="24" t="str">
        <f aca="false">IFERROR(INDEX(Consolidado!$C$5:$C$1000,MATCH(15,Consolidado!$AC$5:$AC$1000,0))&amp;"","")</f>
        <v/>
      </c>
      <c r="D28" s="25" t="str">
        <f aca="false">IFERROR(INDEX(Consolidado!$B$5:$B$1000,MATCH(15,Consolidado!$AC$5:$AC$1000,0)),"")</f>
        <v/>
      </c>
      <c r="E28" s="24" t="str">
        <f aca="false">IF(OR(D28="",D28=0),"",CHOOSE(MONTH(D28),"Ene","Feb","Mar","Abr","May","Jun","Jul","Ago","Sep","Oct","Nov","Dic"))</f>
        <v/>
      </c>
      <c r="F28" s="24" t="str">
        <f aca="false">IF(OR(D28="",D28=0),"",YEAR(D28))</f>
        <v/>
      </c>
      <c r="G28" s="24" t="str">
        <f aca="false">IF(B28="","",IF(B28=$C$3,"◄ SELECCIONADO",IF(OR(D28="",D28=0,$C$6="",$C$6=0),"Sin fecha",IF(AND(YEAR(D28)=YEAR($C$6),MONTH(D28)=MONTH($C$6)),"MISMO MES",ABS((YEAR(D28)-YEAR($C$6))*12+MONTH(D28)-MONTH($C$6))&amp;" meses "&amp;IF(D28&lt;$C$6,"antes","después")))))</f>
        <v/>
      </c>
      <c r="H28" s="26" t="str">
        <f aca="false">IFERROR(INDEX(Consolidado!$F$5:$F$1000,MATCH(15,Consolidado!$AC$5:$AC$1000,0))&amp;"","")</f>
        <v/>
      </c>
      <c r="I28" s="27" t="str">
        <f aca="false">IFERROR(INDEX(Consolidado!$G$5:$G$1000,MATCH(15,Consolidado!$AC$5:$AC$1000,0))&amp;"","")</f>
        <v/>
      </c>
      <c r="J28" s="24" t="str">
        <f aca="false">IFERROR(INDEX(Consolidado!$H$5:$H$1000,MATCH(15,Consolidado!$AC$5:$AC$1000,0))&amp;"","")</f>
        <v/>
      </c>
    </row>
    <row r="29" customFormat="false" ht="15" hidden="false" customHeight="true" outlineLevel="0" collapsed="false">
      <c r="A29" s="24" t="str">
        <f aca="false">IF(B29="","",16)</f>
        <v/>
      </c>
      <c r="B29" s="24" t="str">
        <f aca="false">IFERROR(INDEX(Consolidado!$A$5:$A$1000,MATCH(16,Consolidado!$AC$5:$AC$1000,0)),"")</f>
        <v/>
      </c>
      <c r="C29" s="24" t="str">
        <f aca="false">IFERROR(INDEX(Consolidado!$C$5:$C$1000,MATCH(16,Consolidado!$AC$5:$AC$1000,0))&amp;"","")</f>
        <v/>
      </c>
      <c r="D29" s="25" t="str">
        <f aca="false">IFERROR(INDEX(Consolidado!$B$5:$B$1000,MATCH(16,Consolidado!$AC$5:$AC$1000,0)),"")</f>
        <v/>
      </c>
      <c r="E29" s="24" t="str">
        <f aca="false">IF(OR(D29="",D29=0),"",CHOOSE(MONTH(D29),"Ene","Feb","Mar","Abr","May","Jun","Jul","Ago","Sep","Oct","Nov","Dic"))</f>
        <v/>
      </c>
      <c r="F29" s="24" t="str">
        <f aca="false">IF(OR(D29="",D29=0),"",YEAR(D29))</f>
        <v/>
      </c>
      <c r="G29" s="24" t="str">
        <f aca="false">IF(B29="","",IF(B29=$C$3,"◄ SELECCIONADO",IF(OR(D29="",D29=0,$C$6="",$C$6=0),"Sin fecha",IF(AND(YEAR(D29)=YEAR($C$6),MONTH(D29)=MONTH($C$6)),"MISMO MES",ABS((YEAR(D29)-YEAR($C$6))*12+MONTH(D29)-MONTH($C$6))&amp;" meses "&amp;IF(D29&lt;$C$6,"antes","después")))))</f>
        <v/>
      </c>
      <c r="H29" s="26" t="str">
        <f aca="false">IFERROR(INDEX(Consolidado!$F$5:$F$1000,MATCH(16,Consolidado!$AC$5:$AC$1000,0))&amp;"","")</f>
        <v/>
      </c>
      <c r="I29" s="27" t="str">
        <f aca="false">IFERROR(INDEX(Consolidado!$G$5:$G$1000,MATCH(16,Consolidado!$AC$5:$AC$1000,0))&amp;"","")</f>
        <v/>
      </c>
      <c r="J29" s="24" t="str">
        <f aca="false">IFERROR(INDEX(Consolidado!$H$5:$H$1000,MATCH(16,Consolidado!$AC$5:$AC$1000,0))&amp;"","")</f>
        <v/>
      </c>
    </row>
    <row r="30" customFormat="false" ht="15" hidden="false" customHeight="true" outlineLevel="0" collapsed="false">
      <c r="A30" s="24" t="str">
        <f aca="false">IF(B30="","",17)</f>
        <v/>
      </c>
      <c r="B30" s="24" t="str">
        <f aca="false">IFERROR(INDEX(Consolidado!$A$5:$A$1000,MATCH(17,Consolidado!$AC$5:$AC$1000,0)),"")</f>
        <v/>
      </c>
      <c r="C30" s="24" t="str">
        <f aca="false">IFERROR(INDEX(Consolidado!$C$5:$C$1000,MATCH(17,Consolidado!$AC$5:$AC$1000,0))&amp;"","")</f>
        <v/>
      </c>
      <c r="D30" s="25" t="str">
        <f aca="false">IFERROR(INDEX(Consolidado!$B$5:$B$1000,MATCH(17,Consolidado!$AC$5:$AC$1000,0)),"")</f>
        <v/>
      </c>
      <c r="E30" s="24" t="str">
        <f aca="false">IF(OR(D30="",D30=0),"",CHOOSE(MONTH(D30),"Ene","Feb","Mar","Abr","May","Jun","Jul","Ago","Sep","Oct","Nov","Dic"))</f>
        <v/>
      </c>
      <c r="F30" s="24" t="str">
        <f aca="false">IF(OR(D30="",D30=0),"",YEAR(D30))</f>
        <v/>
      </c>
      <c r="G30" s="24" t="str">
        <f aca="false">IF(B30="","",IF(B30=$C$3,"◄ SELECCIONADO",IF(OR(D30="",D30=0,$C$6="",$C$6=0),"Sin fecha",IF(AND(YEAR(D30)=YEAR($C$6),MONTH(D30)=MONTH($C$6)),"MISMO MES",ABS((YEAR(D30)-YEAR($C$6))*12+MONTH(D30)-MONTH($C$6))&amp;" meses "&amp;IF(D30&lt;$C$6,"antes","después")))))</f>
        <v/>
      </c>
      <c r="H30" s="26" t="str">
        <f aca="false">IFERROR(INDEX(Consolidado!$F$5:$F$1000,MATCH(17,Consolidado!$AC$5:$AC$1000,0))&amp;"","")</f>
        <v/>
      </c>
      <c r="I30" s="27" t="str">
        <f aca="false">IFERROR(INDEX(Consolidado!$G$5:$G$1000,MATCH(17,Consolidado!$AC$5:$AC$1000,0))&amp;"","")</f>
        <v/>
      </c>
      <c r="J30" s="24" t="str">
        <f aca="false">IFERROR(INDEX(Consolidado!$H$5:$H$1000,MATCH(17,Consolidado!$AC$5:$AC$1000,0))&amp;"","")</f>
        <v/>
      </c>
    </row>
    <row r="31" customFormat="false" ht="15" hidden="false" customHeight="true" outlineLevel="0" collapsed="false">
      <c r="A31" s="24" t="str">
        <f aca="false">IF(B31="","",18)</f>
        <v/>
      </c>
      <c r="B31" s="24" t="str">
        <f aca="false">IFERROR(INDEX(Consolidado!$A$5:$A$1000,MATCH(18,Consolidado!$AC$5:$AC$1000,0)),"")</f>
        <v/>
      </c>
      <c r="C31" s="24" t="str">
        <f aca="false">IFERROR(INDEX(Consolidado!$C$5:$C$1000,MATCH(18,Consolidado!$AC$5:$AC$1000,0))&amp;"","")</f>
        <v/>
      </c>
      <c r="D31" s="25" t="str">
        <f aca="false">IFERROR(INDEX(Consolidado!$B$5:$B$1000,MATCH(18,Consolidado!$AC$5:$AC$1000,0)),"")</f>
        <v/>
      </c>
      <c r="E31" s="24" t="str">
        <f aca="false">IF(OR(D31="",D31=0),"",CHOOSE(MONTH(D31),"Ene","Feb","Mar","Abr","May","Jun","Jul","Ago","Sep","Oct","Nov","Dic"))</f>
        <v/>
      </c>
      <c r="F31" s="24" t="str">
        <f aca="false">IF(OR(D31="",D31=0),"",YEAR(D31))</f>
        <v/>
      </c>
      <c r="G31" s="24" t="str">
        <f aca="false">IF(B31="","",IF(B31=$C$3,"◄ SELECCIONADO",IF(OR(D31="",D31=0,$C$6="",$C$6=0),"Sin fecha",IF(AND(YEAR(D31)=YEAR($C$6),MONTH(D31)=MONTH($C$6)),"MISMO MES",ABS((YEAR(D31)-YEAR($C$6))*12+MONTH(D31)-MONTH($C$6))&amp;" meses "&amp;IF(D31&lt;$C$6,"antes","después")))))</f>
        <v/>
      </c>
      <c r="H31" s="26" t="str">
        <f aca="false">IFERROR(INDEX(Consolidado!$F$5:$F$1000,MATCH(18,Consolidado!$AC$5:$AC$1000,0))&amp;"","")</f>
        <v/>
      </c>
      <c r="I31" s="27" t="str">
        <f aca="false">IFERROR(INDEX(Consolidado!$G$5:$G$1000,MATCH(18,Consolidado!$AC$5:$AC$1000,0))&amp;"","")</f>
        <v/>
      </c>
      <c r="J31" s="24" t="str">
        <f aca="false">IFERROR(INDEX(Consolidado!$H$5:$H$1000,MATCH(18,Consolidado!$AC$5:$AC$1000,0))&amp;"","")</f>
        <v/>
      </c>
    </row>
    <row r="32" customFormat="false" ht="15" hidden="false" customHeight="true" outlineLevel="0" collapsed="false">
      <c r="A32" s="24" t="str">
        <f aca="false">IF(B32="","",19)</f>
        <v/>
      </c>
      <c r="B32" s="24" t="str">
        <f aca="false">IFERROR(INDEX(Consolidado!$A$5:$A$1000,MATCH(19,Consolidado!$AC$5:$AC$1000,0)),"")</f>
        <v/>
      </c>
      <c r="C32" s="24" t="str">
        <f aca="false">IFERROR(INDEX(Consolidado!$C$5:$C$1000,MATCH(19,Consolidado!$AC$5:$AC$1000,0))&amp;"","")</f>
        <v/>
      </c>
      <c r="D32" s="25" t="str">
        <f aca="false">IFERROR(INDEX(Consolidado!$B$5:$B$1000,MATCH(19,Consolidado!$AC$5:$AC$1000,0)),"")</f>
        <v/>
      </c>
      <c r="E32" s="24" t="str">
        <f aca="false">IF(OR(D32="",D32=0),"",CHOOSE(MONTH(D32),"Ene","Feb","Mar","Abr","May","Jun","Jul","Ago","Sep","Oct","Nov","Dic"))</f>
        <v/>
      </c>
      <c r="F32" s="24" t="str">
        <f aca="false">IF(OR(D32="",D32=0),"",YEAR(D32))</f>
        <v/>
      </c>
      <c r="G32" s="24" t="str">
        <f aca="false">IF(B32="","",IF(B32=$C$3,"◄ SELECCIONADO",IF(OR(D32="",D32=0,$C$6="",$C$6=0),"Sin fecha",IF(AND(YEAR(D32)=YEAR($C$6),MONTH(D32)=MONTH($C$6)),"MISMO MES",ABS((YEAR(D32)-YEAR($C$6))*12+MONTH(D32)-MONTH($C$6))&amp;" meses "&amp;IF(D32&lt;$C$6,"antes","después")))))</f>
        <v/>
      </c>
      <c r="H32" s="26" t="str">
        <f aca="false">IFERROR(INDEX(Consolidado!$F$5:$F$1000,MATCH(19,Consolidado!$AC$5:$AC$1000,0))&amp;"","")</f>
        <v/>
      </c>
      <c r="I32" s="27" t="str">
        <f aca="false">IFERROR(INDEX(Consolidado!$G$5:$G$1000,MATCH(19,Consolidado!$AC$5:$AC$1000,0))&amp;"","")</f>
        <v/>
      </c>
      <c r="J32" s="24" t="str">
        <f aca="false">IFERROR(INDEX(Consolidado!$H$5:$H$1000,MATCH(19,Consolidado!$AC$5:$AC$1000,0))&amp;"","")</f>
        <v/>
      </c>
    </row>
    <row r="33" customFormat="false" ht="15" hidden="false" customHeight="true" outlineLevel="0" collapsed="false">
      <c r="A33" s="24" t="str">
        <f aca="false">IF(B33="","",20)</f>
        <v/>
      </c>
      <c r="B33" s="24" t="str">
        <f aca="false">IFERROR(INDEX(Consolidado!$A$5:$A$1000,MATCH(20,Consolidado!$AC$5:$AC$1000,0)),"")</f>
        <v/>
      </c>
      <c r="C33" s="24" t="str">
        <f aca="false">IFERROR(INDEX(Consolidado!$C$5:$C$1000,MATCH(20,Consolidado!$AC$5:$AC$1000,0))&amp;"","")</f>
        <v/>
      </c>
      <c r="D33" s="25" t="str">
        <f aca="false">IFERROR(INDEX(Consolidado!$B$5:$B$1000,MATCH(20,Consolidado!$AC$5:$AC$1000,0)),"")</f>
        <v/>
      </c>
      <c r="E33" s="24" t="str">
        <f aca="false">IF(OR(D33="",D33=0),"",CHOOSE(MONTH(D33),"Ene","Feb","Mar","Abr","May","Jun","Jul","Ago","Sep","Oct","Nov","Dic"))</f>
        <v/>
      </c>
      <c r="F33" s="24" t="str">
        <f aca="false">IF(OR(D33="",D33=0),"",YEAR(D33))</f>
        <v/>
      </c>
      <c r="G33" s="24" t="str">
        <f aca="false">IF(B33="","",IF(B33=$C$3,"◄ SELECCIONADO",IF(OR(D33="",D33=0,$C$6="",$C$6=0),"Sin fecha",IF(AND(YEAR(D33)=YEAR($C$6),MONTH(D33)=MONTH($C$6)),"MISMO MES",ABS((YEAR(D33)-YEAR($C$6))*12+MONTH(D33)-MONTH($C$6))&amp;" meses "&amp;IF(D33&lt;$C$6,"antes","después")))))</f>
        <v/>
      </c>
      <c r="H33" s="26" t="str">
        <f aca="false">IFERROR(INDEX(Consolidado!$F$5:$F$1000,MATCH(20,Consolidado!$AC$5:$AC$1000,0))&amp;"","")</f>
        <v/>
      </c>
      <c r="I33" s="27" t="str">
        <f aca="false">IFERROR(INDEX(Consolidado!$G$5:$G$1000,MATCH(20,Consolidado!$AC$5:$AC$1000,0))&amp;"","")</f>
        <v/>
      </c>
      <c r="J33" s="24" t="str">
        <f aca="false">IFERROR(INDEX(Consolidado!$H$5:$H$1000,MATCH(20,Consolidado!$AC$5:$AC$1000,0))&amp;"","")</f>
        <v/>
      </c>
    </row>
    <row r="34" customFormat="false" ht="15" hidden="false" customHeight="true" outlineLevel="0" collapsed="false">
      <c r="A34" s="24" t="str">
        <f aca="false">IF(B34="","",21)</f>
        <v/>
      </c>
      <c r="B34" s="24" t="str">
        <f aca="false">IFERROR(INDEX(Consolidado!$A$5:$A$1000,MATCH(21,Consolidado!$AC$5:$AC$1000,0)),"")</f>
        <v/>
      </c>
      <c r="C34" s="24" t="str">
        <f aca="false">IFERROR(INDEX(Consolidado!$C$5:$C$1000,MATCH(21,Consolidado!$AC$5:$AC$1000,0))&amp;"","")</f>
        <v/>
      </c>
      <c r="D34" s="25" t="str">
        <f aca="false">IFERROR(INDEX(Consolidado!$B$5:$B$1000,MATCH(21,Consolidado!$AC$5:$AC$1000,0)),"")</f>
        <v/>
      </c>
      <c r="E34" s="24" t="str">
        <f aca="false">IF(OR(D34="",D34=0),"",CHOOSE(MONTH(D34),"Ene","Feb","Mar","Abr","May","Jun","Jul","Ago","Sep","Oct","Nov","Dic"))</f>
        <v/>
      </c>
      <c r="F34" s="24" t="str">
        <f aca="false">IF(OR(D34="",D34=0),"",YEAR(D34))</f>
        <v/>
      </c>
      <c r="G34" s="24" t="str">
        <f aca="false">IF(B34="","",IF(B34=$C$3,"◄ SELECCIONADO",IF(OR(D34="",D34=0,$C$6="",$C$6=0),"Sin fecha",IF(AND(YEAR(D34)=YEAR($C$6),MONTH(D34)=MONTH($C$6)),"MISMO MES",ABS((YEAR(D34)-YEAR($C$6))*12+MONTH(D34)-MONTH($C$6))&amp;" meses "&amp;IF(D34&lt;$C$6,"antes","después")))))</f>
        <v/>
      </c>
      <c r="H34" s="26" t="str">
        <f aca="false">IFERROR(INDEX(Consolidado!$F$5:$F$1000,MATCH(21,Consolidado!$AC$5:$AC$1000,0))&amp;"","")</f>
        <v/>
      </c>
      <c r="I34" s="27" t="str">
        <f aca="false">IFERROR(INDEX(Consolidado!$G$5:$G$1000,MATCH(21,Consolidado!$AC$5:$AC$1000,0))&amp;"","")</f>
        <v/>
      </c>
      <c r="J34" s="24" t="str">
        <f aca="false">IFERROR(INDEX(Consolidado!$H$5:$H$1000,MATCH(21,Consolidado!$AC$5:$AC$1000,0))&amp;"","")</f>
        <v/>
      </c>
    </row>
    <row r="35" customFormat="false" ht="15" hidden="false" customHeight="true" outlineLevel="0" collapsed="false">
      <c r="A35" s="24" t="str">
        <f aca="false">IF(B35="","",22)</f>
        <v/>
      </c>
      <c r="B35" s="24" t="str">
        <f aca="false">IFERROR(INDEX(Consolidado!$A$5:$A$1000,MATCH(22,Consolidado!$AC$5:$AC$1000,0)),"")</f>
        <v/>
      </c>
      <c r="C35" s="24" t="str">
        <f aca="false">IFERROR(INDEX(Consolidado!$C$5:$C$1000,MATCH(22,Consolidado!$AC$5:$AC$1000,0))&amp;"","")</f>
        <v/>
      </c>
      <c r="D35" s="25" t="str">
        <f aca="false">IFERROR(INDEX(Consolidado!$B$5:$B$1000,MATCH(22,Consolidado!$AC$5:$AC$1000,0)),"")</f>
        <v/>
      </c>
      <c r="E35" s="24" t="str">
        <f aca="false">IF(OR(D35="",D35=0),"",CHOOSE(MONTH(D35),"Ene","Feb","Mar","Abr","May","Jun","Jul","Ago","Sep","Oct","Nov","Dic"))</f>
        <v/>
      </c>
      <c r="F35" s="24" t="str">
        <f aca="false">IF(OR(D35="",D35=0),"",YEAR(D35))</f>
        <v/>
      </c>
      <c r="G35" s="24" t="str">
        <f aca="false">IF(B35="","",IF(B35=$C$3,"◄ SELECCIONADO",IF(OR(D35="",D35=0,$C$6="",$C$6=0),"Sin fecha",IF(AND(YEAR(D35)=YEAR($C$6),MONTH(D35)=MONTH($C$6)),"MISMO MES",ABS((YEAR(D35)-YEAR($C$6))*12+MONTH(D35)-MONTH($C$6))&amp;" meses "&amp;IF(D35&lt;$C$6,"antes","después")))))</f>
        <v/>
      </c>
      <c r="H35" s="26" t="str">
        <f aca="false">IFERROR(INDEX(Consolidado!$F$5:$F$1000,MATCH(22,Consolidado!$AC$5:$AC$1000,0))&amp;"","")</f>
        <v/>
      </c>
      <c r="I35" s="27" t="str">
        <f aca="false">IFERROR(INDEX(Consolidado!$G$5:$G$1000,MATCH(22,Consolidado!$AC$5:$AC$1000,0))&amp;"","")</f>
        <v/>
      </c>
      <c r="J35" s="24" t="str">
        <f aca="false">IFERROR(INDEX(Consolidado!$H$5:$H$1000,MATCH(22,Consolidado!$AC$5:$AC$1000,0))&amp;"","")</f>
        <v/>
      </c>
    </row>
    <row r="36" customFormat="false" ht="15" hidden="false" customHeight="true" outlineLevel="0" collapsed="false">
      <c r="A36" s="24" t="str">
        <f aca="false">IF(B36="","",23)</f>
        <v/>
      </c>
      <c r="B36" s="24" t="str">
        <f aca="false">IFERROR(INDEX(Consolidado!$A$5:$A$1000,MATCH(23,Consolidado!$AC$5:$AC$1000,0)),"")</f>
        <v/>
      </c>
      <c r="C36" s="24" t="str">
        <f aca="false">IFERROR(INDEX(Consolidado!$C$5:$C$1000,MATCH(23,Consolidado!$AC$5:$AC$1000,0))&amp;"","")</f>
        <v/>
      </c>
      <c r="D36" s="25" t="str">
        <f aca="false">IFERROR(INDEX(Consolidado!$B$5:$B$1000,MATCH(23,Consolidado!$AC$5:$AC$1000,0)),"")</f>
        <v/>
      </c>
      <c r="E36" s="24" t="str">
        <f aca="false">IF(OR(D36="",D36=0),"",CHOOSE(MONTH(D36),"Ene","Feb","Mar","Abr","May","Jun","Jul","Ago","Sep","Oct","Nov","Dic"))</f>
        <v/>
      </c>
      <c r="F36" s="24" t="str">
        <f aca="false">IF(OR(D36="",D36=0),"",YEAR(D36))</f>
        <v/>
      </c>
      <c r="G36" s="24" t="str">
        <f aca="false">IF(B36="","",IF(B36=$C$3,"◄ SELECCIONADO",IF(OR(D36="",D36=0,$C$6="",$C$6=0),"Sin fecha",IF(AND(YEAR(D36)=YEAR($C$6),MONTH(D36)=MONTH($C$6)),"MISMO MES",ABS((YEAR(D36)-YEAR($C$6))*12+MONTH(D36)-MONTH($C$6))&amp;" meses "&amp;IF(D36&lt;$C$6,"antes","después")))))</f>
        <v/>
      </c>
      <c r="H36" s="26" t="str">
        <f aca="false">IFERROR(INDEX(Consolidado!$F$5:$F$1000,MATCH(23,Consolidado!$AC$5:$AC$1000,0))&amp;"","")</f>
        <v/>
      </c>
      <c r="I36" s="27" t="str">
        <f aca="false">IFERROR(INDEX(Consolidado!$G$5:$G$1000,MATCH(23,Consolidado!$AC$5:$AC$1000,0))&amp;"","")</f>
        <v/>
      </c>
      <c r="J36" s="24" t="str">
        <f aca="false">IFERROR(INDEX(Consolidado!$H$5:$H$1000,MATCH(23,Consolidado!$AC$5:$AC$1000,0))&amp;"","")</f>
        <v/>
      </c>
    </row>
    <row r="37" customFormat="false" ht="15" hidden="false" customHeight="true" outlineLevel="0" collapsed="false">
      <c r="A37" s="24" t="str">
        <f aca="false">IF(B37="","",24)</f>
        <v/>
      </c>
      <c r="B37" s="24" t="str">
        <f aca="false">IFERROR(INDEX(Consolidado!$A$5:$A$1000,MATCH(24,Consolidado!$AC$5:$AC$1000,0)),"")</f>
        <v/>
      </c>
      <c r="C37" s="24" t="str">
        <f aca="false">IFERROR(INDEX(Consolidado!$C$5:$C$1000,MATCH(24,Consolidado!$AC$5:$AC$1000,0))&amp;"","")</f>
        <v/>
      </c>
      <c r="D37" s="25" t="str">
        <f aca="false">IFERROR(INDEX(Consolidado!$B$5:$B$1000,MATCH(24,Consolidado!$AC$5:$AC$1000,0)),"")</f>
        <v/>
      </c>
      <c r="E37" s="24" t="str">
        <f aca="false">IF(OR(D37="",D37=0),"",CHOOSE(MONTH(D37),"Ene","Feb","Mar","Abr","May","Jun","Jul","Ago","Sep","Oct","Nov","Dic"))</f>
        <v/>
      </c>
      <c r="F37" s="24" t="str">
        <f aca="false">IF(OR(D37="",D37=0),"",YEAR(D37))</f>
        <v/>
      </c>
      <c r="G37" s="24" t="str">
        <f aca="false">IF(B37="","",IF(B37=$C$3,"◄ SELECCIONADO",IF(OR(D37="",D37=0,$C$6="",$C$6=0),"Sin fecha",IF(AND(YEAR(D37)=YEAR($C$6),MONTH(D37)=MONTH($C$6)),"MISMO MES",ABS((YEAR(D37)-YEAR($C$6))*12+MONTH(D37)-MONTH($C$6))&amp;" meses "&amp;IF(D37&lt;$C$6,"antes","después")))))</f>
        <v/>
      </c>
      <c r="H37" s="26" t="str">
        <f aca="false">IFERROR(INDEX(Consolidado!$F$5:$F$1000,MATCH(24,Consolidado!$AC$5:$AC$1000,0))&amp;"","")</f>
        <v/>
      </c>
      <c r="I37" s="27" t="str">
        <f aca="false">IFERROR(INDEX(Consolidado!$G$5:$G$1000,MATCH(24,Consolidado!$AC$5:$AC$1000,0))&amp;"","")</f>
        <v/>
      </c>
      <c r="J37" s="24" t="str">
        <f aca="false">IFERROR(INDEX(Consolidado!$H$5:$H$1000,MATCH(24,Consolidado!$AC$5:$AC$1000,0))&amp;"","")</f>
        <v/>
      </c>
    </row>
    <row r="38" customFormat="false" ht="15" hidden="false" customHeight="true" outlineLevel="0" collapsed="false">
      <c r="A38" s="24" t="str">
        <f aca="false">IF(B38="","",25)</f>
        <v/>
      </c>
      <c r="B38" s="24" t="str">
        <f aca="false">IFERROR(INDEX(Consolidado!$A$5:$A$1000,MATCH(25,Consolidado!$AC$5:$AC$1000,0)),"")</f>
        <v/>
      </c>
      <c r="C38" s="24" t="str">
        <f aca="false">IFERROR(INDEX(Consolidado!$C$5:$C$1000,MATCH(25,Consolidado!$AC$5:$AC$1000,0))&amp;"","")</f>
        <v/>
      </c>
      <c r="D38" s="25" t="str">
        <f aca="false">IFERROR(INDEX(Consolidado!$B$5:$B$1000,MATCH(25,Consolidado!$AC$5:$AC$1000,0)),"")</f>
        <v/>
      </c>
      <c r="E38" s="24" t="str">
        <f aca="false">IF(OR(D38="",D38=0),"",CHOOSE(MONTH(D38),"Ene","Feb","Mar","Abr","May","Jun","Jul","Ago","Sep","Oct","Nov","Dic"))</f>
        <v/>
      </c>
      <c r="F38" s="24" t="str">
        <f aca="false">IF(OR(D38="",D38=0),"",YEAR(D38))</f>
        <v/>
      </c>
      <c r="G38" s="24" t="str">
        <f aca="false">IF(B38="","",IF(B38=$C$3,"◄ SELECCIONADO",IF(OR(D38="",D38=0,$C$6="",$C$6=0),"Sin fecha",IF(AND(YEAR(D38)=YEAR($C$6),MONTH(D38)=MONTH($C$6)),"MISMO MES",ABS((YEAR(D38)-YEAR($C$6))*12+MONTH(D38)-MONTH($C$6))&amp;" meses "&amp;IF(D38&lt;$C$6,"antes","después")))))</f>
        <v/>
      </c>
      <c r="H38" s="26" t="str">
        <f aca="false">IFERROR(INDEX(Consolidado!$F$5:$F$1000,MATCH(25,Consolidado!$AC$5:$AC$1000,0))&amp;"","")</f>
        <v/>
      </c>
      <c r="I38" s="27" t="str">
        <f aca="false">IFERROR(INDEX(Consolidado!$G$5:$G$1000,MATCH(25,Consolidado!$AC$5:$AC$1000,0))&amp;"","")</f>
        <v/>
      </c>
      <c r="J38" s="24" t="str">
        <f aca="false">IFERROR(INDEX(Consolidado!$H$5:$H$1000,MATCH(25,Consolidado!$AC$5:$AC$1000,0))&amp;"","")</f>
        <v/>
      </c>
    </row>
    <row r="39" customFormat="false" ht="15" hidden="false" customHeight="true" outlineLevel="0" collapsed="false">
      <c r="A39" s="24" t="str">
        <f aca="false">IF(B39="","",26)</f>
        <v/>
      </c>
      <c r="B39" s="24" t="str">
        <f aca="false">IFERROR(INDEX(Consolidado!$A$5:$A$1000,MATCH(26,Consolidado!$AC$5:$AC$1000,0)),"")</f>
        <v/>
      </c>
      <c r="C39" s="24" t="str">
        <f aca="false">IFERROR(INDEX(Consolidado!$C$5:$C$1000,MATCH(26,Consolidado!$AC$5:$AC$1000,0))&amp;"","")</f>
        <v/>
      </c>
      <c r="D39" s="25" t="str">
        <f aca="false">IFERROR(INDEX(Consolidado!$B$5:$B$1000,MATCH(26,Consolidado!$AC$5:$AC$1000,0)),"")</f>
        <v/>
      </c>
      <c r="E39" s="24" t="str">
        <f aca="false">IF(OR(D39="",D39=0),"",CHOOSE(MONTH(D39),"Ene","Feb","Mar","Abr","May","Jun","Jul","Ago","Sep","Oct","Nov","Dic"))</f>
        <v/>
      </c>
      <c r="F39" s="24" t="str">
        <f aca="false">IF(OR(D39="",D39=0),"",YEAR(D39))</f>
        <v/>
      </c>
      <c r="G39" s="24" t="str">
        <f aca="false">IF(B39="","",IF(B39=$C$3,"◄ SELECCIONADO",IF(OR(D39="",D39=0,$C$6="",$C$6=0),"Sin fecha",IF(AND(YEAR(D39)=YEAR($C$6),MONTH(D39)=MONTH($C$6)),"MISMO MES",ABS((YEAR(D39)-YEAR($C$6))*12+MONTH(D39)-MONTH($C$6))&amp;" meses "&amp;IF(D39&lt;$C$6,"antes","después")))))</f>
        <v/>
      </c>
      <c r="H39" s="26" t="str">
        <f aca="false">IFERROR(INDEX(Consolidado!$F$5:$F$1000,MATCH(26,Consolidado!$AC$5:$AC$1000,0))&amp;"","")</f>
        <v/>
      </c>
      <c r="I39" s="27" t="str">
        <f aca="false">IFERROR(INDEX(Consolidado!$G$5:$G$1000,MATCH(26,Consolidado!$AC$5:$AC$1000,0))&amp;"","")</f>
        <v/>
      </c>
      <c r="J39" s="24" t="str">
        <f aca="false">IFERROR(INDEX(Consolidado!$H$5:$H$1000,MATCH(26,Consolidado!$AC$5:$AC$1000,0))&amp;"","")</f>
        <v/>
      </c>
    </row>
    <row r="40" customFormat="false" ht="15" hidden="false" customHeight="true" outlineLevel="0" collapsed="false">
      <c r="A40" s="24" t="str">
        <f aca="false">IF(B40="","",27)</f>
        <v/>
      </c>
      <c r="B40" s="24" t="str">
        <f aca="false">IFERROR(INDEX(Consolidado!$A$5:$A$1000,MATCH(27,Consolidado!$AC$5:$AC$1000,0)),"")</f>
        <v/>
      </c>
      <c r="C40" s="24" t="str">
        <f aca="false">IFERROR(INDEX(Consolidado!$C$5:$C$1000,MATCH(27,Consolidado!$AC$5:$AC$1000,0))&amp;"","")</f>
        <v/>
      </c>
      <c r="D40" s="25" t="str">
        <f aca="false">IFERROR(INDEX(Consolidado!$B$5:$B$1000,MATCH(27,Consolidado!$AC$5:$AC$1000,0)),"")</f>
        <v/>
      </c>
      <c r="E40" s="24" t="str">
        <f aca="false">IF(OR(D40="",D40=0),"",CHOOSE(MONTH(D40),"Ene","Feb","Mar","Abr","May","Jun","Jul","Ago","Sep","Oct","Nov","Dic"))</f>
        <v/>
      </c>
      <c r="F40" s="24" t="str">
        <f aca="false">IF(OR(D40="",D40=0),"",YEAR(D40))</f>
        <v/>
      </c>
      <c r="G40" s="24" t="str">
        <f aca="false">IF(B40="","",IF(B40=$C$3,"◄ SELECCIONADO",IF(OR(D40="",D40=0,$C$6="",$C$6=0),"Sin fecha",IF(AND(YEAR(D40)=YEAR($C$6),MONTH(D40)=MONTH($C$6)),"MISMO MES",ABS((YEAR(D40)-YEAR($C$6))*12+MONTH(D40)-MONTH($C$6))&amp;" meses "&amp;IF(D40&lt;$C$6,"antes","después")))))</f>
        <v/>
      </c>
      <c r="H40" s="26" t="str">
        <f aca="false">IFERROR(INDEX(Consolidado!$F$5:$F$1000,MATCH(27,Consolidado!$AC$5:$AC$1000,0))&amp;"","")</f>
        <v/>
      </c>
      <c r="I40" s="27" t="str">
        <f aca="false">IFERROR(INDEX(Consolidado!$G$5:$G$1000,MATCH(27,Consolidado!$AC$5:$AC$1000,0))&amp;"","")</f>
        <v/>
      </c>
      <c r="J40" s="24" t="str">
        <f aca="false">IFERROR(INDEX(Consolidado!$H$5:$H$1000,MATCH(27,Consolidado!$AC$5:$AC$1000,0))&amp;"","")</f>
        <v/>
      </c>
    </row>
    <row r="41" customFormat="false" ht="15" hidden="false" customHeight="true" outlineLevel="0" collapsed="false">
      <c r="A41" s="24" t="str">
        <f aca="false">IF(B41="","",28)</f>
        <v/>
      </c>
      <c r="B41" s="24" t="str">
        <f aca="false">IFERROR(INDEX(Consolidado!$A$5:$A$1000,MATCH(28,Consolidado!$AC$5:$AC$1000,0)),"")</f>
        <v/>
      </c>
      <c r="C41" s="24" t="str">
        <f aca="false">IFERROR(INDEX(Consolidado!$C$5:$C$1000,MATCH(28,Consolidado!$AC$5:$AC$1000,0))&amp;"","")</f>
        <v/>
      </c>
      <c r="D41" s="25" t="str">
        <f aca="false">IFERROR(INDEX(Consolidado!$B$5:$B$1000,MATCH(28,Consolidado!$AC$5:$AC$1000,0)),"")</f>
        <v/>
      </c>
      <c r="E41" s="24" t="str">
        <f aca="false">IF(OR(D41="",D41=0),"",CHOOSE(MONTH(D41),"Ene","Feb","Mar","Abr","May","Jun","Jul","Ago","Sep","Oct","Nov","Dic"))</f>
        <v/>
      </c>
      <c r="F41" s="24" t="str">
        <f aca="false">IF(OR(D41="",D41=0),"",YEAR(D41))</f>
        <v/>
      </c>
      <c r="G41" s="24" t="str">
        <f aca="false">IF(B41="","",IF(B41=$C$3,"◄ SELECCIONADO",IF(OR(D41="",D41=0,$C$6="",$C$6=0),"Sin fecha",IF(AND(YEAR(D41)=YEAR($C$6),MONTH(D41)=MONTH($C$6)),"MISMO MES",ABS((YEAR(D41)-YEAR($C$6))*12+MONTH(D41)-MONTH($C$6))&amp;" meses "&amp;IF(D41&lt;$C$6,"antes","después")))))</f>
        <v/>
      </c>
      <c r="H41" s="26" t="str">
        <f aca="false">IFERROR(INDEX(Consolidado!$F$5:$F$1000,MATCH(28,Consolidado!$AC$5:$AC$1000,0))&amp;"","")</f>
        <v/>
      </c>
      <c r="I41" s="27" t="str">
        <f aca="false">IFERROR(INDEX(Consolidado!$G$5:$G$1000,MATCH(28,Consolidado!$AC$5:$AC$1000,0))&amp;"","")</f>
        <v/>
      </c>
      <c r="J41" s="24" t="str">
        <f aca="false">IFERROR(INDEX(Consolidado!$H$5:$H$1000,MATCH(28,Consolidado!$AC$5:$AC$1000,0))&amp;"","")</f>
        <v/>
      </c>
    </row>
    <row r="42" customFormat="false" ht="15" hidden="false" customHeight="true" outlineLevel="0" collapsed="false">
      <c r="A42" s="24" t="str">
        <f aca="false">IF(B42="","",29)</f>
        <v/>
      </c>
      <c r="B42" s="24" t="str">
        <f aca="false">IFERROR(INDEX(Consolidado!$A$5:$A$1000,MATCH(29,Consolidado!$AC$5:$AC$1000,0)),"")</f>
        <v/>
      </c>
      <c r="C42" s="24" t="str">
        <f aca="false">IFERROR(INDEX(Consolidado!$C$5:$C$1000,MATCH(29,Consolidado!$AC$5:$AC$1000,0))&amp;"","")</f>
        <v/>
      </c>
      <c r="D42" s="25" t="str">
        <f aca="false">IFERROR(INDEX(Consolidado!$B$5:$B$1000,MATCH(29,Consolidado!$AC$5:$AC$1000,0)),"")</f>
        <v/>
      </c>
      <c r="E42" s="24" t="str">
        <f aca="false">IF(OR(D42="",D42=0),"",CHOOSE(MONTH(D42),"Ene","Feb","Mar","Abr","May","Jun","Jul","Ago","Sep","Oct","Nov","Dic"))</f>
        <v/>
      </c>
      <c r="F42" s="24" t="str">
        <f aca="false">IF(OR(D42="",D42=0),"",YEAR(D42))</f>
        <v/>
      </c>
      <c r="G42" s="24" t="str">
        <f aca="false">IF(B42="","",IF(B42=$C$3,"◄ SELECCIONADO",IF(OR(D42="",D42=0,$C$6="",$C$6=0),"Sin fecha",IF(AND(YEAR(D42)=YEAR($C$6),MONTH(D42)=MONTH($C$6)),"MISMO MES",ABS((YEAR(D42)-YEAR($C$6))*12+MONTH(D42)-MONTH($C$6))&amp;" meses "&amp;IF(D42&lt;$C$6,"antes","después")))))</f>
        <v/>
      </c>
      <c r="H42" s="26" t="str">
        <f aca="false">IFERROR(INDEX(Consolidado!$F$5:$F$1000,MATCH(29,Consolidado!$AC$5:$AC$1000,0))&amp;"","")</f>
        <v/>
      </c>
      <c r="I42" s="27" t="str">
        <f aca="false">IFERROR(INDEX(Consolidado!$G$5:$G$1000,MATCH(29,Consolidado!$AC$5:$AC$1000,0))&amp;"","")</f>
        <v/>
      </c>
      <c r="J42" s="24" t="str">
        <f aca="false">IFERROR(INDEX(Consolidado!$H$5:$H$1000,MATCH(29,Consolidado!$AC$5:$AC$1000,0))&amp;"","")</f>
        <v/>
      </c>
    </row>
    <row r="43" customFormat="false" ht="15" hidden="false" customHeight="true" outlineLevel="0" collapsed="false">
      <c r="A43" s="24" t="str">
        <f aca="false">IF(B43="","",30)</f>
        <v/>
      </c>
      <c r="B43" s="24" t="str">
        <f aca="false">IFERROR(INDEX(Consolidado!$A$5:$A$1000,MATCH(30,Consolidado!$AC$5:$AC$1000,0)),"")</f>
        <v/>
      </c>
      <c r="C43" s="24" t="str">
        <f aca="false">IFERROR(INDEX(Consolidado!$C$5:$C$1000,MATCH(30,Consolidado!$AC$5:$AC$1000,0))&amp;"","")</f>
        <v/>
      </c>
      <c r="D43" s="25" t="str">
        <f aca="false">IFERROR(INDEX(Consolidado!$B$5:$B$1000,MATCH(30,Consolidado!$AC$5:$AC$1000,0)),"")</f>
        <v/>
      </c>
      <c r="E43" s="24" t="str">
        <f aca="false">IF(OR(D43="",D43=0),"",CHOOSE(MONTH(D43),"Ene","Feb","Mar","Abr","May","Jun","Jul","Ago","Sep","Oct","Nov","Dic"))</f>
        <v/>
      </c>
      <c r="F43" s="24" t="str">
        <f aca="false">IF(OR(D43="",D43=0),"",YEAR(D43))</f>
        <v/>
      </c>
      <c r="G43" s="24" t="str">
        <f aca="false">IF(B43="","",IF(B43=$C$3,"◄ SELECCIONADO",IF(OR(D43="",D43=0,$C$6="",$C$6=0),"Sin fecha",IF(AND(YEAR(D43)=YEAR($C$6),MONTH(D43)=MONTH($C$6)),"MISMO MES",ABS((YEAR(D43)-YEAR($C$6))*12+MONTH(D43)-MONTH($C$6))&amp;" meses "&amp;IF(D43&lt;$C$6,"antes","después")))))</f>
        <v/>
      </c>
      <c r="H43" s="26" t="str">
        <f aca="false">IFERROR(INDEX(Consolidado!$F$5:$F$1000,MATCH(30,Consolidado!$AC$5:$AC$1000,0))&amp;"","")</f>
        <v/>
      </c>
      <c r="I43" s="27" t="str">
        <f aca="false">IFERROR(INDEX(Consolidado!$G$5:$G$1000,MATCH(30,Consolidado!$AC$5:$AC$1000,0))&amp;"","")</f>
        <v/>
      </c>
      <c r="J43" s="24" t="str">
        <f aca="false">IFERROR(INDEX(Consolidado!$H$5:$H$1000,MATCH(30,Consolidado!$AC$5:$AC$1000,0))&amp;"","")</f>
        <v/>
      </c>
    </row>
    <row r="44" customFormat="false" ht="15" hidden="false" customHeight="true" outlineLevel="0" collapsed="false">
      <c r="A44" s="24" t="str">
        <f aca="false">IF(B44="","",31)</f>
        <v/>
      </c>
      <c r="B44" s="24" t="str">
        <f aca="false">IFERROR(INDEX(Consolidado!$A$5:$A$1000,MATCH(31,Consolidado!$AC$5:$AC$1000,0)),"")</f>
        <v/>
      </c>
      <c r="C44" s="24" t="str">
        <f aca="false">IFERROR(INDEX(Consolidado!$C$5:$C$1000,MATCH(31,Consolidado!$AC$5:$AC$1000,0))&amp;"","")</f>
        <v/>
      </c>
      <c r="D44" s="25" t="str">
        <f aca="false">IFERROR(INDEX(Consolidado!$B$5:$B$1000,MATCH(31,Consolidado!$AC$5:$AC$1000,0)),"")</f>
        <v/>
      </c>
      <c r="E44" s="24" t="str">
        <f aca="false">IF(OR(D44="",D44=0),"",CHOOSE(MONTH(D44),"Ene","Feb","Mar","Abr","May","Jun","Jul","Ago","Sep","Oct","Nov","Dic"))</f>
        <v/>
      </c>
      <c r="F44" s="24" t="str">
        <f aca="false">IF(OR(D44="",D44=0),"",YEAR(D44))</f>
        <v/>
      </c>
      <c r="G44" s="24" t="str">
        <f aca="false">IF(B44="","",IF(B44=$C$3,"◄ SELECCIONADO",IF(OR(D44="",D44=0,$C$6="",$C$6=0),"Sin fecha",IF(AND(YEAR(D44)=YEAR($C$6),MONTH(D44)=MONTH($C$6)),"MISMO MES",ABS((YEAR(D44)-YEAR($C$6))*12+MONTH(D44)-MONTH($C$6))&amp;" meses "&amp;IF(D44&lt;$C$6,"antes","después")))))</f>
        <v/>
      </c>
      <c r="H44" s="26" t="str">
        <f aca="false">IFERROR(INDEX(Consolidado!$F$5:$F$1000,MATCH(31,Consolidado!$AC$5:$AC$1000,0))&amp;"","")</f>
        <v/>
      </c>
      <c r="I44" s="27" t="str">
        <f aca="false">IFERROR(INDEX(Consolidado!$G$5:$G$1000,MATCH(31,Consolidado!$AC$5:$AC$1000,0))&amp;"","")</f>
        <v/>
      </c>
      <c r="J44" s="24" t="str">
        <f aca="false">IFERROR(INDEX(Consolidado!$H$5:$H$1000,MATCH(31,Consolidado!$AC$5:$AC$1000,0))&amp;"","")</f>
        <v/>
      </c>
    </row>
    <row r="45" customFormat="false" ht="15" hidden="false" customHeight="true" outlineLevel="0" collapsed="false">
      <c r="A45" s="24" t="str">
        <f aca="false">IF(B45="","",32)</f>
        <v/>
      </c>
      <c r="B45" s="24" t="str">
        <f aca="false">IFERROR(INDEX(Consolidado!$A$5:$A$1000,MATCH(32,Consolidado!$AC$5:$AC$1000,0)),"")</f>
        <v/>
      </c>
      <c r="C45" s="24" t="str">
        <f aca="false">IFERROR(INDEX(Consolidado!$C$5:$C$1000,MATCH(32,Consolidado!$AC$5:$AC$1000,0))&amp;"","")</f>
        <v/>
      </c>
      <c r="D45" s="25" t="str">
        <f aca="false">IFERROR(INDEX(Consolidado!$B$5:$B$1000,MATCH(32,Consolidado!$AC$5:$AC$1000,0)),"")</f>
        <v/>
      </c>
      <c r="E45" s="24" t="str">
        <f aca="false">IF(OR(D45="",D45=0),"",CHOOSE(MONTH(D45),"Ene","Feb","Mar","Abr","May","Jun","Jul","Ago","Sep","Oct","Nov","Dic"))</f>
        <v/>
      </c>
      <c r="F45" s="24" t="str">
        <f aca="false">IF(OR(D45="",D45=0),"",YEAR(D45))</f>
        <v/>
      </c>
      <c r="G45" s="24" t="str">
        <f aca="false">IF(B45="","",IF(B45=$C$3,"◄ SELECCIONADO",IF(OR(D45="",D45=0,$C$6="",$C$6=0),"Sin fecha",IF(AND(YEAR(D45)=YEAR($C$6),MONTH(D45)=MONTH($C$6)),"MISMO MES",ABS((YEAR(D45)-YEAR($C$6))*12+MONTH(D45)-MONTH($C$6))&amp;" meses "&amp;IF(D45&lt;$C$6,"antes","después")))))</f>
        <v/>
      </c>
      <c r="H45" s="26" t="str">
        <f aca="false">IFERROR(INDEX(Consolidado!$F$5:$F$1000,MATCH(32,Consolidado!$AC$5:$AC$1000,0))&amp;"","")</f>
        <v/>
      </c>
      <c r="I45" s="27" t="str">
        <f aca="false">IFERROR(INDEX(Consolidado!$G$5:$G$1000,MATCH(32,Consolidado!$AC$5:$AC$1000,0))&amp;"","")</f>
        <v/>
      </c>
      <c r="J45" s="24" t="str">
        <f aca="false">IFERROR(INDEX(Consolidado!$H$5:$H$1000,MATCH(32,Consolidado!$AC$5:$AC$1000,0))&amp;"","")</f>
        <v/>
      </c>
    </row>
    <row r="46" customFormat="false" ht="15" hidden="false" customHeight="true" outlineLevel="0" collapsed="false">
      <c r="A46" s="24" t="str">
        <f aca="false">IF(B46="","",33)</f>
        <v/>
      </c>
      <c r="B46" s="24" t="str">
        <f aca="false">IFERROR(INDEX(Consolidado!$A$5:$A$1000,MATCH(33,Consolidado!$AC$5:$AC$1000,0)),"")</f>
        <v/>
      </c>
      <c r="C46" s="24" t="str">
        <f aca="false">IFERROR(INDEX(Consolidado!$C$5:$C$1000,MATCH(33,Consolidado!$AC$5:$AC$1000,0))&amp;"","")</f>
        <v/>
      </c>
      <c r="D46" s="25" t="str">
        <f aca="false">IFERROR(INDEX(Consolidado!$B$5:$B$1000,MATCH(33,Consolidado!$AC$5:$AC$1000,0)),"")</f>
        <v/>
      </c>
      <c r="E46" s="24" t="str">
        <f aca="false">IF(OR(D46="",D46=0),"",CHOOSE(MONTH(D46),"Ene","Feb","Mar","Abr","May","Jun","Jul","Ago","Sep","Oct","Nov","Dic"))</f>
        <v/>
      </c>
      <c r="F46" s="24" t="str">
        <f aca="false">IF(OR(D46="",D46=0),"",YEAR(D46))</f>
        <v/>
      </c>
      <c r="G46" s="24" t="str">
        <f aca="false">IF(B46="","",IF(B46=$C$3,"◄ SELECCIONADO",IF(OR(D46="",D46=0,$C$6="",$C$6=0),"Sin fecha",IF(AND(YEAR(D46)=YEAR($C$6),MONTH(D46)=MONTH($C$6)),"MISMO MES",ABS((YEAR(D46)-YEAR($C$6))*12+MONTH(D46)-MONTH($C$6))&amp;" meses "&amp;IF(D46&lt;$C$6,"antes","después")))))</f>
        <v/>
      </c>
      <c r="H46" s="26" t="str">
        <f aca="false">IFERROR(INDEX(Consolidado!$F$5:$F$1000,MATCH(33,Consolidado!$AC$5:$AC$1000,0))&amp;"","")</f>
        <v/>
      </c>
      <c r="I46" s="27" t="str">
        <f aca="false">IFERROR(INDEX(Consolidado!$G$5:$G$1000,MATCH(33,Consolidado!$AC$5:$AC$1000,0))&amp;"","")</f>
        <v/>
      </c>
      <c r="J46" s="24" t="str">
        <f aca="false">IFERROR(INDEX(Consolidado!$H$5:$H$1000,MATCH(33,Consolidado!$AC$5:$AC$1000,0))&amp;"","")</f>
        <v/>
      </c>
    </row>
    <row r="47" customFormat="false" ht="15" hidden="false" customHeight="true" outlineLevel="0" collapsed="false">
      <c r="A47" s="24" t="str">
        <f aca="false">IF(B47="","",34)</f>
        <v/>
      </c>
      <c r="B47" s="24" t="str">
        <f aca="false">IFERROR(INDEX(Consolidado!$A$5:$A$1000,MATCH(34,Consolidado!$AC$5:$AC$1000,0)),"")</f>
        <v/>
      </c>
      <c r="C47" s="24" t="str">
        <f aca="false">IFERROR(INDEX(Consolidado!$C$5:$C$1000,MATCH(34,Consolidado!$AC$5:$AC$1000,0))&amp;"","")</f>
        <v/>
      </c>
      <c r="D47" s="25" t="str">
        <f aca="false">IFERROR(INDEX(Consolidado!$B$5:$B$1000,MATCH(34,Consolidado!$AC$5:$AC$1000,0)),"")</f>
        <v/>
      </c>
      <c r="E47" s="24" t="str">
        <f aca="false">IF(OR(D47="",D47=0),"",CHOOSE(MONTH(D47),"Ene","Feb","Mar","Abr","May","Jun","Jul","Ago","Sep","Oct","Nov","Dic"))</f>
        <v/>
      </c>
      <c r="F47" s="24" t="str">
        <f aca="false">IF(OR(D47="",D47=0),"",YEAR(D47))</f>
        <v/>
      </c>
      <c r="G47" s="24" t="str">
        <f aca="false">IF(B47="","",IF(B47=$C$3,"◄ SELECCIONADO",IF(OR(D47="",D47=0,$C$6="",$C$6=0),"Sin fecha",IF(AND(YEAR(D47)=YEAR($C$6),MONTH(D47)=MONTH($C$6)),"MISMO MES",ABS((YEAR(D47)-YEAR($C$6))*12+MONTH(D47)-MONTH($C$6))&amp;" meses "&amp;IF(D47&lt;$C$6,"antes","después")))))</f>
        <v/>
      </c>
      <c r="H47" s="26" t="str">
        <f aca="false">IFERROR(INDEX(Consolidado!$F$5:$F$1000,MATCH(34,Consolidado!$AC$5:$AC$1000,0))&amp;"","")</f>
        <v/>
      </c>
      <c r="I47" s="27" t="str">
        <f aca="false">IFERROR(INDEX(Consolidado!$G$5:$G$1000,MATCH(34,Consolidado!$AC$5:$AC$1000,0))&amp;"","")</f>
        <v/>
      </c>
      <c r="J47" s="24" t="str">
        <f aca="false">IFERROR(INDEX(Consolidado!$H$5:$H$1000,MATCH(34,Consolidado!$AC$5:$AC$1000,0))&amp;"","")</f>
        <v/>
      </c>
    </row>
    <row r="48" customFormat="false" ht="15" hidden="false" customHeight="true" outlineLevel="0" collapsed="false">
      <c r="A48" s="24" t="str">
        <f aca="false">IF(B48="","",35)</f>
        <v/>
      </c>
      <c r="B48" s="24" t="str">
        <f aca="false">IFERROR(INDEX(Consolidado!$A$5:$A$1000,MATCH(35,Consolidado!$AC$5:$AC$1000,0)),"")</f>
        <v/>
      </c>
      <c r="C48" s="24" t="str">
        <f aca="false">IFERROR(INDEX(Consolidado!$C$5:$C$1000,MATCH(35,Consolidado!$AC$5:$AC$1000,0))&amp;"","")</f>
        <v/>
      </c>
      <c r="D48" s="25" t="str">
        <f aca="false">IFERROR(INDEX(Consolidado!$B$5:$B$1000,MATCH(35,Consolidado!$AC$5:$AC$1000,0)),"")</f>
        <v/>
      </c>
      <c r="E48" s="24" t="str">
        <f aca="false">IF(OR(D48="",D48=0),"",CHOOSE(MONTH(D48),"Ene","Feb","Mar","Abr","May","Jun","Jul","Ago","Sep","Oct","Nov","Dic"))</f>
        <v/>
      </c>
      <c r="F48" s="24" t="str">
        <f aca="false">IF(OR(D48="",D48=0),"",YEAR(D48))</f>
        <v/>
      </c>
      <c r="G48" s="24" t="str">
        <f aca="false">IF(B48="","",IF(B48=$C$3,"◄ SELECCIONADO",IF(OR(D48="",D48=0,$C$6="",$C$6=0),"Sin fecha",IF(AND(YEAR(D48)=YEAR($C$6),MONTH(D48)=MONTH($C$6)),"MISMO MES",ABS((YEAR(D48)-YEAR($C$6))*12+MONTH(D48)-MONTH($C$6))&amp;" meses "&amp;IF(D48&lt;$C$6,"antes","después")))))</f>
        <v/>
      </c>
      <c r="H48" s="26" t="str">
        <f aca="false">IFERROR(INDEX(Consolidado!$F$5:$F$1000,MATCH(35,Consolidado!$AC$5:$AC$1000,0))&amp;"","")</f>
        <v/>
      </c>
      <c r="I48" s="27" t="str">
        <f aca="false">IFERROR(INDEX(Consolidado!$G$5:$G$1000,MATCH(35,Consolidado!$AC$5:$AC$1000,0))&amp;"","")</f>
        <v/>
      </c>
      <c r="J48" s="24" t="str">
        <f aca="false">IFERROR(INDEX(Consolidado!$H$5:$H$1000,MATCH(35,Consolidado!$AC$5:$AC$1000,0))&amp;"","")</f>
        <v/>
      </c>
    </row>
    <row r="49" customFormat="false" ht="15" hidden="false" customHeight="true" outlineLevel="0" collapsed="false">
      <c r="A49" s="24" t="str">
        <f aca="false">IF(B49="","",36)</f>
        <v/>
      </c>
      <c r="B49" s="24" t="str">
        <f aca="false">IFERROR(INDEX(Consolidado!$A$5:$A$1000,MATCH(36,Consolidado!$AC$5:$AC$1000,0)),"")</f>
        <v/>
      </c>
      <c r="C49" s="24" t="str">
        <f aca="false">IFERROR(INDEX(Consolidado!$C$5:$C$1000,MATCH(36,Consolidado!$AC$5:$AC$1000,0))&amp;"","")</f>
        <v/>
      </c>
      <c r="D49" s="25" t="str">
        <f aca="false">IFERROR(INDEX(Consolidado!$B$5:$B$1000,MATCH(36,Consolidado!$AC$5:$AC$1000,0)),"")</f>
        <v/>
      </c>
      <c r="E49" s="24" t="str">
        <f aca="false">IF(OR(D49="",D49=0),"",CHOOSE(MONTH(D49),"Ene","Feb","Mar","Abr","May","Jun","Jul","Ago","Sep","Oct","Nov","Dic"))</f>
        <v/>
      </c>
      <c r="F49" s="24" t="str">
        <f aca="false">IF(OR(D49="",D49=0),"",YEAR(D49))</f>
        <v/>
      </c>
      <c r="G49" s="24" t="str">
        <f aca="false">IF(B49="","",IF(B49=$C$3,"◄ SELECCIONADO",IF(OR(D49="",D49=0,$C$6="",$C$6=0),"Sin fecha",IF(AND(YEAR(D49)=YEAR($C$6),MONTH(D49)=MONTH($C$6)),"MISMO MES",ABS((YEAR(D49)-YEAR($C$6))*12+MONTH(D49)-MONTH($C$6))&amp;" meses "&amp;IF(D49&lt;$C$6,"antes","después")))))</f>
        <v/>
      </c>
      <c r="H49" s="26" t="str">
        <f aca="false">IFERROR(INDEX(Consolidado!$F$5:$F$1000,MATCH(36,Consolidado!$AC$5:$AC$1000,0))&amp;"","")</f>
        <v/>
      </c>
      <c r="I49" s="27" t="str">
        <f aca="false">IFERROR(INDEX(Consolidado!$G$5:$G$1000,MATCH(36,Consolidado!$AC$5:$AC$1000,0))&amp;"","")</f>
        <v/>
      </c>
      <c r="J49" s="24" t="str">
        <f aca="false">IFERROR(INDEX(Consolidado!$H$5:$H$1000,MATCH(36,Consolidado!$AC$5:$AC$1000,0))&amp;"","")</f>
        <v/>
      </c>
    </row>
    <row r="50" customFormat="false" ht="15" hidden="false" customHeight="true" outlineLevel="0" collapsed="false">
      <c r="A50" s="24" t="str">
        <f aca="false">IF(B50="","",37)</f>
        <v/>
      </c>
      <c r="B50" s="24" t="str">
        <f aca="false">IFERROR(INDEX(Consolidado!$A$5:$A$1000,MATCH(37,Consolidado!$AC$5:$AC$1000,0)),"")</f>
        <v/>
      </c>
      <c r="C50" s="24" t="str">
        <f aca="false">IFERROR(INDEX(Consolidado!$C$5:$C$1000,MATCH(37,Consolidado!$AC$5:$AC$1000,0))&amp;"","")</f>
        <v/>
      </c>
      <c r="D50" s="25" t="str">
        <f aca="false">IFERROR(INDEX(Consolidado!$B$5:$B$1000,MATCH(37,Consolidado!$AC$5:$AC$1000,0)),"")</f>
        <v/>
      </c>
      <c r="E50" s="24" t="str">
        <f aca="false">IF(OR(D50="",D50=0),"",CHOOSE(MONTH(D50),"Ene","Feb","Mar","Abr","May","Jun","Jul","Ago","Sep","Oct","Nov","Dic"))</f>
        <v/>
      </c>
      <c r="F50" s="24" t="str">
        <f aca="false">IF(OR(D50="",D50=0),"",YEAR(D50))</f>
        <v/>
      </c>
      <c r="G50" s="24" t="str">
        <f aca="false">IF(B50="","",IF(B50=$C$3,"◄ SELECCIONADO",IF(OR(D50="",D50=0,$C$6="",$C$6=0),"Sin fecha",IF(AND(YEAR(D50)=YEAR($C$6),MONTH(D50)=MONTH($C$6)),"MISMO MES",ABS((YEAR(D50)-YEAR($C$6))*12+MONTH(D50)-MONTH($C$6))&amp;" meses "&amp;IF(D50&lt;$C$6,"antes","después")))))</f>
        <v/>
      </c>
      <c r="H50" s="26" t="str">
        <f aca="false">IFERROR(INDEX(Consolidado!$F$5:$F$1000,MATCH(37,Consolidado!$AC$5:$AC$1000,0))&amp;"","")</f>
        <v/>
      </c>
      <c r="I50" s="27" t="str">
        <f aca="false">IFERROR(INDEX(Consolidado!$G$5:$G$1000,MATCH(37,Consolidado!$AC$5:$AC$1000,0))&amp;"","")</f>
        <v/>
      </c>
      <c r="J50" s="24" t="str">
        <f aca="false">IFERROR(INDEX(Consolidado!$H$5:$H$1000,MATCH(37,Consolidado!$AC$5:$AC$1000,0))&amp;"","")</f>
        <v/>
      </c>
    </row>
    <row r="51" customFormat="false" ht="15" hidden="false" customHeight="true" outlineLevel="0" collapsed="false">
      <c r="A51" s="24" t="str">
        <f aca="false">IF(B51="","",38)</f>
        <v/>
      </c>
      <c r="B51" s="24" t="str">
        <f aca="false">IFERROR(INDEX(Consolidado!$A$5:$A$1000,MATCH(38,Consolidado!$AC$5:$AC$1000,0)),"")</f>
        <v/>
      </c>
      <c r="C51" s="24" t="str">
        <f aca="false">IFERROR(INDEX(Consolidado!$C$5:$C$1000,MATCH(38,Consolidado!$AC$5:$AC$1000,0))&amp;"","")</f>
        <v/>
      </c>
      <c r="D51" s="25" t="str">
        <f aca="false">IFERROR(INDEX(Consolidado!$B$5:$B$1000,MATCH(38,Consolidado!$AC$5:$AC$1000,0)),"")</f>
        <v/>
      </c>
      <c r="E51" s="24" t="str">
        <f aca="false">IF(OR(D51="",D51=0),"",CHOOSE(MONTH(D51),"Ene","Feb","Mar","Abr","May","Jun","Jul","Ago","Sep","Oct","Nov","Dic"))</f>
        <v/>
      </c>
      <c r="F51" s="24" t="str">
        <f aca="false">IF(OR(D51="",D51=0),"",YEAR(D51))</f>
        <v/>
      </c>
      <c r="G51" s="24" t="str">
        <f aca="false">IF(B51="","",IF(B51=$C$3,"◄ SELECCIONADO",IF(OR(D51="",D51=0,$C$6="",$C$6=0),"Sin fecha",IF(AND(YEAR(D51)=YEAR($C$6),MONTH(D51)=MONTH($C$6)),"MISMO MES",ABS((YEAR(D51)-YEAR($C$6))*12+MONTH(D51)-MONTH($C$6))&amp;" meses "&amp;IF(D51&lt;$C$6,"antes","después")))))</f>
        <v/>
      </c>
      <c r="H51" s="26" t="str">
        <f aca="false">IFERROR(INDEX(Consolidado!$F$5:$F$1000,MATCH(38,Consolidado!$AC$5:$AC$1000,0))&amp;"","")</f>
        <v/>
      </c>
      <c r="I51" s="27" t="str">
        <f aca="false">IFERROR(INDEX(Consolidado!$G$5:$G$1000,MATCH(38,Consolidado!$AC$5:$AC$1000,0))&amp;"","")</f>
        <v/>
      </c>
      <c r="J51" s="24" t="str">
        <f aca="false">IFERROR(INDEX(Consolidado!$H$5:$H$1000,MATCH(38,Consolidado!$AC$5:$AC$1000,0))&amp;"","")</f>
        <v/>
      </c>
    </row>
    <row r="52" customFormat="false" ht="15" hidden="false" customHeight="true" outlineLevel="0" collapsed="false">
      <c r="A52" s="24" t="str">
        <f aca="false">IF(B52="","",39)</f>
        <v/>
      </c>
      <c r="B52" s="24" t="str">
        <f aca="false">IFERROR(INDEX(Consolidado!$A$5:$A$1000,MATCH(39,Consolidado!$AC$5:$AC$1000,0)),"")</f>
        <v/>
      </c>
      <c r="C52" s="24" t="str">
        <f aca="false">IFERROR(INDEX(Consolidado!$C$5:$C$1000,MATCH(39,Consolidado!$AC$5:$AC$1000,0))&amp;"","")</f>
        <v/>
      </c>
      <c r="D52" s="25" t="str">
        <f aca="false">IFERROR(INDEX(Consolidado!$B$5:$B$1000,MATCH(39,Consolidado!$AC$5:$AC$1000,0)),"")</f>
        <v/>
      </c>
      <c r="E52" s="24" t="str">
        <f aca="false">IF(OR(D52="",D52=0),"",CHOOSE(MONTH(D52),"Ene","Feb","Mar","Abr","May","Jun","Jul","Ago","Sep","Oct","Nov","Dic"))</f>
        <v/>
      </c>
      <c r="F52" s="24" t="str">
        <f aca="false">IF(OR(D52="",D52=0),"",YEAR(D52))</f>
        <v/>
      </c>
      <c r="G52" s="24" t="str">
        <f aca="false">IF(B52="","",IF(B52=$C$3,"◄ SELECCIONADO",IF(OR(D52="",D52=0,$C$6="",$C$6=0),"Sin fecha",IF(AND(YEAR(D52)=YEAR($C$6),MONTH(D52)=MONTH($C$6)),"MISMO MES",ABS((YEAR(D52)-YEAR($C$6))*12+MONTH(D52)-MONTH($C$6))&amp;" meses "&amp;IF(D52&lt;$C$6,"antes","después")))))</f>
        <v/>
      </c>
      <c r="H52" s="26" t="str">
        <f aca="false">IFERROR(INDEX(Consolidado!$F$5:$F$1000,MATCH(39,Consolidado!$AC$5:$AC$1000,0))&amp;"","")</f>
        <v/>
      </c>
      <c r="I52" s="27" t="str">
        <f aca="false">IFERROR(INDEX(Consolidado!$G$5:$G$1000,MATCH(39,Consolidado!$AC$5:$AC$1000,0))&amp;"","")</f>
        <v/>
      </c>
      <c r="J52" s="24" t="str">
        <f aca="false">IFERROR(INDEX(Consolidado!$H$5:$H$1000,MATCH(39,Consolidado!$AC$5:$AC$1000,0))&amp;"","")</f>
        <v/>
      </c>
    </row>
    <row r="53" customFormat="false" ht="15" hidden="false" customHeight="true" outlineLevel="0" collapsed="false">
      <c r="A53" s="24" t="str">
        <f aca="false">IF(B53="","",40)</f>
        <v/>
      </c>
      <c r="B53" s="24" t="str">
        <f aca="false">IFERROR(INDEX(Consolidado!$A$5:$A$1000,MATCH(40,Consolidado!$AC$5:$AC$1000,0)),"")</f>
        <v/>
      </c>
      <c r="C53" s="24" t="str">
        <f aca="false">IFERROR(INDEX(Consolidado!$C$5:$C$1000,MATCH(40,Consolidado!$AC$5:$AC$1000,0))&amp;"","")</f>
        <v/>
      </c>
      <c r="D53" s="25" t="str">
        <f aca="false">IFERROR(INDEX(Consolidado!$B$5:$B$1000,MATCH(40,Consolidado!$AC$5:$AC$1000,0)),"")</f>
        <v/>
      </c>
      <c r="E53" s="24" t="str">
        <f aca="false">IF(OR(D53="",D53=0),"",CHOOSE(MONTH(D53),"Ene","Feb","Mar","Abr","May","Jun","Jul","Ago","Sep","Oct","Nov","Dic"))</f>
        <v/>
      </c>
      <c r="F53" s="24" t="str">
        <f aca="false">IF(OR(D53="",D53=0),"",YEAR(D53))</f>
        <v/>
      </c>
      <c r="G53" s="24" t="str">
        <f aca="false">IF(B53="","",IF(B53=$C$3,"◄ SELECCIONADO",IF(OR(D53="",D53=0,$C$6="",$C$6=0),"Sin fecha",IF(AND(YEAR(D53)=YEAR($C$6),MONTH(D53)=MONTH($C$6)),"MISMO MES",ABS((YEAR(D53)-YEAR($C$6))*12+MONTH(D53)-MONTH($C$6))&amp;" meses "&amp;IF(D53&lt;$C$6,"antes","después")))))</f>
        <v/>
      </c>
      <c r="H53" s="26" t="str">
        <f aca="false">IFERROR(INDEX(Consolidado!$F$5:$F$1000,MATCH(40,Consolidado!$AC$5:$AC$1000,0))&amp;"","")</f>
        <v/>
      </c>
      <c r="I53" s="27" t="str">
        <f aca="false">IFERROR(INDEX(Consolidado!$G$5:$G$1000,MATCH(40,Consolidado!$AC$5:$AC$1000,0))&amp;"","")</f>
        <v/>
      </c>
      <c r="J53" s="24" t="str">
        <f aca="false">IFERROR(INDEX(Consolidado!$H$5:$H$1000,MATCH(40,Consolidado!$AC$5:$AC$1000,0))&amp;"","")</f>
        <v/>
      </c>
    </row>
    <row r="54" customFormat="false" ht="15" hidden="false" customHeight="true" outlineLevel="0" collapsed="false">
      <c r="A54" s="24" t="str">
        <f aca="false">IF(B54="","",41)</f>
        <v/>
      </c>
      <c r="B54" s="24" t="str">
        <f aca="false">IFERROR(INDEX(Consolidado!$A$5:$A$1000,MATCH(41,Consolidado!$AC$5:$AC$1000,0)),"")</f>
        <v/>
      </c>
      <c r="C54" s="24" t="str">
        <f aca="false">IFERROR(INDEX(Consolidado!$C$5:$C$1000,MATCH(41,Consolidado!$AC$5:$AC$1000,0))&amp;"","")</f>
        <v/>
      </c>
      <c r="D54" s="25" t="str">
        <f aca="false">IFERROR(INDEX(Consolidado!$B$5:$B$1000,MATCH(41,Consolidado!$AC$5:$AC$1000,0)),"")</f>
        <v/>
      </c>
      <c r="E54" s="24" t="str">
        <f aca="false">IF(OR(D54="",D54=0),"",CHOOSE(MONTH(D54),"Ene","Feb","Mar","Abr","May","Jun","Jul","Ago","Sep","Oct","Nov","Dic"))</f>
        <v/>
      </c>
      <c r="F54" s="24" t="str">
        <f aca="false">IF(OR(D54="",D54=0),"",YEAR(D54))</f>
        <v/>
      </c>
      <c r="G54" s="24" t="str">
        <f aca="false">IF(B54="","",IF(B54=$C$3,"◄ SELECCIONADO",IF(OR(D54="",D54=0,$C$6="",$C$6=0),"Sin fecha",IF(AND(YEAR(D54)=YEAR($C$6),MONTH(D54)=MONTH($C$6)),"MISMO MES",ABS((YEAR(D54)-YEAR($C$6))*12+MONTH(D54)-MONTH($C$6))&amp;" meses "&amp;IF(D54&lt;$C$6,"antes","después")))))</f>
        <v/>
      </c>
      <c r="H54" s="26" t="str">
        <f aca="false">IFERROR(INDEX(Consolidado!$F$5:$F$1000,MATCH(41,Consolidado!$AC$5:$AC$1000,0))&amp;"","")</f>
        <v/>
      </c>
      <c r="I54" s="27" t="str">
        <f aca="false">IFERROR(INDEX(Consolidado!$G$5:$G$1000,MATCH(41,Consolidado!$AC$5:$AC$1000,0))&amp;"","")</f>
        <v/>
      </c>
      <c r="J54" s="24" t="str">
        <f aca="false">IFERROR(INDEX(Consolidado!$H$5:$H$1000,MATCH(41,Consolidado!$AC$5:$AC$1000,0))&amp;"","")</f>
        <v/>
      </c>
    </row>
    <row r="55" customFormat="false" ht="15" hidden="false" customHeight="true" outlineLevel="0" collapsed="false">
      <c r="A55" s="24" t="str">
        <f aca="false">IF(B55="","",42)</f>
        <v/>
      </c>
      <c r="B55" s="24" t="str">
        <f aca="false">IFERROR(INDEX(Consolidado!$A$5:$A$1000,MATCH(42,Consolidado!$AC$5:$AC$1000,0)),"")</f>
        <v/>
      </c>
      <c r="C55" s="24" t="str">
        <f aca="false">IFERROR(INDEX(Consolidado!$C$5:$C$1000,MATCH(42,Consolidado!$AC$5:$AC$1000,0))&amp;"","")</f>
        <v/>
      </c>
      <c r="D55" s="25" t="str">
        <f aca="false">IFERROR(INDEX(Consolidado!$B$5:$B$1000,MATCH(42,Consolidado!$AC$5:$AC$1000,0)),"")</f>
        <v/>
      </c>
      <c r="E55" s="24" t="str">
        <f aca="false">IF(OR(D55="",D55=0),"",CHOOSE(MONTH(D55),"Ene","Feb","Mar","Abr","May","Jun","Jul","Ago","Sep","Oct","Nov","Dic"))</f>
        <v/>
      </c>
      <c r="F55" s="24" t="str">
        <f aca="false">IF(OR(D55="",D55=0),"",YEAR(D55))</f>
        <v/>
      </c>
      <c r="G55" s="24" t="str">
        <f aca="false">IF(B55="","",IF(B55=$C$3,"◄ SELECCIONADO",IF(OR(D55="",D55=0,$C$6="",$C$6=0),"Sin fecha",IF(AND(YEAR(D55)=YEAR($C$6),MONTH(D55)=MONTH($C$6)),"MISMO MES",ABS((YEAR(D55)-YEAR($C$6))*12+MONTH(D55)-MONTH($C$6))&amp;" meses "&amp;IF(D55&lt;$C$6,"antes","después")))))</f>
        <v/>
      </c>
      <c r="H55" s="26" t="str">
        <f aca="false">IFERROR(INDEX(Consolidado!$F$5:$F$1000,MATCH(42,Consolidado!$AC$5:$AC$1000,0))&amp;"","")</f>
        <v/>
      </c>
      <c r="I55" s="27" t="str">
        <f aca="false">IFERROR(INDEX(Consolidado!$G$5:$G$1000,MATCH(42,Consolidado!$AC$5:$AC$1000,0))&amp;"","")</f>
        <v/>
      </c>
      <c r="J55" s="24" t="str">
        <f aca="false">IFERROR(INDEX(Consolidado!$H$5:$H$1000,MATCH(42,Consolidado!$AC$5:$AC$1000,0))&amp;"","")</f>
        <v/>
      </c>
    </row>
    <row r="56" customFormat="false" ht="15" hidden="false" customHeight="true" outlineLevel="0" collapsed="false">
      <c r="A56" s="24" t="str">
        <f aca="false">IF(B56="","",43)</f>
        <v/>
      </c>
      <c r="B56" s="24" t="str">
        <f aca="false">IFERROR(INDEX(Consolidado!$A$5:$A$1000,MATCH(43,Consolidado!$AC$5:$AC$1000,0)),"")</f>
        <v/>
      </c>
      <c r="C56" s="24" t="str">
        <f aca="false">IFERROR(INDEX(Consolidado!$C$5:$C$1000,MATCH(43,Consolidado!$AC$5:$AC$1000,0))&amp;"","")</f>
        <v/>
      </c>
      <c r="D56" s="25" t="str">
        <f aca="false">IFERROR(INDEX(Consolidado!$B$5:$B$1000,MATCH(43,Consolidado!$AC$5:$AC$1000,0)),"")</f>
        <v/>
      </c>
      <c r="E56" s="24" t="str">
        <f aca="false">IF(OR(D56="",D56=0),"",CHOOSE(MONTH(D56),"Ene","Feb","Mar","Abr","May","Jun","Jul","Ago","Sep","Oct","Nov","Dic"))</f>
        <v/>
      </c>
      <c r="F56" s="24" t="str">
        <f aca="false">IF(OR(D56="",D56=0),"",YEAR(D56))</f>
        <v/>
      </c>
      <c r="G56" s="24" t="str">
        <f aca="false">IF(B56="","",IF(B56=$C$3,"◄ SELECCIONADO",IF(OR(D56="",D56=0,$C$6="",$C$6=0),"Sin fecha",IF(AND(YEAR(D56)=YEAR($C$6),MONTH(D56)=MONTH($C$6)),"MISMO MES",ABS((YEAR(D56)-YEAR($C$6))*12+MONTH(D56)-MONTH($C$6))&amp;" meses "&amp;IF(D56&lt;$C$6,"antes","después")))))</f>
        <v/>
      </c>
      <c r="H56" s="26" t="str">
        <f aca="false">IFERROR(INDEX(Consolidado!$F$5:$F$1000,MATCH(43,Consolidado!$AC$5:$AC$1000,0))&amp;"","")</f>
        <v/>
      </c>
      <c r="I56" s="27" t="str">
        <f aca="false">IFERROR(INDEX(Consolidado!$G$5:$G$1000,MATCH(43,Consolidado!$AC$5:$AC$1000,0))&amp;"","")</f>
        <v/>
      </c>
      <c r="J56" s="24" t="str">
        <f aca="false">IFERROR(INDEX(Consolidado!$H$5:$H$1000,MATCH(43,Consolidado!$AC$5:$AC$1000,0))&amp;"","")</f>
        <v/>
      </c>
    </row>
    <row r="57" customFormat="false" ht="15" hidden="false" customHeight="true" outlineLevel="0" collapsed="false">
      <c r="A57" s="24" t="str">
        <f aca="false">IF(B57="","",44)</f>
        <v/>
      </c>
      <c r="B57" s="24" t="str">
        <f aca="false">IFERROR(INDEX(Consolidado!$A$5:$A$1000,MATCH(44,Consolidado!$AC$5:$AC$1000,0)),"")</f>
        <v/>
      </c>
      <c r="C57" s="24" t="str">
        <f aca="false">IFERROR(INDEX(Consolidado!$C$5:$C$1000,MATCH(44,Consolidado!$AC$5:$AC$1000,0))&amp;"","")</f>
        <v/>
      </c>
      <c r="D57" s="25" t="str">
        <f aca="false">IFERROR(INDEX(Consolidado!$B$5:$B$1000,MATCH(44,Consolidado!$AC$5:$AC$1000,0)),"")</f>
        <v/>
      </c>
      <c r="E57" s="24" t="str">
        <f aca="false">IF(OR(D57="",D57=0),"",CHOOSE(MONTH(D57),"Ene","Feb","Mar","Abr","May","Jun","Jul","Ago","Sep","Oct","Nov","Dic"))</f>
        <v/>
      </c>
      <c r="F57" s="24" t="str">
        <f aca="false">IF(OR(D57="",D57=0),"",YEAR(D57))</f>
        <v/>
      </c>
      <c r="G57" s="24" t="str">
        <f aca="false">IF(B57="","",IF(B57=$C$3,"◄ SELECCIONADO",IF(OR(D57="",D57=0,$C$6="",$C$6=0),"Sin fecha",IF(AND(YEAR(D57)=YEAR($C$6),MONTH(D57)=MONTH($C$6)),"MISMO MES",ABS((YEAR(D57)-YEAR($C$6))*12+MONTH(D57)-MONTH($C$6))&amp;" meses "&amp;IF(D57&lt;$C$6,"antes","después")))))</f>
        <v/>
      </c>
      <c r="H57" s="26" t="str">
        <f aca="false">IFERROR(INDEX(Consolidado!$F$5:$F$1000,MATCH(44,Consolidado!$AC$5:$AC$1000,0))&amp;"","")</f>
        <v/>
      </c>
      <c r="I57" s="27" t="str">
        <f aca="false">IFERROR(INDEX(Consolidado!$G$5:$G$1000,MATCH(44,Consolidado!$AC$5:$AC$1000,0))&amp;"","")</f>
        <v/>
      </c>
      <c r="J57" s="24" t="str">
        <f aca="false">IFERROR(INDEX(Consolidado!$H$5:$H$1000,MATCH(44,Consolidado!$AC$5:$AC$1000,0))&amp;"","")</f>
        <v/>
      </c>
    </row>
    <row r="58" customFormat="false" ht="15" hidden="false" customHeight="true" outlineLevel="0" collapsed="false">
      <c r="A58" s="24" t="str">
        <f aca="false">IF(B58="","",45)</f>
        <v/>
      </c>
      <c r="B58" s="24" t="str">
        <f aca="false">IFERROR(INDEX(Consolidado!$A$5:$A$1000,MATCH(45,Consolidado!$AC$5:$AC$1000,0)),"")</f>
        <v/>
      </c>
      <c r="C58" s="24" t="str">
        <f aca="false">IFERROR(INDEX(Consolidado!$C$5:$C$1000,MATCH(45,Consolidado!$AC$5:$AC$1000,0))&amp;"","")</f>
        <v/>
      </c>
      <c r="D58" s="25" t="str">
        <f aca="false">IFERROR(INDEX(Consolidado!$B$5:$B$1000,MATCH(45,Consolidado!$AC$5:$AC$1000,0)),"")</f>
        <v/>
      </c>
      <c r="E58" s="24" t="str">
        <f aca="false">IF(OR(D58="",D58=0),"",CHOOSE(MONTH(D58),"Ene","Feb","Mar","Abr","May","Jun","Jul","Ago","Sep","Oct","Nov","Dic"))</f>
        <v/>
      </c>
      <c r="F58" s="24" t="str">
        <f aca="false">IF(OR(D58="",D58=0),"",YEAR(D58))</f>
        <v/>
      </c>
      <c r="G58" s="24" t="str">
        <f aca="false">IF(B58="","",IF(B58=$C$3,"◄ SELECCIONADO",IF(OR(D58="",D58=0,$C$6="",$C$6=0),"Sin fecha",IF(AND(YEAR(D58)=YEAR($C$6),MONTH(D58)=MONTH($C$6)),"MISMO MES",ABS((YEAR(D58)-YEAR($C$6))*12+MONTH(D58)-MONTH($C$6))&amp;" meses "&amp;IF(D58&lt;$C$6,"antes","después")))))</f>
        <v/>
      </c>
      <c r="H58" s="26" t="str">
        <f aca="false">IFERROR(INDEX(Consolidado!$F$5:$F$1000,MATCH(45,Consolidado!$AC$5:$AC$1000,0))&amp;"","")</f>
        <v/>
      </c>
      <c r="I58" s="27" t="str">
        <f aca="false">IFERROR(INDEX(Consolidado!$G$5:$G$1000,MATCH(45,Consolidado!$AC$5:$AC$1000,0))&amp;"","")</f>
        <v/>
      </c>
      <c r="J58" s="24" t="str">
        <f aca="false">IFERROR(INDEX(Consolidado!$H$5:$H$1000,MATCH(45,Consolidado!$AC$5:$AC$1000,0))&amp;"","")</f>
        <v/>
      </c>
    </row>
    <row r="59" customFormat="false" ht="15" hidden="false" customHeight="true" outlineLevel="0" collapsed="false">
      <c r="A59" s="24" t="str">
        <f aca="false">IF(B59="","",46)</f>
        <v/>
      </c>
      <c r="B59" s="24" t="str">
        <f aca="false">IFERROR(INDEX(Consolidado!$A$5:$A$1000,MATCH(46,Consolidado!$AC$5:$AC$1000,0)),"")</f>
        <v/>
      </c>
      <c r="C59" s="24" t="str">
        <f aca="false">IFERROR(INDEX(Consolidado!$C$5:$C$1000,MATCH(46,Consolidado!$AC$5:$AC$1000,0))&amp;"","")</f>
        <v/>
      </c>
      <c r="D59" s="25" t="str">
        <f aca="false">IFERROR(INDEX(Consolidado!$B$5:$B$1000,MATCH(46,Consolidado!$AC$5:$AC$1000,0)),"")</f>
        <v/>
      </c>
      <c r="E59" s="24" t="str">
        <f aca="false">IF(OR(D59="",D59=0),"",CHOOSE(MONTH(D59),"Ene","Feb","Mar","Abr","May","Jun","Jul","Ago","Sep","Oct","Nov","Dic"))</f>
        <v/>
      </c>
      <c r="F59" s="24" t="str">
        <f aca="false">IF(OR(D59="",D59=0),"",YEAR(D59))</f>
        <v/>
      </c>
      <c r="G59" s="24" t="str">
        <f aca="false">IF(B59="","",IF(B59=$C$3,"◄ SELECCIONADO",IF(OR(D59="",D59=0,$C$6="",$C$6=0),"Sin fecha",IF(AND(YEAR(D59)=YEAR($C$6),MONTH(D59)=MONTH($C$6)),"MISMO MES",ABS((YEAR(D59)-YEAR($C$6))*12+MONTH(D59)-MONTH($C$6))&amp;" meses "&amp;IF(D59&lt;$C$6,"antes","después")))))</f>
        <v/>
      </c>
      <c r="H59" s="26" t="str">
        <f aca="false">IFERROR(INDEX(Consolidado!$F$5:$F$1000,MATCH(46,Consolidado!$AC$5:$AC$1000,0))&amp;"","")</f>
        <v/>
      </c>
      <c r="I59" s="27" t="str">
        <f aca="false">IFERROR(INDEX(Consolidado!$G$5:$G$1000,MATCH(46,Consolidado!$AC$5:$AC$1000,0))&amp;"","")</f>
        <v/>
      </c>
      <c r="J59" s="24" t="str">
        <f aca="false">IFERROR(INDEX(Consolidado!$H$5:$H$1000,MATCH(46,Consolidado!$AC$5:$AC$1000,0))&amp;"","")</f>
        <v/>
      </c>
    </row>
    <row r="60" customFormat="false" ht="15" hidden="false" customHeight="true" outlineLevel="0" collapsed="false">
      <c r="A60" s="24" t="str">
        <f aca="false">IF(B60="","",47)</f>
        <v/>
      </c>
      <c r="B60" s="24" t="str">
        <f aca="false">IFERROR(INDEX(Consolidado!$A$5:$A$1000,MATCH(47,Consolidado!$AC$5:$AC$1000,0)),"")</f>
        <v/>
      </c>
      <c r="C60" s="24" t="str">
        <f aca="false">IFERROR(INDEX(Consolidado!$C$5:$C$1000,MATCH(47,Consolidado!$AC$5:$AC$1000,0))&amp;"","")</f>
        <v/>
      </c>
      <c r="D60" s="25" t="str">
        <f aca="false">IFERROR(INDEX(Consolidado!$B$5:$B$1000,MATCH(47,Consolidado!$AC$5:$AC$1000,0)),"")</f>
        <v/>
      </c>
      <c r="E60" s="24" t="str">
        <f aca="false">IF(OR(D60="",D60=0),"",CHOOSE(MONTH(D60),"Ene","Feb","Mar","Abr","May","Jun","Jul","Ago","Sep","Oct","Nov","Dic"))</f>
        <v/>
      </c>
      <c r="F60" s="24" t="str">
        <f aca="false">IF(OR(D60="",D60=0),"",YEAR(D60))</f>
        <v/>
      </c>
      <c r="G60" s="24" t="str">
        <f aca="false">IF(B60="","",IF(B60=$C$3,"◄ SELECCIONADO",IF(OR(D60="",D60=0,$C$6="",$C$6=0),"Sin fecha",IF(AND(YEAR(D60)=YEAR($C$6),MONTH(D60)=MONTH($C$6)),"MISMO MES",ABS((YEAR(D60)-YEAR($C$6))*12+MONTH(D60)-MONTH($C$6))&amp;" meses "&amp;IF(D60&lt;$C$6,"antes","después")))))</f>
        <v/>
      </c>
      <c r="H60" s="26" t="str">
        <f aca="false">IFERROR(INDEX(Consolidado!$F$5:$F$1000,MATCH(47,Consolidado!$AC$5:$AC$1000,0))&amp;"","")</f>
        <v/>
      </c>
      <c r="I60" s="27" t="str">
        <f aca="false">IFERROR(INDEX(Consolidado!$G$5:$G$1000,MATCH(47,Consolidado!$AC$5:$AC$1000,0))&amp;"","")</f>
        <v/>
      </c>
      <c r="J60" s="24" t="str">
        <f aca="false">IFERROR(INDEX(Consolidado!$H$5:$H$1000,MATCH(47,Consolidado!$AC$5:$AC$1000,0))&amp;"","")</f>
        <v/>
      </c>
    </row>
    <row r="61" customFormat="false" ht="15" hidden="false" customHeight="true" outlineLevel="0" collapsed="false">
      <c r="A61" s="24" t="str">
        <f aca="false">IF(B61="","",48)</f>
        <v/>
      </c>
      <c r="B61" s="24" t="str">
        <f aca="false">IFERROR(INDEX(Consolidado!$A$5:$A$1000,MATCH(48,Consolidado!$AC$5:$AC$1000,0)),"")</f>
        <v/>
      </c>
      <c r="C61" s="24" t="str">
        <f aca="false">IFERROR(INDEX(Consolidado!$C$5:$C$1000,MATCH(48,Consolidado!$AC$5:$AC$1000,0))&amp;"","")</f>
        <v/>
      </c>
      <c r="D61" s="25" t="str">
        <f aca="false">IFERROR(INDEX(Consolidado!$B$5:$B$1000,MATCH(48,Consolidado!$AC$5:$AC$1000,0)),"")</f>
        <v/>
      </c>
      <c r="E61" s="24" t="str">
        <f aca="false">IF(OR(D61="",D61=0),"",CHOOSE(MONTH(D61),"Ene","Feb","Mar","Abr","May","Jun","Jul","Ago","Sep","Oct","Nov","Dic"))</f>
        <v/>
      </c>
      <c r="F61" s="24" t="str">
        <f aca="false">IF(OR(D61="",D61=0),"",YEAR(D61))</f>
        <v/>
      </c>
      <c r="G61" s="24" t="str">
        <f aca="false">IF(B61="","",IF(B61=$C$3,"◄ SELECCIONADO",IF(OR(D61="",D61=0,$C$6="",$C$6=0),"Sin fecha",IF(AND(YEAR(D61)=YEAR($C$6),MONTH(D61)=MONTH($C$6)),"MISMO MES",ABS((YEAR(D61)-YEAR($C$6))*12+MONTH(D61)-MONTH($C$6))&amp;" meses "&amp;IF(D61&lt;$C$6,"antes","después")))))</f>
        <v/>
      </c>
      <c r="H61" s="26" t="str">
        <f aca="false">IFERROR(INDEX(Consolidado!$F$5:$F$1000,MATCH(48,Consolidado!$AC$5:$AC$1000,0))&amp;"","")</f>
        <v/>
      </c>
      <c r="I61" s="27" t="str">
        <f aca="false">IFERROR(INDEX(Consolidado!$G$5:$G$1000,MATCH(48,Consolidado!$AC$5:$AC$1000,0))&amp;"","")</f>
        <v/>
      </c>
      <c r="J61" s="24" t="str">
        <f aca="false">IFERROR(INDEX(Consolidado!$H$5:$H$1000,MATCH(48,Consolidado!$AC$5:$AC$1000,0))&amp;"","")</f>
        <v/>
      </c>
    </row>
    <row r="62" customFormat="false" ht="15" hidden="false" customHeight="true" outlineLevel="0" collapsed="false">
      <c r="A62" s="24" t="str">
        <f aca="false">IF(B62="","",49)</f>
        <v/>
      </c>
      <c r="B62" s="24" t="str">
        <f aca="false">IFERROR(INDEX(Consolidado!$A$5:$A$1000,MATCH(49,Consolidado!$AC$5:$AC$1000,0)),"")</f>
        <v/>
      </c>
      <c r="C62" s="24" t="str">
        <f aca="false">IFERROR(INDEX(Consolidado!$C$5:$C$1000,MATCH(49,Consolidado!$AC$5:$AC$1000,0))&amp;"","")</f>
        <v/>
      </c>
      <c r="D62" s="25" t="str">
        <f aca="false">IFERROR(INDEX(Consolidado!$B$5:$B$1000,MATCH(49,Consolidado!$AC$5:$AC$1000,0)),"")</f>
        <v/>
      </c>
      <c r="E62" s="24" t="str">
        <f aca="false">IF(OR(D62="",D62=0),"",CHOOSE(MONTH(D62),"Ene","Feb","Mar","Abr","May","Jun","Jul","Ago","Sep","Oct","Nov","Dic"))</f>
        <v/>
      </c>
      <c r="F62" s="24" t="str">
        <f aca="false">IF(OR(D62="",D62=0),"",YEAR(D62))</f>
        <v/>
      </c>
      <c r="G62" s="24" t="str">
        <f aca="false">IF(B62="","",IF(B62=$C$3,"◄ SELECCIONADO",IF(OR(D62="",D62=0,$C$6="",$C$6=0),"Sin fecha",IF(AND(YEAR(D62)=YEAR($C$6),MONTH(D62)=MONTH($C$6)),"MISMO MES",ABS((YEAR(D62)-YEAR($C$6))*12+MONTH(D62)-MONTH($C$6))&amp;" meses "&amp;IF(D62&lt;$C$6,"antes","después")))))</f>
        <v/>
      </c>
      <c r="H62" s="26" t="str">
        <f aca="false">IFERROR(INDEX(Consolidado!$F$5:$F$1000,MATCH(49,Consolidado!$AC$5:$AC$1000,0))&amp;"","")</f>
        <v/>
      </c>
      <c r="I62" s="27" t="str">
        <f aca="false">IFERROR(INDEX(Consolidado!$G$5:$G$1000,MATCH(49,Consolidado!$AC$5:$AC$1000,0))&amp;"","")</f>
        <v/>
      </c>
      <c r="J62" s="24" t="str">
        <f aca="false">IFERROR(INDEX(Consolidado!$H$5:$H$1000,MATCH(49,Consolidado!$AC$5:$AC$1000,0))&amp;"","")</f>
        <v/>
      </c>
    </row>
    <row r="63" customFormat="false" ht="15" hidden="false" customHeight="true" outlineLevel="0" collapsed="false">
      <c r="A63" s="24" t="str">
        <f aca="false">IF(B63="","",50)</f>
        <v/>
      </c>
      <c r="B63" s="24" t="str">
        <f aca="false">IFERROR(INDEX(Consolidado!$A$5:$A$1000,MATCH(50,Consolidado!$AC$5:$AC$1000,0)),"")</f>
        <v/>
      </c>
      <c r="C63" s="24" t="str">
        <f aca="false">IFERROR(INDEX(Consolidado!$C$5:$C$1000,MATCH(50,Consolidado!$AC$5:$AC$1000,0))&amp;"","")</f>
        <v/>
      </c>
      <c r="D63" s="25" t="str">
        <f aca="false">IFERROR(INDEX(Consolidado!$B$5:$B$1000,MATCH(50,Consolidado!$AC$5:$AC$1000,0)),"")</f>
        <v/>
      </c>
      <c r="E63" s="24" t="str">
        <f aca="false">IF(OR(D63="",D63=0),"",CHOOSE(MONTH(D63),"Ene","Feb","Mar","Abr","May","Jun","Jul","Ago","Sep","Oct","Nov","Dic"))</f>
        <v/>
      </c>
      <c r="F63" s="24" t="str">
        <f aca="false">IF(OR(D63="",D63=0),"",YEAR(D63))</f>
        <v/>
      </c>
      <c r="G63" s="24" t="str">
        <f aca="false">IF(B63="","",IF(B63=$C$3,"◄ SELECCIONADO",IF(OR(D63="",D63=0,$C$6="",$C$6=0),"Sin fecha",IF(AND(YEAR(D63)=YEAR($C$6),MONTH(D63)=MONTH($C$6)),"MISMO MES",ABS((YEAR(D63)-YEAR($C$6))*12+MONTH(D63)-MONTH($C$6))&amp;" meses "&amp;IF(D63&lt;$C$6,"antes","después")))))</f>
        <v/>
      </c>
      <c r="H63" s="26" t="str">
        <f aca="false">IFERROR(INDEX(Consolidado!$F$5:$F$1000,MATCH(50,Consolidado!$AC$5:$AC$1000,0))&amp;"","")</f>
        <v/>
      </c>
      <c r="I63" s="27" t="str">
        <f aca="false">IFERROR(INDEX(Consolidado!$G$5:$G$1000,MATCH(50,Consolidado!$AC$5:$AC$1000,0))&amp;"","")</f>
        <v/>
      </c>
      <c r="J63" s="24" t="str">
        <f aca="false">IFERROR(INDEX(Consolidado!$H$5:$H$1000,MATCH(50,Consolidado!$AC$5:$AC$1000,0))&amp;"","")</f>
        <v/>
      </c>
    </row>
    <row r="64" customFormat="false" ht="15" hidden="false" customHeight="true" outlineLevel="0" collapsed="false">
      <c r="A64" s="24" t="str">
        <f aca="false">IF(B64="","",51)</f>
        <v/>
      </c>
      <c r="B64" s="24" t="str">
        <f aca="false">IFERROR(INDEX(Consolidado!$A$5:$A$1000,MATCH(51,Consolidado!$AC$5:$AC$1000,0)),"")</f>
        <v/>
      </c>
      <c r="C64" s="24" t="str">
        <f aca="false">IFERROR(INDEX(Consolidado!$C$5:$C$1000,MATCH(51,Consolidado!$AC$5:$AC$1000,0))&amp;"","")</f>
        <v/>
      </c>
      <c r="D64" s="25" t="str">
        <f aca="false">IFERROR(INDEX(Consolidado!$B$5:$B$1000,MATCH(51,Consolidado!$AC$5:$AC$1000,0)),"")</f>
        <v/>
      </c>
      <c r="E64" s="24" t="str">
        <f aca="false">IF(OR(D64="",D64=0),"",CHOOSE(MONTH(D64),"Ene","Feb","Mar","Abr","May","Jun","Jul","Ago","Sep","Oct","Nov","Dic"))</f>
        <v/>
      </c>
      <c r="F64" s="24" t="str">
        <f aca="false">IF(OR(D64="",D64=0),"",YEAR(D64))</f>
        <v/>
      </c>
      <c r="G64" s="24" t="str">
        <f aca="false">IF(B64="","",IF(B64=$C$3,"◄ SELECCIONADO",IF(OR(D64="",D64=0,$C$6="",$C$6=0),"Sin fecha",IF(AND(YEAR(D64)=YEAR($C$6),MONTH(D64)=MONTH($C$6)),"MISMO MES",ABS((YEAR(D64)-YEAR($C$6))*12+MONTH(D64)-MONTH($C$6))&amp;" meses "&amp;IF(D64&lt;$C$6,"antes","después")))))</f>
        <v/>
      </c>
      <c r="H64" s="26" t="str">
        <f aca="false">IFERROR(INDEX(Consolidado!$F$5:$F$1000,MATCH(51,Consolidado!$AC$5:$AC$1000,0))&amp;"","")</f>
        <v/>
      </c>
      <c r="I64" s="27" t="str">
        <f aca="false">IFERROR(INDEX(Consolidado!$G$5:$G$1000,MATCH(51,Consolidado!$AC$5:$AC$1000,0))&amp;"","")</f>
        <v/>
      </c>
      <c r="J64" s="24" t="str">
        <f aca="false">IFERROR(INDEX(Consolidado!$H$5:$H$1000,MATCH(51,Consolidado!$AC$5:$AC$1000,0))&amp;"","")</f>
        <v/>
      </c>
    </row>
    <row r="65" customFormat="false" ht="15" hidden="false" customHeight="true" outlineLevel="0" collapsed="false">
      <c r="A65" s="24" t="str">
        <f aca="false">IF(B65="","",52)</f>
        <v/>
      </c>
      <c r="B65" s="24" t="str">
        <f aca="false">IFERROR(INDEX(Consolidado!$A$5:$A$1000,MATCH(52,Consolidado!$AC$5:$AC$1000,0)),"")</f>
        <v/>
      </c>
      <c r="C65" s="24" t="str">
        <f aca="false">IFERROR(INDEX(Consolidado!$C$5:$C$1000,MATCH(52,Consolidado!$AC$5:$AC$1000,0))&amp;"","")</f>
        <v/>
      </c>
      <c r="D65" s="25" t="str">
        <f aca="false">IFERROR(INDEX(Consolidado!$B$5:$B$1000,MATCH(52,Consolidado!$AC$5:$AC$1000,0)),"")</f>
        <v/>
      </c>
      <c r="E65" s="24" t="str">
        <f aca="false">IF(OR(D65="",D65=0),"",CHOOSE(MONTH(D65),"Ene","Feb","Mar","Abr","May","Jun","Jul","Ago","Sep","Oct","Nov","Dic"))</f>
        <v/>
      </c>
      <c r="F65" s="24" t="str">
        <f aca="false">IF(OR(D65="",D65=0),"",YEAR(D65))</f>
        <v/>
      </c>
      <c r="G65" s="24" t="str">
        <f aca="false">IF(B65="","",IF(B65=$C$3,"◄ SELECCIONADO",IF(OR(D65="",D65=0,$C$6="",$C$6=0),"Sin fecha",IF(AND(YEAR(D65)=YEAR($C$6),MONTH(D65)=MONTH($C$6)),"MISMO MES",ABS((YEAR(D65)-YEAR($C$6))*12+MONTH(D65)-MONTH($C$6))&amp;" meses "&amp;IF(D65&lt;$C$6,"antes","después")))))</f>
        <v/>
      </c>
      <c r="H65" s="26" t="str">
        <f aca="false">IFERROR(INDEX(Consolidado!$F$5:$F$1000,MATCH(52,Consolidado!$AC$5:$AC$1000,0))&amp;"","")</f>
        <v/>
      </c>
      <c r="I65" s="27" t="str">
        <f aca="false">IFERROR(INDEX(Consolidado!$G$5:$G$1000,MATCH(52,Consolidado!$AC$5:$AC$1000,0))&amp;"","")</f>
        <v/>
      </c>
      <c r="J65" s="24" t="str">
        <f aca="false">IFERROR(INDEX(Consolidado!$H$5:$H$1000,MATCH(52,Consolidado!$AC$5:$AC$1000,0))&amp;"","")</f>
        <v/>
      </c>
    </row>
    <row r="66" customFormat="false" ht="15" hidden="false" customHeight="true" outlineLevel="0" collapsed="false">
      <c r="A66" s="24" t="str">
        <f aca="false">IF(B66="","",53)</f>
        <v/>
      </c>
      <c r="B66" s="24" t="str">
        <f aca="false">IFERROR(INDEX(Consolidado!$A$5:$A$1000,MATCH(53,Consolidado!$AC$5:$AC$1000,0)),"")</f>
        <v/>
      </c>
      <c r="C66" s="24" t="str">
        <f aca="false">IFERROR(INDEX(Consolidado!$C$5:$C$1000,MATCH(53,Consolidado!$AC$5:$AC$1000,0))&amp;"","")</f>
        <v/>
      </c>
      <c r="D66" s="25" t="str">
        <f aca="false">IFERROR(INDEX(Consolidado!$B$5:$B$1000,MATCH(53,Consolidado!$AC$5:$AC$1000,0)),"")</f>
        <v/>
      </c>
      <c r="E66" s="24" t="str">
        <f aca="false">IF(OR(D66="",D66=0),"",CHOOSE(MONTH(D66),"Ene","Feb","Mar","Abr","May","Jun","Jul","Ago","Sep","Oct","Nov","Dic"))</f>
        <v/>
      </c>
      <c r="F66" s="24" t="str">
        <f aca="false">IF(OR(D66="",D66=0),"",YEAR(D66))</f>
        <v/>
      </c>
      <c r="G66" s="24" t="str">
        <f aca="false">IF(B66="","",IF(B66=$C$3,"◄ SELECCIONADO",IF(OR(D66="",D66=0,$C$6="",$C$6=0),"Sin fecha",IF(AND(YEAR(D66)=YEAR($C$6),MONTH(D66)=MONTH($C$6)),"MISMO MES",ABS((YEAR(D66)-YEAR($C$6))*12+MONTH(D66)-MONTH($C$6))&amp;" meses "&amp;IF(D66&lt;$C$6,"antes","después")))))</f>
        <v/>
      </c>
      <c r="H66" s="26" t="str">
        <f aca="false">IFERROR(INDEX(Consolidado!$F$5:$F$1000,MATCH(53,Consolidado!$AC$5:$AC$1000,0))&amp;"","")</f>
        <v/>
      </c>
      <c r="I66" s="27" t="str">
        <f aca="false">IFERROR(INDEX(Consolidado!$G$5:$G$1000,MATCH(53,Consolidado!$AC$5:$AC$1000,0))&amp;"","")</f>
        <v/>
      </c>
      <c r="J66" s="24" t="str">
        <f aca="false">IFERROR(INDEX(Consolidado!$H$5:$H$1000,MATCH(53,Consolidado!$AC$5:$AC$1000,0))&amp;"","")</f>
        <v/>
      </c>
    </row>
    <row r="67" customFormat="false" ht="15" hidden="false" customHeight="true" outlineLevel="0" collapsed="false">
      <c r="A67" s="24" t="str">
        <f aca="false">IF(B67="","",54)</f>
        <v/>
      </c>
      <c r="B67" s="24" t="str">
        <f aca="false">IFERROR(INDEX(Consolidado!$A$5:$A$1000,MATCH(54,Consolidado!$AC$5:$AC$1000,0)),"")</f>
        <v/>
      </c>
      <c r="C67" s="24" t="str">
        <f aca="false">IFERROR(INDEX(Consolidado!$C$5:$C$1000,MATCH(54,Consolidado!$AC$5:$AC$1000,0))&amp;"","")</f>
        <v/>
      </c>
      <c r="D67" s="25" t="str">
        <f aca="false">IFERROR(INDEX(Consolidado!$B$5:$B$1000,MATCH(54,Consolidado!$AC$5:$AC$1000,0)),"")</f>
        <v/>
      </c>
      <c r="E67" s="24" t="str">
        <f aca="false">IF(OR(D67="",D67=0),"",CHOOSE(MONTH(D67),"Ene","Feb","Mar","Abr","May","Jun","Jul","Ago","Sep","Oct","Nov","Dic"))</f>
        <v/>
      </c>
      <c r="F67" s="24" t="str">
        <f aca="false">IF(OR(D67="",D67=0),"",YEAR(D67))</f>
        <v/>
      </c>
      <c r="G67" s="24" t="str">
        <f aca="false">IF(B67="","",IF(B67=$C$3,"◄ SELECCIONADO",IF(OR(D67="",D67=0,$C$6="",$C$6=0),"Sin fecha",IF(AND(YEAR(D67)=YEAR($C$6),MONTH(D67)=MONTH($C$6)),"MISMO MES",ABS((YEAR(D67)-YEAR($C$6))*12+MONTH(D67)-MONTH($C$6))&amp;" meses "&amp;IF(D67&lt;$C$6,"antes","después")))))</f>
        <v/>
      </c>
      <c r="H67" s="26" t="str">
        <f aca="false">IFERROR(INDEX(Consolidado!$F$5:$F$1000,MATCH(54,Consolidado!$AC$5:$AC$1000,0))&amp;"","")</f>
        <v/>
      </c>
      <c r="I67" s="27" t="str">
        <f aca="false">IFERROR(INDEX(Consolidado!$G$5:$G$1000,MATCH(54,Consolidado!$AC$5:$AC$1000,0))&amp;"","")</f>
        <v/>
      </c>
      <c r="J67" s="24" t="str">
        <f aca="false">IFERROR(INDEX(Consolidado!$H$5:$H$1000,MATCH(54,Consolidado!$AC$5:$AC$1000,0))&amp;"","")</f>
        <v/>
      </c>
    </row>
    <row r="68" customFormat="false" ht="15" hidden="false" customHeight="true" outlineLevel="0" collapsed="false">
      <c r="A68" s="24" t="str">
        <f aca="false">IF(B68="","",55)</f>
        <v/>
      </c>
      <c r="B68" s="24" t="str">
        <f aca="false">IFERROR(INDEX(Consolidado!$A$5:$A$1000,MATCH(55,Consolidado!$AC$5:$AC$1000,0)),"")</f>
        <v/>
      </c>
      <c r="C68" s="24" t="str">
        <f aca="false">IFERROR(INDEX(Consolidado!$C$5:$C$1000,MATCH(55,Consolidado!$AC$5:$AC$1000,0))&amp;"","")</f>
        <v/>
      </c>
      <c r="D68" s="25" t="str">
        <f aca="false">IFERROR(INDEX(Consolidado!$B$5:$B$1000,MATCH(55,Consolidado!$AC$5:$AC$1000,0)),"")</f>
        <v/>
      </c>
      <c r="E68" s="24" t="str">
        <f aca="false">IF(OR(D68="",D68=0),"",CHOOSE(MONTH(D68),"Ene","Feb","Mar","Abr","May","Jun","Jul","Ago","Sep","Oct","Nov","Dic"))</f>
        <v/>
      </c>
      <c r="F68" s="24" t="str">
        <f aca="false">IF(OR(D68="",D68=0),"",YEAR(D68))</f>
        <v/>
      </c>
      <c r="G68" s="24" t="str">
        <f aca="false">IF(B68="","",IF(B68=$C$3,"◄ SELECCIONADO",IF(OR(D68="",D68=0,$C$6="",$C$6=0),"Sin fecha",IF(AND(YEAR(D68)=YEAR($C$6),MONTH(D68)=MONTH($C$6)),"MISMO MES",ABS((YEAR(D68)-YEAR($C$6))*12+MONTH(D68)-MONTH($C$6))&amp;" meses "&amp;IF(D68&lt;$C$6,"antes","después")))))</f>
        <v/>
      </c>
      <c r="H68" s="26" t="str">
        <f aca="false">IFERROR(INDEX(Consolidado!$F$5:$F$1000,MATCH(55,Consolidado!$AC$5:$AC$1000,0))&amp;"","")</f>
        <v/>
      </c>
      <c r="I68" s="27" t="str">
        <f aca="false">IFERROR(INDEX(Consolidado!$G$5:$G$1000,MATCH(55,Consolidado!$AC$5:$AC$1000,0))&amp;"","")</f>
        <v/>
      </c>
      <c r="J68" s="24" t="str">
        <f aca="false">IFERROR(INDEX(Consolidado!$H$5:$H$1000,MATCH(55,Consolidado!$AC$5:$AC$1000,0))&amp;"","")</f>
        <v/>
      </c>
    </row>
    <row r="69" customFormat="false" ht="15" hidden="false" customHeight="true" outlineLevel="0" collapsed="false">
      <c r="A69" s="24" t="str">
        <f aca="false">IF(B69="","",56)</f>
        <v/>
      </c>
      <c r="B69" s="24" t="str">
        <f aca="false">IFERROR(INDEX(Consolidado!$A$5:$A$1000,MATCH(56,Consolidado!$AC$5:$AC$1000,0)),"")</f>
        <v/>
      </c>
      <c r="C69" s="24" t="str">
        <f aca="false">IFERROR(INDEX(Consolidado!$C$5:$C$1000,MATCH(56,Consolidado!$AC$5:$AC$1000,0))&amp;"","")</f>
        <v/>
      </c>
      <c r="D69" s="25" t="str">
        <f aca="false">IFERROR(INDEX(Consolidado!$B$5:$B$1000,MATCH(56,Consolidado!$AC$5:$AC$1000,0)),"")</f>
        <v/>
      </c>
      <c r="E69" s="24" t="str">
        <f aca="false">IF(OR(D69="",D69=0),"",CHOOSE(MONTH(D69),"Ene","Feb","Mar","Abr","May","Jun","Jul","Ago","Sep","Oct","Nov","Dic"))</f>
        <v/>
      </c>
      <c r="F69" s="24" t="str">
        <f aca="false">IF(OR(D69="",D69=0),"",YEAR(D69))</f>
        <v/>
      </c>
      <c r="G69" s="24" t="str">
        <f aca="false">IF(B69="","",IF(B69=$C$3,"◄ SELECCIONADO",IF(OR(D69="",D69=0,$C$6="",$C$6=0),"Sin fecha",IF(AND(YEAR(D69)=YEAR($C$6),MONTH(D69)=MONTH($C$6)),"MISMO MES",ABS((YEAR(D69)-YEAR($C$6))*12+MONTH(D69)-MONTH($C$6))&amp;" meses "&amp;IF(D69&lt;$C$6,"antes","después")))))</f>
        <v/>
      </c>
      <c r="H69" s="26" t="str">
        <f aca="false">IFERROR(INDEX(Consolidado!$F$5:$F$1000,MATCH(56,Consolidado!$AC$5:$AC$1000,0))&amp;"","")</f>
        <v/>
      </c>
      <c r="I69" s="27" t="str">
        <f aca="false">IFERROR(INDEX(Consolidado!$G$5:$G$1000,MATCH(56,Consolidado!$AC$5:$AC$1000,0))&amp;"","")</f>
        <v/>
      </c>
      <c r="J69" s="24" t="str">
        <f aca="false">IFERROR(INDEX(Consolidado!$H$5:$H$1000,MATCH(56,Consolidado!$AC$5:$AC$1000,0))&amp;"","")</f>
        <v/>
      </c>
    </row>
    <row r="70" customFormat="false" ht="15" hidden="false" customHeight="true" outlineLevel="0" collapsed="false">
      <c r="A70" s="24" t="str">
        <f aca="false">IF(B70="","",57)</f>
        <v/>
      </c>
      <c r="B70" s="24" t="str">
        <f aca="false">IFERROR(INDEX(Consolidado!$A$5:$A$1000,MATCH(57,Consolidado!$AC$5:$AC$1000,0)),"")</f>
        <v/>
      </c>
      <c r="C70" s="24" t="str">
        <f aca="false">IFERROR(INDEX(Consolidado!$C$5:$C$1000,MATCH(57,Consolidado!$AC$5:$AC$1000,0))&amp;"","")</f>
        <v/>
      </c>
      <c r="D70" s="25" t="str">
        <f aca="false">IFERROR(INDEX(Consolidado!$B$5:$B$1000,MATCH(57,Consolidado!$AC$5:$AC$1000,0)),"")</f>
        <v/>
      </c>
      <c r="E70" s="24" t="str">
        <f aca="false">IF(OR(D70="",D70=0),"",CHOOSE(MONTH(D70),"Ene","Feb","Mar","Abr","May","Jun","Jul","Ago","Sep","Oct","Nov","Dic"))</f>
        <v/>
      </c>
      <c r="F70" s="24" t="str">
        <f aca="false">IF(OR(D70="",D70=0),"",YEAR(D70))</f>
        <v/>
      </c>
      <c r="G70" s="24" t="str">
        <f aca="false">IF(B70="","",IF(B70=$C$3,"◄ SELECCIONADO",IF(OR(D70="",D70=0,$C$6="",$C$6=0),"Sin fecha",IF(AND(YEAR(D70)=YEAR($C$6),MONTH(D70)=MONTH($C$6)),"MISMO MES",ABS((YEAR(D70)-YEAR($C$6))*12+MONTH(D70)-MONTH($C$6))&amp;" meses "&amp;IF(D70&lt;$C$6,"antes","después")))))</f>
        <v/>
      </c>
      <c r="H70" s="26" t="str">
        <f aca="false">IFERROR(INDEX(Consolidado!$F$5:$F$1000,MATCH(57,Consolidado!$AC$5:$AC$1000,0))&amp;"","")</f>
        <v/>
      </c>
      <c r="I70" s="27" t="str">
        <f aca="false">IFERROR(INDEX(Consolidado!$G$5:$G$1000,MATCH(57,Consolidado!$AC$5:$AC$1000,0))&amp;"","")</f>
        <v/>
      </c>
      <c r="J70" s="24" t="str">
        <f aca="false">IFERROR(INDEX(Consolidado!$H$5:$H$1000,MATCH(57,Consolidado!$AC$5:$AC$1000,0))&amp;"","")</f>
        <v/>
      </c>
    </row>
    <row r="71" customFormat="false" ht="15" hidden="false" customHeight="true" outlineLevel="0" collapsed="false">
      <c r="A71" s="24" t="str">
        <f aca="false">IF(B71="","",58)</f>
        <v/>
      </c>
      <c r="B71" s="24" t="str">
        <f aca="false">IFERROR(INDEX(Consolidado!$A$5:$A$1000,MATCH(58,Consolidado!$AC$5:$AC$1000,0)),"")</f>
        <v/>
      </c>
      <c r="C71" s="24" t="str">
        <f aca="false">IFERROR(INDEX(Consolidado!$C$5:$C$1000,MATCH(58,Consolidado!$AC$5:$AC$1000,0))&amp;"","")</f>
        <v/>
      </c>
      <c r="D71" s="25" t="str">
        <f aca="false">IFERROR(INDEX(Consolidado!$B$5:$B$1000,MATCH(58,Consolidado!$AC$5:$AC$1000,0)),"")</f>
        <v/>
      </c>
      <c r="E71" s="24" t="str">
        <f aca="false">IF(OR(D71="",D71=0),"",CHOOSE(MONTH(D71),"Ene","Feb","Mar","Abr","May","Jun","Jul","Ago","Sep","Oct","Nov","Dic"))</f>
        <v/>
      </c>
      <c r="F71" s="24" t="str">
        <f aca="false">IF(OR(D71="",D71=0),"",YEAR(D71))</f>
        <v/>
      </c>
      <c r="G71" s="24" t="str">
        <f aca="false">IF(B71="","",IF(B71=$C$3,"◄ SELECCIONADO",IF(OR(D71="",D71=0,$C$6="",$C$6=0),"Sin fecha",IF(AND(YEAR(D71)=YEAR($C$6),MONTH(D71)=MONTH($C$6)),"MISMO MES",ABS((YEAR(D71)-YEAR($C$6))*12+MONTH(D71)-MONTH($C$6))&amp;" meses "&amp;IF(D71&lt;$C$6,"antes","después")))))</f>
        <v/>
      </c>
      <c r="H71" s="26" t="str">
        <f aca="false">IFERROR(INDEX(Consolidado!$F$5:$F$1000,MATCH(58,Consolidado!$AC$5:$AC$1000,0))&amp;"","")</f>
        <v/>
      </c>
      <c r="I71" s="27" t="str">
        <f aca="false">IFERROR(INDEX(Consolidado!$G$5:$G$1000,MATCH(58,Consolidado!$AC$5:$AC$1000,0))&amp;"","")</f>
        <v/>
      </c>
      <c r="J71" s="24" t="str">
        <f aca="false">IFERROR(INDEX(Consolidado!$H$5:$H$1000,MATCH(58,Consolidado!$AC$5:$AC$1000,0))&amp;"","")</f>
        <v/>
      </c>
    </row>
    <row r="72" customFormat="false" ht="15" hidden="false" customHeight="true" outlineLevel="0" collapsed="false">
      <c r="A72" s="24" t="str">
        <f aca="false">IF(B72="","",59)</f>
        <v/>
      </c>
      <c r="B72" s="24" t="str">
        <f aca="false">IFERROR(INDEX(Consolidado!$A$5:$A$1000,MATCH(59,Consolidado!$AC$5:$AC$1000,0)),"")</f>
        <v/>
      </c>
      <c r="C72" s="24" t="str">
        <f aca="false">IFERROR(INDEX(Consolidado!$C$5:$C$1000,MATCH(59,Consolidado!$AC$5:$AC$1000,0))&amp;"","")</f>
        <v/>
      </c>
      <c r="D72" s="25" t="str">
        <f aca="false">IFERROR(INDEX(Consolidado!$B$5:$B$1000,MATCH(59,Consolidado!$AC$5:$AC$1000,0)),"")</f>
        <v/>
      </c>
      <c r="E72" s="24" t="str">
        <f aca="false">IF(OR(D72="",D72=0),"",CHOOSE(MONTH(D72),"Ene","Feb","Mar","Abr","May","Jun","Jul","Ago","Sep","Oct","Nov","Dic"))</f>
        <v/>
      </c>
      <c r="F72" s="24" t="str">
        <f aca="false">IF(OR(D72="",D72=0),"",YEAR(D72))</f>
        <v/>
      </c>
      <c r="G72" s="24" t="str">
        <f aca="false">IF(B72="","",IF(B72=$C$3,"◄ SELECCIONADO",IF(OR(D72="",D72=0,$C$6="",$C$6=0),"Sin fecha",IF(AND(YEAR(D72)=YEAR($C$6),MONTH(D72)=MONTH($C$6)),"MISMO MES",ABS((YEAR(D72)-YEAR($C$6))*12+MONTH(D72)-MONTH($C$6))&amp;" meses "&amp;IF(D72&lt;$C$6,"antes","después")))))</f>
        <v/>
      </c>
      <c r="H72" s="26" t="str">
        <f aca="false">IFERROR(INDEX(Consolidado!$F$5:$F$1000,MATCH(59,Consolidado!$AC$5:$AC$1000,0))&amp;"","")</f>
        <v/>
      </c>
      <c r="I72" s="27" t="str">
        <f aca="false">IFERROR(INDEX(Consolidado!$G$5:$G$1000,MATCH(59,Consolidado!$AC$5:$AC$1000,0))&amp;"","")</f>
        <v/>
      </c>
      <c r="J72" s="24" t="str">
        <f aca="false">IFERROR(INDEX(Consolidado!$H$5:$H$1000,MATCH(59,Consolidado!$AC$5:$AC$1000,0))&amp;"","")</f>
        <v/>
      </c>
    </row>
    <row r="73" customFormat="false" ht="15" hidden="false" customHeight="true" outlineLevel="0" collapsed="false">
      <c r="A73" s="24" t="str">
        <f aca="false">IF(B73="","",60)</f>
        <v/>
      </c>
      <c r="B73" s="24" t="str">
        <f aca="false">IFERROR(INDEX(Consolidado!$A$5:$A$1000,MATCH(60,Consolidado!$AC$5:$AC$1000,0)),"")</f>
        <v/>
      </c>
      <c r="C73" s="24" t="str">
        <f aca="false">IFERROR(INDEX(Consolidado!$C$5:$C$1000,MATCH(60,Consolidado!$AC$5:$AC$1000,0))&amp;"","")</f>
        <v/>
      </c>
      <c r="D73" s="25" t="str">
        <f aca="false">IFERROR(INDEX(Consolidado!$B$5:$B$1000,MATCH(60,Consolidado!$AC$5:$AC$1000,0)),"")</f>
        <v/>
      </c>
      <c r="E73" s="24" t="str">
        <f aca="false">IF(OR(D73="",D73=0),"",CHOOSE(MONTH(D73),"Ene","Feb","Mar","Abr","May","Jun","Jul","Ago","Sep","Oct","Nov","Dic"))</f>
        <v/>
      </c>
      <c r="F73" s="24" t="str">
        <f aca="false">IF(OR(D73="",D73=0),"",YEAR(D73))</f>
        <v/>
      </c>
      <c r="G73" s="24" t="str">
        <f aca="false">IF(B73="","",IF(B73=$C$3,"◄ SELECCIONADO",IF(OR(D73="",D73=0,$C$6="",$C$6=0),"Sin fecha",IF(AND(YEAR(D73)=YEAR($C$6),MONTH(D73)=MONTH($C$6)),"MISMO MES",ABS((YEAR(D73)-YEAR($C$6))*12+MONTH(D73)-MONTH($C$6))&amp;" meses "&amp;IF(D73&lt;$C$6,"antes","después")))))</f>
        <v/>
      </c>
      <c r="H73" s="26" t="str">
        <f aca="false">IFERROR(INDEX(Consolidado!$F$5:$F$1000,MATCH(60,Consolidado!$AC$5:$AC$1000,0))&amp;"","")</f>
        <v/>
      </c>
      <c r="I73" s="27" t="str">
        <f aca="false">IFERROR(INDEX(Consolidado!$G$5:$G$1000,MATCH(60,Consolidado!$AC$5:$AC$1000,0))&amp;"","")</f>
        <v/>
      </c>
      <c r="J73" s="24" t="str">
        <f aca="false">IFERROR(INDEX(Consolidado!$H$5:$H$1000,MATCH(60,Consolidado!$AC$5:$AC$1000,0))&amp;"","")</f>
        <v/>
      </c>
    </row>
    <row r="74" customFormat="false" ht="15" hidden="false" customHeight="true" outlineLevel="0" collapsed="false">
      <c r="A74" s="24" t="str">
        <f aca="false">IF(B74="","",61)</f>
        <v/>
      </c>
      <c r="B74" s="24" t="str">
        <f aca="false">IFERROR(INDEX(Consolidado!$A$5:$A$1000,MATCH(61,Consolidado!$AC$5:$AC$1000,0)),"")</f>
        <v/>
      </c>
      <c r="C74" s="24" t="str">
        <f aca="false">IFERROR(INDEX(Consolidado!$C$5:$C$1000,MATCH(61,Consolidado!$AC$5:$AC$1000,0))&amp;"","")</f>
        <v/>
      </c>
      <c r="D74" s="25" t="str">
        <f aca="false">IFERROR(INDEX(Consolidado!$B$5:$B$1000,MATCH(61,Consolidado!$AC$5:$AC$1000,0)),"")</f>
        <v/>
      </c>
      <c r="E74" s="24" t="str">
        <f aca="false">IF(OR(D74="",D74=0),"",CHOOSE(MONTH(D74),"Ene","Feb","Mar","Abr","May","Jun","Jul","Ago","Sep","Oct","Nov","Dic"))</f>
        <v/>
      </c>
      <c r="F74" s="24" t="str">
        <f aca="false">IF(OR(D74="",D74=0),"",YEAR(D74))</f>
        <v/>
      </c>
      <c r="G74" s="24" t="str">
        <f aca="false">IF(B74="","",IF(B74=$C$3,"◄ SELECCIONADO",IF(OR(D74="",D74=0,$C$6="",$C$6=0),"Sin fecha",IF(AND(YEAR(D74)=YEAR($C$6),MONTH(D74)=MONTH($C$6)),"MISMO MES",ABS((YEAR(D74)-YEAR($C$6))*12+MONTH(D74)-MONTH($C$6))&amp;" meses "&amp;IF(D74&lt;$C$6,"antes","después")))))</f>
        <v/>
      </c>
      <c r="H74" s="26" t="str">
        <f aca="false">IFERROR(INDEX(Consolidado!$F$5:$F$1000,MATCH(61,Consolidado!$AC$5:$AC$1000,0))&amp;"","")</f>
        <v/>
      </c>
      <c r="I74" s="27" t="str">
        <f aca="false">IFERROR(INDEX(Consolidado!$G$5:$G$1000,MATCH(61,Consolidado!$AC$5:$AC$1000,0))&amp;"","")</f>
        <v/>
      </c>
      <c r="J74" s="24" t="str">
        <f aca="false">IFERROR(INDEX(Consolidado!$H$5:$H$1000,MATCH(61,Consolidado!$AC$5:$AC$1000,0))&amp;"","")</f>
        <v/>
      </c>
    </row>
    <row r="75" customFormat="false" ht="15" hidden="false" customHeight="true" outlineLevel="0" collapsed="false">
      <c r="A75" s="24" t="str">
        <f aca="false">IF(B75="","",62)</f>
        <v/>
      </c>
      <c r="B75" s="24" t="str">
        <f aca="false">IFERROR(INDEX(Consolidado!$A$5:$A$1000,MATCH(62,Consolidado!$AC$5:$AC$1000,0)),"")</f>
        <v/>
      </c>
      <c r="C75" s="24" t="str">
        <f aca="false">IFERROR(INDEX(Consolidado!$C$5:$C$1000,MATCH(62,Consolidado!$AC$5:$AC$1000,0))&amp;"","")</f>
        <v/>
      </c>
      <c r="D75" s="25" t="str">
        <f aca="false">IFERROR(INDEX(Consolidado!$B$5:$B$1000,MATCH(62,Consolidado!$AC$5:$AC$1000,0)),"")</f>
        <v/>
      </c>
      <c r="E75" s="24" t="str">
        <f aca="false">IF(OR(D75="",D75=0),"",CHOOSE(MONTH(D75),"Ene","Feb","Mar","Abr","May","Jun","Jul","Ago","Sep","Oct","Nov","Dic"))</f>
        <v/>
      </c>
      <c r="F75" s="24" t="str">
        <f aca="false">IF(OR(D75="",D75=0),"",YEAR(D75))</f>
        <v/>
      </c>
      <c r="G75" s="24" t="str">
        <f aca="false">IF(B75="","",IF(B75=$C$3,"◄ SELECCIONADO",IF(OR(D75="",D75=0,$C$6="",$C$6=0),"Sin fecha",IF(AND(YEAR(D75)=YEAR($C$6),MONTH(D75)=MONTH($C$6)),"MISMO MES",ABS((YEAR(D75)-YEAR($C$6))*12+MONTH(D75)-MONTH($C$6))&amp;" meses "&amp;IF(D75&lt;$C$6,"antes","después")))))</f>
        <v/>
      </c>
      <c r="H75" s="26" t="str">
        <f aca="false">IFERROR(INDEX(Consolidado!$F$5:$F$1000,MATCH(62,Consolidado!$AC$5:$AC$1000,0))&amp;"","")</f>
        <v/>
      </c>
      <c r="I75" s="27" t="str">
        <f aca="false">IFERROR(INDEX(Consolidado!$G$5:$G$1000,MATCH(62,Consolidado!$AC$5:$AC$1000,0))&amp;"","")</f>
        <v/>
      </c>
      <c r="J75" s="24" t="str">
        <f aca="false">IFERROR(INDEX(Consolidado!$H$5:$H$1000,MATCH(62,Consolidado!$AC$5:$AC$1000,0))&amp;"","")</f>
        <v/>
      </c>
    </row>
    <row r="76" customFormat="false" ht="15" hidden="false" customHeight="true" outlineLevel="0" collapsed="false">
      <c r="A76" s="24" t="str">
        <f aca="false">IF(B76="","",63)</f>
        <v/>
      </c>
      <c r="B76" s="24" t="str">
        <f aca="false">IFERROR(INDEX(Consolidado!$A$5:$A$1000,MATCH(63,Consolidado!$AC$5:$AC$1000,0)),"")</f>
        <v/>
      </c>
      <c r="C76" s="24" t="str">
        <f aca="false">IFERROR(INDEX(Consolidado!$C$5:$C$1000,MATCH(63,Consolidado!$AC$5:$AC$1000,0))&amp;"","")</f>
        <v/>
      </c>
      <c r="D76" s="25" t="str">
        <f aca="false">IFERROR(INDEX(Consolidado!$B$5:$B$1000,MATCH(63,Consolidado!$AC$5:$AC$1000,0)),"")</f>
        <v/>
      </c>
      <c r="E76" s="24" t="str">
        <f aca="false">IF(OR(D76="",D76=0),"",CHOOSE(MONTH(D76),"Ene","Feb","Mar","Abr","May","Jun","Jul","Ago","Sep","Oct","Nov","Dic"))</f>
        <v/>
      </c>
      <c r="F76" s="24" t="str">
        <f aca="false">IF(OR(D76="",D76=0),"",YEAR(D76))</f>
        <v/>
      </c>
      <c r="G76" s="24" t="str">
        <f aca="false">IF(B76="","",IF(B76=$C$3,"◄ SELECCIONADO",IF(OR(D76="",D76=0,$C$6="",$C$6=0),"Sin fecha",IF(AND(YEAR(D76)=YEAR($C$6),MONTH(D76)=MONTH($C$6)),"MISMO MES",ABS((YEAR(D76)-YEAR($C$6))*12+MONTH(D76)-MONTH($C$6))&amp;" meses "&amp;IF(D76&lt;$C$6,"antes","después")))))</f>
        <v/>
      </c>
      <c r="H76" s="26" t="str">
        <f aca="false">IFERROR(INDEX(Consolidado!$F$5:$F$1000,MATCH(63,Consolidado!$AC$5:$AC$1000,0))&amp;"","")</f>
        <v/>
      </c>
      <c r="I76" s="27" t="str">
        <f aca="false">IFERROR(INDEX(Consolidado!$G$5:$G$1000,MATCH(63,Consolidado!$AC$5:$AC$1000,0))&amp;"","")</f>
        <v/>
      </c>
      <c r="J76" s="24" t="str">
        <f aca="false">IFERROR(INDEX(Consolidado!$H$5:$H$1000,MATCH(63,Consolidado!$AC$5:$AC$1000,0))&amp;"","")</f>
        <v/>
      </c>
    </row>
    <row r="77" customFormat="false" ht="15" hidden="false" customHeight="true" outlineLevel="0" collapsed="false">
      <c r="A77" s="24" t="str">
        <f aca="false">IF(B77="","",64)</f>
        <v/>
      </c>
      <c r="B77" s="24" t="str">
        <f aca="false">IFERROR(INDEX(Consolidado!$A$5:$A$1000,MATCH(64,Consolidado!$AC$5:$AC$1000,0)),"")</f>
        <v/>
      </c>
      <c r="C77" s="24" t="str">
        <f aca="false">IFERROR(INDEX(Consolidado!$C$5:$C$1000,MATCH(64,Consolidado!$AC$5:$AC$1000,0))&amp;"","")</f>
        <v/>
      </c>
      <c r="D77" s="25" t="str">
        <f aca="false">IFERROR(INDEX(Consolidado!$B$5:$B$1000,MATCH(64,Consolidado!$AC$5:$AC$1000,0)),"")</f>
        <v/>
      </c>
      <c r="E77" s="24" t="str">
        <f aca="false">IF(OR(D77="",D77=0),"",CHOOSE(MONTH(D77),"Ene","Feb","Mar","Abr","May","Jun","Jul","Ago","Sep","Oct","Nov","Dic"))</f>
        <v/>
      </c>
      <c r="F77" s="24" t="str">
        <f aca="false">IF(OR(D77="",D77=0),"",YEAR(D77))</f>
        <v/>
      </c>
      <c r="G77" s="24" t="str">
        <f aca="false">IF(B77="","",IF(B77=$C$3,"◄ SELECCIONADO",IF(OR(D77="",D77=0,$C$6="",$C$6=0),"Sin fecha",IF(AND(YEAR(D77)=YEAR($C$6),MONTH(D77)=MONTH($C$6)),"MISMO MES",ABS((YEAR(D77)-YEAR($C$6))*12+MONTH(D77)-MONTH($C$6))&amp;" meses "&amp;IF(D77&lt;$C$6,"antes","después")))))</f>
        <v/>
      </c>
      <c r="H77" s="26" t="str">
        <f aca="false">IFERROR(INDEX(Consolidado!$F$5:$F$1000,MATCH(64,Consolidado!$AC$5:$AC$1000,0))&amp;"","")</f>
        <v/>
      </c>
      <c r="I77" s="27" t="str">
        <f aca="false">IFERROR(INDEX(Consolidado!$G$5:$G$1000,MATCH(64,Consolidado!$AC$5:$AC$1000,0))&amp;"","")</f>
        <v/>
      </c>
      <c r="J77" s="24" t="str">
        <f aca="false">IFERROR(INDEX(Consolidado!$H$5:$H$1000,MATCH(64,Consolidado!$AC$5:$AC$1000,0))&amp;"","")</f>
        <v/>
      </c>
    </row>
    <row r="78" customFormat="false" ht="15" hidden="false" customHeight="true" outlineLevel="0" collapsed="false">
      <c r="A78" s="24" t="str">
        <f aca="false">IF(B78="","",65)</f>
        <v/>
      </c>
      <c r="B78" s="24" t="str">
        <f aca="false">IFERROR(INDEX(Consolidado!$A$5:$A$1000,MATCH(65,Consolidado!$AC$5:$AC$1000,0)),"")</f>
        <v/>
      </c>
      <c r="C78" s="24" t="str">
        <f aca="false">IFERROR(INDEX(Consolidado!$C$5:$C$1000,MATCH(65,Consolidado!$AC$5:$AC$1000,0))&amp;"","")</f>
        <v/>
      </c>
      <c r="D78" s="25" t="str">
        <f aca="false">IFERROR(INDEX(Consolidado!$B$5:$B$1000,MATCH(65,Consolidado!$AC$5:$AC$1000,0)),"")</f>
        <v/>
      </c>
      <c r="E78" s="24" t="str">
        <f aca="false">IF(OR(D78="",D78=0),"",CHOOSE(MONTH(D78),"Ene","Feb","Mar","Abr","May","Jun","Jul","Ago","Sep","Oct","Nov","Dic"))</f>
        <v/>
      </c>
      <c r="F78" s="24" t="str">
        <f aca="false">IF(OR(D78="",D78=0),"",YEAR(D78))</f>
        <v/>
      </c>
      <c r="G78" s="24" t="str">
        <f aca="false">IF(B78="","",IF(B78=$C$3,"◄ SELECCIONADO",IF(OR(D78="",D78=0,$C$6="",$C$6=0),"Sin fecha",IF(AND(YEAR(D78)=YEAR($C$6),MONTH(D78)=MONTH($C$6)),"MISMO MES",ABS((YEAR(D78)-YEAR($C$6))*12+MONTH(D78)-MONTH($C$6))&amp;" meses "&amp;IF(D78&lt;$C$6,"antes","después")))))</f>
        <v/>
      </c>
      <c r="H78" s="26" t="str">
        <f aca="false">IFERROR(INDEX(Consolidado!$F$5:$F$1000,MATCH(65,Consolidado!$AC$5:$AC$1000,0))&amp;"","")</f>
        <v/>
      </c>
      <c r="I78" s="27" t="str">
        <f aca="false">IFERROR(INDEX(Consolidado!$G$5:$G$1000,MATCH(65,Consolidado!$AC$5:$AC$1000,0))&amp;"","")</f>
        <v/>
      </c>
      <c r="J78" s="24" t="str">
        <f aca="false">IFERROR(INDEX(Consolidado!$H$5:$H$1000,MATCH(65,Consolidado!$AC$5:$AC$1000,0))&amp;"","")</f>
        <v/>
      </c>
    </row>
    <row r="79" customFormat="false" ht="15" hidden="false" customHeight="true" outlineLevel="0" collapsed="false">
      <c r="A79" s="24" t="str">
        <f aca="false">IF(B79="","",66)</f>
        <v/>
      </c>
      <c r="B79" s="24" t="str">
        <f aca="false">IFERROR(INDEX(Consolidado!$A$5:$A$1000,MATCH(66,Consolidado!$AC$5:$AC$1000,0)),"")</f>
        <v/>
      </c>
      <c r="C79" s="24" t="str">
        <f aca="false">IFERROR(INDEX(Consolidado!$C$5:$C$1000,MATCH(66,Consolidado!$AC$5:$AC$1000,0))&amp;"","")</f>
        <v/>
      </c>
      <c r="D79" s="25" t="str">
        <f aca="false">IFERROR(INDEX(Consolidado!$B$5:$B$1000,MATCH(66,Consolidado!$AC$5:$AC$1000,0)),"")</f>
        <v/>
      </c>
      <c r="E79" s="24" t="str">
        <f aca="false">IF(OR(D79="",D79=0),"",CHOOSE(MONTH(D79),"Ene","Feb","Mar","Abr","May","Jun","Jul","Ago","Sep","Oct","Nov","Dic"))</f>
        <v/>
      </c>
      <c r="F79" s="24" t="str">
        <f aca="false">IF(OR(D79="",D79=0),"",YEAR(D79))</f>
        <v/>
      </c>
      <c r="G79" s="24" t="str">
        <f aca="false">IF(B79="","",IF(B79=$C$3,"◄ SELECCIONADO",IF(OR(D79="",D79=0,$C$6="",$C$6=0),"Sin fecha",IF(AND(YEAR(D79)=YEAR($C$6),MONTH(D79)=MONTH($C$6)),"MISMO MES",ABS((YEAR(D79)-YEAR($C$6))*12+MONTH(D79)-MONTH($C$6))&amp;" meses "&amp;IF(D79&lt;$C$6,"antes","después")))))</f>
        <v/>
      </c>
      <c r="H79" s="26" t="str">
        <f aca="false">IFERROR(INDEX(Consolidado!$F$5:$F$1000,MATCH(66,Consolidado!$AC$5:$AC$1000,0))&amp;"","")</f>
        <v/>
      </c>
      <c r="I79" s="27" t="str">
        <f aca="false">IFERROR(INDEX(Consolidado!$G$5:$G$1000,MATCH(66,Consolidado!$AC$5:$AC$1000,0))&amp;"","")</f>
        <v/>
      </c>
      <c r="J79" s="24" t="str">
        <f aca="false">IFERROR(INDEX(Consolidado!$H$5:$H$1000,MATCH(66,Consolidado!$AC$5:$AC$1000,0))&amp;"","")</f>
        <v/>
      </c>
    </row>
    <row r="80" customFormat="false" ht="15" hidden="false" customHeight="true" outlineLevel="0" collapsed="false">
      <c r="A80" s="24" t="str">
        <f aca="false">IF(B80="","",67)</f>
        <v/>
      </c>
      <c r="B80" s="24" t="str">
        <f aca="false">IFERROR(INDEX(Consolidado!$A$5:$A$1000,MATCH(67,Consolidado!$AC$5:$AC$1000,0)),"")</f>
        <v/>
      </c>
      <c r="C80" s="24" t="str">
        <f aca="false">IFERROR(INDEX(Consolidado!$C$5:$C$1000,MATCH(67,Consolidado!$AC$5:$AC$1000,0))&amp;"","")</f>
        <v/>
      </c>
      <c r="D80" s="25" t="str">
        <f aca="false">IFERROR(INDEX(Consolidado!$B$5:$B$1000,MATCH(67,Consolidado!$AC$5:$AC$1000,0)),"")</f>
        <v/>
      </c>
      <c r="E80" s="24" t="str">
        <f aca="false">IF(OR(D80="",D80=0),"",CHOOSE(MONTH(D80),"Ene","Feb","Mar","Abr","May","Jun","Jul","Ago","Sep","Oct","Nov","Dic"))</f>
        <v/>
      </c>
      <c r="F80" s="24" t="str">
        <f aca="false">IF(OR(D80="",D80=0),"",YEAR(D80))</f>
        <v/>
      </c>
      <c r="G80" s="24" t="str">
        <f aca="false">IF(B80="","",IF(B80=$C$3,"◄ SELECCIONADO",IF(OR(D80="",D80=0,$C$6="",$C$6=0),"Sin fecha",IF(AND(YEAR(D80)=YEAR($C$6),MONTH(D80)=MONTH($C$6)),"MISMO MES",ABS((YEAR(D80)-YEAR($C$6))*12+MONTH(D80)-MONTH($C$6))&amp;" meses "&amp;IF(D80&lt;$C$6,"antes","después")))))</f>
        <v/>
      </c>
      <c r="H80" s="26" t="str">
        <f aca="false">IFERROR(INDEX(Consolidado!$F$5:$F$1000,MATCH(67,Consolidado!$AC$5:$AC$1000,0))&amp;"","")</f>
        <v/>
      </c>
      <c r="I80" s="27" t="str">
        <f aca="false">IFERROR(INDEX(Consolidado!$G$5:$G$1000,MATCH(67,Consolidado!$AC$5:$AC$1000,0))&amp;"","")</f>
        <v/>
      </c>
      <c r="J80" s="24" t="str">
        <f aca="false">IFERROR(INDEX(Consolidado!$H$5:$H$1000,MATCH(67,Consolidado!$AC$5:$AC$1000,0))&amp;"","")</f>
        <v/>
      </c>
    </row>
    <row r="81" customFormat="false" ht="15" hidden="false" customHeight="true" outlineLevel="0" collapsed="false">
      <c r="A81" s="24" t="str">
        <f aca="false">IF(B81="","",68)</f>
        <v/>
      </c>
      <c r="B81" s="24" t="str">
        <f aca="false">IFERROR(INDEX(Consolidado!$A$5:$A$1000,MATCH(68,Consolidado!$AC$5:$AC$1000,0)),"")</f>
        <v/>
      </c>
      <c r="C81" s="24" t="str">
        <f aca="false">IFERROR(INDEX(Consolidado!$C$5:$C$1000,MATCH(68,Consolidado!$AC$5:$AC$1000,0))&amp;"","")</f>
        <v/>
      </c>
      <c r="D81" s="25" t="str">
        <f aca="false">IFERROR(INDEX(Consolidado!$B$5:$B$1000,MATCH(68,Consolidado!$AC$5:$AC$1000,0)),"")</f>
        <v/>
      </c>
      <c r="E81" s="24" t="str">
        <f aca="false">IF(OR(D81="",D81=0),"",CHOOSE(MONTH(D81),"Ene","Feb","Mar","Abr","May","Jun","Jul","Ago","Sep","Oct","Nov","Dic"))</f>
        <v/>
      </c>
      <c r="F81" s="24" t="str">
        <f aca="false">IF(OR(D81="",D81=0),"",YEAR(D81))</f>
        <v/>
      </c>
      <c r="G81" s="24" t="str">
        <f aca="false">IF(B81="","",IF(B81=$C$3,"◄ SELECCIONADO",IF(OR(D81="",D81=0,$C$6="",$C$6=0),"Sin fecha",IF(AND(YEAR(D81)=YEAR($C$6),MONTH(D81)=MONTH($C$6)),"MISMO MES",ABS((YEAR(D81)-YEAR($C$6))*12+MONTH(D81)-MONTH($C$6))&amp;" meses "&amp;IF(D81&lt;$C$6,"antes","después")))))</f>
        <v/>
      </c>
      <c r="H81" s="26" t="str">
        <f aca="false">IFERROR(INDEX(Consolidado!$F$5:$F$1000,MATCH(68,Consolidado!$AC$5:$AC$1000,0))&amp;"","")</f>
        <v/>
      </c>
      <c r="I81" s="27" t="str">
        <f aca="false">IFERROR(INDEX(Consolidado!$G$5:$G$1000,MATCH(68,Consolidado!$AC$5:$AC$1000,0))&amp;"","")</f>
        <v/>
      </c>
      <c r="J81" s="24" t="str">
        <f aca="false">IFERROR(INDEX(Consolidado!$H$5:$H$1000,MATCH(68,Consolidado!$AC$5:$AC$1000,0))&amp;"","")</f>
        <v/>
      </c>
    </row>
    <row r="82" customFormat="false" ht="15" hidden="false" customHeight="true" outlineLevel="0" collapsed="false">
      <c r="A82" s="24" t="str">
        <f aca="false">IF(B82="","",69)</f>
        <v/>
      </c>
      <c r="B82" s="24" t="str">
        <f aca="false">IFERROR(INDEX(Consolidado!$A$5:$A$1000,MATCH(69,Consolidado!$AC$5:$AC$1000,0)),"")</f>
        <v/>
      </c>
      <c r="C82" s="24" t="str">
        <f aca="false">IFERROR(INDEX(Consolidado!$C$5:$C$1000,MATCH(69,Consolidado!$AC$5:$AC$1000,0))&amp;"","")</f>
        <v/>
      </c>
      <c r="D82" s="25" t="str">
        <f aca="false">IFERROR(INDEX(Consolidado!$B$5:$B$1000,MATCH(69,Consolidado!$AC$5:$AC$1000,0)),"")</f>
        <v/>
      </c>
      <c r="E82" s="24" t="str">
        <f aca="false">IF(OR(D82="",D82=0),"",CHOOSE(MONTH(D82),"Ene","Feb","Mar","Abr","May","Jun","Jul","Ago","Sep","Oct","Nov","Dic"))</f>
        <v/>
      </c>
      <c r="F82" s="24" t="str">
        <f aca="false">IF(OR(D82="",D82=0),"",YEAR(D82))</f>
        <v/>
      </c>
      <c r="G82" s="24" t="str">
        <f aca="false">IF(B82="","",IF(B82=$C$3,"◄ SELECCIONADO",IF(OR(D82="",D82=0,$C$6="",$C$6=0),"Sin fecha",IF(AND(YEAR(D82)=YEAR($C$6),MONTH(D82)=MONTH($C$6)),"MISMO MES",ABS((YEAR(D82)-YEAR($C$6))*12+MONTH(D82)-MONTH($C$6))&amp;" meses "&amp;IF(D82&lt;$C$6,"antes","después")))))</f>
        <v/>
      </c>
      <c r="H82" s="26" t="str">
        <f aca="false">IFERROR(INDEX(Consolidado!$F$5:$F$1000,MATCH(69,Consolidado!$AC$5:$AC$1000,0))&amp;"","")</f>
        <v/>
      </c>
      <c r="I82" s="27" t="str">
        <f aca="false">IFERROR(INDEX(Consolidado!$G$5:$G$1000,MATCH(69,Consolidado!$AC$5:$AC$1000,0))&amp;"","")</f>
        <v/>
      </c>
      <c r="J82" s="24" t="str">
        <f aca="false">IFERROR(INDEX(Consolidado!$H$5:$H$1000,MATCH(69,Consolidado!$AC$5:$AC$1000,0))&amp;"","")</f>
        <v/>
      </c>
    </row>
    <row r="83" customFormat="false" ht="15" hidden="false" customHeight="true" outlineLevel="0" collapsed="false">
      <c r="A83" s="24" t="str">
        <f aca="false">IF(B83="","",70)</f>
        <v/>
      </c>
      <c r="B83" s="24" t="str">
        <f aca="false">IFERROR(INDEX(Consolidado!$A$5:$A$1000,MATCH(70,Consolidado!$AC$5:$AC$1000,0)),"")</f>
        <v/>
      </c>
      <c r="C83" s="24" t="str">
        <f aca="false">IFERROR(INDEX(Consolidado!$C$5:$C$1000,MATCH(70,Consolidado!$AC$5:$AC$1000,0))&amp;"","")</f>
        <v/>
      </c>
      <c r="D83" s="25" t="str">
        <f aca="false">IFERROR(INDEX(Consolidado!$B$5:$B$1000,MATCH(70,Consolidado!$AC$5:$AC$1000,0)),"")</f>
        <v/>
      </c>
      <c r="E83" s="24" t="str">
        <f aca="false">IF(OR(D83="",D83=0),"",CHOOSE(MONTH(D83),"Ene","Feb","Mar","Abr","May","Jun","Jul","Ago","Sep","Oct","Nov","Dic"))</f>
        <v/>
      </c>
      <c r="F83" s="24" t="str">
        <f aca="false">IF(OR(D83="",D83=0),"",YEAR(D83))</f>
        <v/>
      </c>
      <c r="G83" s="24" t="str">
        <f aca="false">IF(B83="","",IF(B83=$C$3,"◄ SELECCIONADO",IF(OR(D83="",D83=0,$C$6="",$C$6=0),"Sin fecha",IF(AND(YEAR(D83)=YEAR($C$6),MONTH(D83)=MONTH($C$6)),"MISMO MES",ABS((YEAR(D83)-YEAR($C$6))*12+MONTH(D83)-MONTH($C$6))&amp;" meses "&amp;IF(D83&lt;$C$6,"antes","después")))))</f>
        <v/>
      </c>
      <c r="H83" s="26" t="str">
        <f aca="false">IFERROR(INDEX(Consolidado!$F$5:$F$1000,MATCH(70,Consolidado!$AC$5:$AC$1000,0))&amp;"","")</f>
        <v/>
      </c>
      <c r="I83" s="27" t="str">
        <f aca="false">IFERROR(INDEX(Consolidado!$G$5:$G$1000,MATCH(70,Consolidado!$AC$5:$AC$1000,0))&amp;"","")</f>
        <v/>
      </c>
      <c r="J83" s="24" t="str">
        <f aca="false">IFERROR(INDEX(Consolidado!$H$5:$H$1000,MATCH(70,Consolidado!$AC$5:$AC$1000,0))&amp;"","")</f>
        <v/>
      </c>
    </row>
    <row r="84" customFormat="false" ht="15" hidden="false" customHeight="true" outlineLevel="0" collapsed="false">
      <c r="A84" s="24" t="str">
        <f aca="false">IF(B84="","",71)</f>
        <v/>
      </c>
      <c r="B84" s="24" t="str">
        <f aca="false">IFERROR(INDEX(Consolidado!$A$5:$A$1000,MATCH(71,Consolidado!$AC$5:$AC$1000,0)),"")</f>
        <v/>
      </c>
      <c r="C84" s="24" t="str">
        <f aca="false">IFERROR(INDEX(Consolidado!$C$5:$C$1000,MATCH(71,Consolidado!$AC$5:$AC$1000,0))&amp;"","")</f>
        <v/>
      </c>
      <c r="D84" s="25" t="str">
        <f aca="false">IFERROR(INDEX(Consolidado!$B$5:$B$1000,MATCH(71,Consolidado!$AC$5:$AC$1000,0)),"")</f>
        <v/>
      </c>
      <c r="E84" s="24" t="str">
        <f aca="false">IF(OR(D84="",D84=0),"",CHOOSE(MONTH(D84),"Ene","Feb","Mar","Abr","May","Jun","Jul","Ago","Sep","Oct","Nov","Dic"))</f>
        <v/>
      </c>
      <c r="F84" s="24" t="str">
        <f aca="false">IF(OR(D84="",D84=0),"",YEAR(D84))</f>
        <v/>
      </c>
      <c r="G84" s="24" t="str">
        <f aca="false">IF(B84="","",IF(B84=$C$3,"◄ SELECCIONADO",IF(OR(D84="",D84=0,$C$6="",$C$6=0),"Sin fecha",IF(AND(YEAR(D84)=YEAR($C$6),MONTH(D84)=MONTH($C$6)),"MISMO MES",ABS((YEAR(D84)-YEAR($C$6))*12+MONTH(D84)-MONTH($C$6))&amp;" meses "&amp;IF(D84&lt;$C$6,"antes","después")))))</f>
        <v/>
      </c>
      <c r="H84" s="26" t="str">
        <f aca="false">IFERROR(INDEX(Consolidado!$F$5:$F$1000,MATCH(71,Consolidado!$AC$5:$AC$1000,0))&amp;"","")</f>
        <v/>
      </c>
      <c r="I84" s="27" t="str">
        <f aca="false">IFERROR(INDEX(Consolidado!$G$5:$G$1000,MATCH(71,Consolidado!$AC$5:$AC$1000,0))&amp;"","")</f>
        <v/>
      </c>
      <c r="J84" s="24" t="str">
        <f aca="false">IFERROR(INDEX(Consolidado!$H$5:$H$1000,MATCH(71,Consolidado!$AC$5:$AC$1000,0))&amp;"","")</f>
        <v/>
      </c>
    </row>
    <row r="85" customFormat="false" ht="15" hidden="false" customHeight="true" outlineLevel="0" collapsed="false">
      <c r="A85" s="24" t="str">
        <f aca="false">IF(B85="","",72)</f>
        <v/>
      </c>
      <c r="B85" s="24" t="str">
        <f aca="false">IFERROR(INDEX(Consolidado!$A$5:$A$1000,MATCH(72,Consolidado!$AC$5:$AC$1000,0)),"")</f>
        <v/>
      </c>
      <c r="C85" s="24" t="str">
        <f aca="false">IFERROR(INDEX(Consolidado!$C$5:$C$1000,MATCH(72,Consolidado!$AC$5:$AC$1000,0))&amp;"","")</f>
        <v/>
      </c>
      <c r="D85" s="25" t="str">
        <f aca="false">IFERROR(INDEX(Consolidado!$B$5:$B$1000,MATCH(72,Consolidado!$AC$5:$AC$1000,0)),"")</f>
        <v/>
      </c>
      <c r="E85" s="24" t="str">
        <f aca="false">IF(OR(D85="",D85=0),"",CHOOSE(MONTH(D85),"Ene","Feb","Mar","Abr","May","Jun","Jul","Ago","Sep","Oct","Nov","Dic"))</f>
        <v/>
      </c>
      <c r="F85" s="24" t="str">
        <f aca="false">IF(OR(D85="",D85=0),"",YEAR(D85))</f>
        <v/>
      </c>
      <c r="G85" s="24" t="str">
        <f aca="false">IF(B85="","",IF(B85=$C$3,"◄ SELECCIONADO",IF(OR(D85="",D85=0,$C$6="",$C$6=0),"Sin fecha",IF(AND(YEAR(D85)=YEAR($C$6),MONTH(D85)=MONTH($C$6)),"MISMO MES",ABS((YEAR(D85)-YEAR($C$6))*12+MONTH(D85)-MONTH($C$6))&amp;" meses "&amp;IF(D85&lt;$C$6,"antes","después")))))</f>
        <v/>
      </c>
      <c r="H85" s="26" t="str">
        <f aca="false">IFERROR(INDEX(Consolidado!$F$5:$F$1000,MATCH(72,Consolidado!$AC$5:$AC$1000,0))&amp;"","")</f>
        <v/>
      </c>
      <c r="I85" s="27" t="str">
        <f aca="false">IFERROR(INDEX(Consolidado!$G$5:$G$1000,MATCH(72,Consolidado!$AC$5:$AC$1000,0))&amp;"","")</f>
        <v/>
      </c>
      <c r="J85" s="24" t="str">
        <f aca="false">IFERROR(INDEX(Consolidado!$H$5:$H$1000,MATCH(72,Consolidado!$AC$5:$AC$1000,0))&amp;"","")</f>
        <v/>
      </c>
    </row>
    <row r="86" customFormat="false" ht="15" hidden="false" customHeight="true" outlineLevel="0" collapsed="false">
      <c r="A86" s="24" t="str">
        <f aca="false">IF(B86="","",73)</f>
        <v/>
      </c>
      <c r="B86" s="24" t="str">
        <f aca="false">IFERROR(INDEX(Consolidado!$A$5:$A$1000,MATCH(73,Consolidado!$AC$5:$AC$1000,0)),"")</f>
        <v/>
      </c>
      <c r="C86" s="24" t="str">
        <f aca="false">IFERROR(INDEX(Consolidado!$C$5:$C$1000,MATCH(73,Consolidado!$AC$5:$AC$1000,0))&amp;"","")</f>
        <v/>
      </c>
      <c r="D86" s="25" t="str">
        <f aca="false">IFERROR(INDEX(Consolidado!$B$5:$B$1000,MATCH(73,Consolidado!$AC$5:$AC$1000,0)),"")</f>
        <v/>
      </c>
      <c r="E86" s="24" t="str">
        <f aca="false">IF(OR(D86="",D86=0),"",CHOOSE(MONTH(D86),"Ene","Feb","Mar","Abr","May","Jun","Jul","Ago","Sep","Oct","Nov","Dic"))</f>
        <v/>
      </c>
      <c r="F86" s="24" t="str">
        <f aca="false">IF(OR(D86="",D86=0),"",YEAR(D86))</f>
        <v/>
      </c>
      <c r="G86" s="24" t="str">
        <f aca="false">IF(B86="","",IF(B86=$C$3,"◄ SELECCIONADO",IF(OR(D86="",D86=0,$C$6="",$C$6=0),"Sin fecha",IF(AND(YEAR(D86)=YEAR($C$6),MONTH(D86)=MONTH($C$6)),"MISMO MES",ABS((YEAR(D86)-YEAR($C$6))*12+MONTH(D86)-MONTH($C$6))&amp;" meses "&amp;IF(D86&lt;$C$6,"antes","después")))))</f>
        <v/>
      </c>
      <c r="H86" s="26" t="str">
        <f aca="false">IFERROR(INDEX(Consolidado!$F$5:$F$1000,MATCH(73,Consolidado!$AC$5:$AC$1000,0))&amp;"","")</f>
        <v/>
      </c>
      <c r="I86" s="27" t="str">
        <f aca="false">IFERROR(INDEX(Consolidado!$G$5:$G$1000,MATCH(73,Consolidado!$AC$5:$AC$1000,0))&amp;"","")</f>
        <v/>
      </c>
      <c r="J86" s="24" t="str">
        <f aca="false">IFERROR(INDEX(Consolidado!$H$5:$H$1000,MATCH(73,Consolidado!$AC$5:$AC$1000,0))&amp;"","")</f>
        <v/>
      </c>
    </row>
    <row r="87" customFormat="false" ht="15" hidden="false" customHeight="true" outlineLevel="0" collapsed="false">
      <c r="A87" s="24" t="str">
        <f aca="false">IF(B87="","",74)</f>
        <v/>
      </c>
      <c r="B87" s="24" t="str">
        <f aca="false">IFERROR(INDEX(Consolidado!$A$5:$A$1000,MATCH(74,Consolidado!$AC$5:$AC$1000,0)),"")</f>
        <v/>
      </c>
      <c r="C87" s="24" t="str">
        <f aca="false">IFERROR(INDEX(Consolidado!$C$5:$C$1000,MATCH(74,Consolidado!$AC$5:$AC$1000,0))&amp;"","")</f>
        <v/>
      </c>
      <c r="D87" s="25" t="str">
        <f aca="false">IFERROR(INDEX(Consolidado!$B$5:$B$1000,MATCH(74,Consolidado!$AC$5:$AC$1000,0)),"")</f>
        <v/>
      </c>
      <c r="E87" s="24" t="str">
        <f aca="false">IF(OR(D87="",D87=0),"",CHOOSE(MONTH(D87),"Ene","Feb","Mar","Abr","May","Jun","Jul","Ago","Sep","Oct","Nov","Dic"))</f>
        <v/>
      </c>
      <c r="F87" s="24" t="str">
        <f aca="false">IF(OR(D87="",D87=0),"",YEAR(D87))</f>
        <v/>
      </c>
      <c r="G87" s="24" t="str">
        <f aca="false">IF(B87="","",IF(B87=$C$3,"◄ SELECCIONADO",IF(OR(D87="",D87=0,$C$6="",$C$6=0),"Sin fecha",IF(AND(YEAR(D87)=YEAR($C$6),MONTH(D87)=MONTH($C$6)),"MISMO MES",ABS((YEAR(D87)-YEAR($C$6))*12+MONTH(D87)-MONTH($C$6))&amp;" meses "&amp;IF(D87&lt;$C$6,"antes","después")))))</f>
        <v/>
      </c>
      <c r="H87" s="26" t="str">
        <f aca="false">IFERROR(INDEX(Consolidado!$F$5:$F$1000,MATCH(74,Consolidado!$AC$5:$AC$1000,0))&amp;"","")</f>
        <v/>
      </c>
      <c r="I87" s="27" t="str">
        <f aca="false">IFERROR(INDEX(Consolidado!$G$5:$G$1000,MATCH(74,Consolidado!$AC$5:$AC$1000,0))&amp;"","")</f>
        <v/>
      </c>
      <c r="J87" s="24" t="str">
        <f aca="false">IFERROR(INDEX(Consolidado!$H$5:$H$1000,MATCH(74,Consolidado!$AC$5:$AC$1000,0))&amp;"","")</f>
        <v/>
      </c>
    </row>
    <row r="88" customFormat="false" ht="15" hidden="false" customHeight="true" outlineLevel="0" collapsed="false">
      <c r="A88" s="24" t="str">
        <f aca="false">IF(B88="","",75)</f>
        <v/>
      </c>
      <c r="B88" s="24" t="str">
        <f aca="false">IFERROR(INDEX(Consolidado!$A$5:$A$1000,MATCH(75,Consolidado!$AC$5:$AC$1000,0)),"")</f>
        <v/>
      </c>
      <c r="C88" s="24" t="str">
        <f aca="false">IFERROR(INDEX(Consolidado!$C$5:$C$1000,MATCH(75,Consolidado!$AC$5:$AC$1000,0))&amp;"","")</f>
        <v/>
      </c>
      <c r="D88" s="25" t="str">
        <f aca="false">IFERROR(INDEX(Consolidado!$B$5:$B$1000,MATCH(75,Consolidado!$AC$5:$AC$1000,0)),"")</f>
        <v/>
      </c>
      <c r="E88" s="24" t="str">
        <f aca="false">IF(OR(D88="",D88=0),"",CHOOSE(MONTH(D88),"Ene","Feb","Mar","Abr","May","Jun","Jul","Ago","Sep","Oct","Nov","Dic"))</f>
        <v/>
      </c>
      <c r="F88" s="24" t="str">
        <f aca="false">IF(OR(D88="",D88=0),"",YEAR(D88))</f>
        <v/>
      </c>
      <c r="G88" s="24" t="str">
        <f aca="false">IF(B88="","",IF(B88=$C$3,"◄ SELECCIONADO",IF(OR(D88="",D88=0,$C$6="",$C$6=0),"Sin fecha",IF(AND(YEAR(D88)=YEAR($C$6),MONTH(D88)=MONTH($C$6)),"MISMO MES",ABS((YEAR(D88)-YEAR($C$6))*12+MONTH(D88)-MONTH($C$6))&amp;" meses "&amp;IF(D88&lt;$C$6,"antes","después")))))</f>
        <v/>
      </c>
      <c r="H88" s="26" t="str">
        <f aca="false">IFERROR(INDEX(Consolidado!$F$5:$F$1000,MATCH(75,Consolidado!$AC$5:$AC$1000,0))&amp;"","")</f>
        <v/>
      </c>
      <c r="I88" s="27" t="str">
        <f aca="false">IFERROR(INDEX(Consolidado!$G$5:$G$1000,MATCH(75,Consolidado!$AC$5:$AC$1000,0))&amp;"","")</f>
        <v/>
      </c>
      <c r="J88" s="24" t="str">
        <f aca="false">IFERROR(INDEX(Consolidado!$H$5:$H$1000,MATCH(75,Consolidado!$AC$5:$AC$1000,0))&amp;"","")</f>
        <v/>
      </c>
    </row>
    <row r="89" customFormat="false" ht="15" hidden="false" customHeight="true" outlineLevel="0" collapsed="false">
      <c r="A89" s="24" t="str">
        <f aca="false">IF(B89="","",76)</f>
        <v/>
      </c>
      <c r="B89" s="24" t="str">
        <f aca="false">IFERROR(INDEX(Consolidado!$A$5:$A$1000,MATCH(76,Consolidado!$AC$5:$AC$1000,0)),"")</f>
        <v/>
      </c>
      <c r="C89" s="24" t="str">
        <f aca="false">IFERROR(INDEX(Consolidado!$C$5:$C$1000,MATCH(76,Consolidado!$AC$5:$AC$1000,0))&amp;"","")</f>
        <v/>
      </c>
      <c r="D89" s="25" t="str">
        <f aca="false">IFERROR(INDEX(Consolidado!$B$5:$B$1000,MATCH(76,Consolidado!$AC$5:$AC$1000,0)),"")</f>
        <v/>
      </c>
      <c r="E89" s="24" t="str">
        <f aca="false">IF(OR(D89="",D89=0),"",CHOOSE(MONTH(D89),"Ene","Feb","Mar","Abr","May","Jun","Jul","Ago","Sep","Oct","Nov","Dic"))</f>
        <v/>
      </c>
      <c r="F89" s="24" t="str">
        <f aca="false">IF(OR(D89="",D89=0),"",YEAR(D89))</f>
        <v/>
      </c>
      <c r="G89" s="24" t="str">
        <f aca="false">IF(B89="","",IF(B89=$C$3,"◄ SELECCIONADO",IF(OR(D89="",D89=0,$C$6="",$C$6=0),"Sin fecha",IF(AND(YEAR(D89)=YEAR($C$6),MONTH(D89)=MONTH($C$6)),"MISMO MES",ABS((YEAR(D89)-YEAR($C$6))*12+MONTH(D89)-MONTH($C$6))&amp;" meses "&amp;IF(D89&lt;$C$6,"antes","después")))))</f>
        <v/>
      </c>
      <c r="H89" s="26" t="str">
        <f aca="false">IFERROR(INDEX(Consolidado!$F$5:$F$1000,MATCH(76,Consolidado!$AC$5:$AC$1000,0))&amp;"","")</f>
        <v/>
      </c>
      <c r="I89" s="27" t="str">
        <f aca="false">IFERROR(INDEX(Consolidado!$G$5:$G$1000,MATCH(76,Consolidado!$AC$5:$AC$1000,0))&amp;"","")</f>
        <v/>
      </c>
      <c r="J89" s="24" t="str">
        <f aca="false">IFERROR(INDEX(Consolidado!$H$5:$H$1000,MATCH(76,Consolidado!$AC$5:$AC$1000,0))&amp;"","")</f>
        <v/>
      </c>
    </row>
    <row r="90" customFormat="false" ht="15" hidden="false" customHeight="true" outlineLevel="0" collapsed="false">
      <c r="A90" s="24" t="str">
        <f aca="false">IF(B90="","",77)</f>
        <v/>
      </c>
      <c r="B90" s="24" t="str">
        <f aca="false">IFERROR(INDEX(Consolidado!$A$5:$A$1000,MATCH(77,Consolidado!$AC$5:$AC$1000,0)),"")</f>
        <v/>
      </c>
      <c r="C90" s="24" t="str">
        <f aca="false">IFERROR(INDEX(Consolidado!$C$5:$C$1000,MATCH(77,Consolidado!$AC$5:$AC$1000,0))&amp;"","")</f>
        <v/>
      </c>
      <c r="D90" s="25" t="str">
        <f aca="false">IFERROR(INDEX(Consolidado!$B$5:$B$1000,MATCH(77,Consolidado!$AC$5:$AC$1000,0)),"")</f>
        <v/>
      </c>
      <c r="E90" s="24" t="str">
        <f aca="false">IF(OR(D90="",D90=0),"",CHOOSE(MONTH(D90),"Ene","Feb","Mar","Abr","May","Jun","Jul","Ago","Sep","Oct","Nov","Dic"))</f>
        <v/>
      </c>
      <c r="F90" s="24" t="str">
        <f aca="false">IF(OR(D90="",D90=0),"",YEAR(D90))</f>
        <v/>
      </c>
      <c r="G90" s="24" t="str">
        <f aca="false">IF(B90="","",IF(B90=$C$3,"◄ SELECCIONADO",IF(OR(D90="",D90=0,$C$6="",$C$6=0),"Sin fecha",IF(AND(YEAR(D90)=YEAR($C$6),MONTH(D90)=MONTH($C$6)),"MISMO MES",ABS((YEAR(D90)-YEAR($C$6))*12+MONTH(D90)-MONTH($C$6))&amp;" meses "&amp;IF(D90&lt;$C$6,"antes","después")))))</f>
        <v/>
      </c>
      <c r="H90" s="26" t="str">
        <f aca="false">IFERROR(INDEX(Consolidado!$F$5:$F$1000,MATCH(77,Consolidado!$AC$5:$AC$1000,0))&amp;"","")</f>
        <v/>
      </c>
      <c r="I90" s="27" t="str">
        <f aca="false">IFERROR(INDEX(Consolidado!$G$5:$G$1000,MATCH(77,Consolidado!$AC$5:$AC$1000,0))&amp;"","")</f>
        <v/>
      </c>
      <c r="J90" s="24" t="str">
        <f aca="false">IFERROR(INDEX(Consolidado!$H$5:$H$1000,MATCH(77,Consolidado!$AC$5:$AC$1000,0))&amp;"","")</f>
        <v/>
      </c>
    </row>
    <row r="91" customFormat="false" ht="15" hidden="false" customHeight="true" outlineLevel="0" collapsed="false">
      <c r="A91" s="24" t="str">
        <f aca="false">IF(B91="","",78)</f>
        <v/>
      </c>
      <c r="B91" s="24" t="str">
        <f aca="false">IFERROR(INDEX(Consolidado!$A$5:$A$1000,MATCH(78,Consolidado!$AC$5:$AC$1000,0)),"")</f>
        <v/>
      </c>
      <c r="C91" s="24" t="str">
        <f aca="false">IFERROR(INDEX(Consolidado!$C$5:$C$1000,MATCH(78,Consolidado!$AC$5:$AC$1000,0))&amp;"","")</f>
        <v/>
      </c>
      <c r="D91" s="25" t="str">
        <f aca="false">IFERROR(INDEX(Consolidado!$B$5:$B$1000,MATCH(78,Consolidado!$AC$5:$AC$1000,0)),"")</f>
        <v/>
      </c>
      <c r="E91" s="24" t="str">
        <f aca="false">IF(OR(D91="",D91=0),"",CHOOSE(MONTH(D91),"Ene","Feb","Mar","Abr","May","Jun","Jul","Ago","Sep","Oct","Nov","Dic"))</f>
        <v/>
      </c>
      <c r="F91" s="24" t="str">
        <f aca="false">IF(OR(D91="",D91=0),"",YEAR(D91))</f>
        <v/>
      </c>
      <c r="G91" s="24" t="str">
        <f aca="false">IF(B91="","",IF(B91=$C$3,"◄ SELECCIONADO",IF(OR(D91="",D91=0,$C$6="",$C$6=0),"Sin fecha",IF(AND(YEAR(D91)=YEAR($C$6),MONTH(D91)=MONTH($C$6)),"MISMO MES",ABS((YEAR(D91)-YEAR($C$6))*12+MONTH(D91)-MONTH($C$6))&amp;" meses "&amp;IF(D91&lt;$C$6,"antes","después")))))</f>
        <v/>
      </c>
      <c r="H91" s="26" t="str">
        <f aca="false">IFERROR(INDEX(Consolidado!$F$5:$F$1000,MATCH(78,Consolidado!$AC$5:$AC$1000,0))&amp;"","")</f>
        <v/>
      </c>
      <c r="I91" s="27" t="str">
        <f aca="false">IFERROR(INDEX(Consolidado!$G$5:$G$1000,MATCH(78,Consolidado!$AC$5:$AC$1000,0))&amp;"","")</f>
        <v/>
      </c>
      <c r="J91" s="24" t="str">
        <f aca="false">IFERROR(INDEX(Consolidado!$H$5:$H$1000,MATCH(78,Consolidado!$AC$5:$AC$1000,0))&amp;"","")</f>
        <v/>
      </c>
    </row>
    <row r="92" customFormat="false" ht="15" hidden="false" customHeight="true" outlineLevel="0" collapsed="false">
      <c r="A92" s="24" t="str">
        <f aca="false">IF(B92="","",79)</f>
        <v/>
      </c>
      <c r="B92" s="24" t="str">
        <f aca="false">IFERROR(INDEX(Consolidado!$A$5:$A$1000,MATCH(79,Consolidado!$AC$5:$AC$1000,0)),"")</f>
        <v/>
      </c>
      <c r="C92" s="24" t="str">
        <f aca="false">IFERROR(INDEX(Consolidado!$C$5:$C$1000,MATCH(79,Consolidado!$AC$5:$AC$1000,0))&amp;"","")</f>
        <v/>
      </c>
      <c r="D92" s="25" t="str">
        <f aca="false">IFERROR(INDEX(Consolidado!$B$5:$B$1000,MATCH(79,Consolidado!$AC$5:$AC$1000,0)),"")</f>
        <v/>
      </c>
      <c r="E92" s="24" t="str">
        <f aca="false">IF(OR(D92="",D92=0),"",CHOOSE(MONTH(D92),"Ene","Feb","Mar","Abr","May","Jun","Jul","Ago","Sep","Oct","Nov","Dic"))</f>
        <v/>
      </c>
      <c r="F92" s="24" t="str">
        <f aca="false">IF(OR(D92="",D92=0),"",YEAR(D92))</f>
        <v/>
      </c>
      <c r="G92" s="24" t="str">
        <f aca="false">IF(B92="","",IF(B92=$C$3,"◄ SELECCIONADO",IF(OR(D92="",D92=0,$C$6="",$C$6=0),"Sin fecha",IF(AND(YEAR(D92)=YEAR($C$6),MONTH(D92)=MONTH($C$6)),"MISMO MES",ABS((YEAR(D92)-YEAR($C$6))*12+MONTH(D92)-MONTH($C$6))&amp;" meses "&amp;IF(D92&lt;$C$6,"antes","después")))))</f>
        <v/>
      </c>
      <c r="H92" s="26" t="str">
        <f aca="false">IFERROR(INDEX(Consolidado!$F$5:$F$1000,MATCH(79,Consolidado!$AC$5:$AC$1000,0))&amp;"","")</f>
        <v/>
      </c>
      <c r="I92" s="27" t="str">
        <f aca="false">IFERROR(INDEX(Consolidado!$G$5:$G$1000,MATCH(79,Consolidado!$AC$5:$AC$1000,0))&amp;"","")</f>
        <v/>
      </c>
      <c r="J92" s="24" t="str">
        <f aca="false">IFERROR(INDEX(Consolidado!$H$5:$H$1000,MATCH(79,Consolidado!$AC$5:$AC$1000,0))&amp;"","")</f>
        <v/>
      </c>
    </row>
    <row r="93" customFormat="false" ht="15" hidden="false" customHeight="true" outlineLevel="0" collapsed="false">
      <c r="A93" s="24" t="str">
        <f aca="false">IF(B93="","",80)</f>
        <v/>
      </c>
      <c r="B93" s="24" t="str">
        <f aca="false">IFERROR(INDEX(Consolidado!$A$5:$A$1000,MATCH(80,Consolidado!$AC$5:$AC$1000,0)),"")</f>
        <v/>
      </c>
      <c r="C93" s="24" t="str">
        <f aca="false">IFERROR(INDEX(Consolidado!$C$5:$C$1000,MATCH(80,Consolidado!$AC$5:$AC$1000,0))&amp;"","")</f>
        <v/>
      </c>
      <c r="D93" s="25" t="str">
        <f aca="false">IFERROR(INDEX(Consolidado!$B$5:$B$1000,MATCH(80,Consolidado!$AC$5:$AC$1000,0)),"")</f>
        <v/>
      </c>
      <c r="E93" s="24" t="str">
        <f aca="false">IF(OR(D93="",D93=0),"",CHOOSE(MONTH(D93),"Ene","Feb","Mar","Abr","May","Jun","Jul","Ago","Sep","Oct","Nov","Dic"))</f>
        <v/>
      </c>
      <c r="F93" s="24" t="str">
        <f aca="false">IF(OR(D93="",D93=0),"",YEAR(D93))</f>
        <v/>
      </c>
      <c r="G93" s="24" t="str">
        <f aca="false">IF(B93="","",IF(B93=$C$3,"◄ SELECCIONADO",IF(OR(D93="",D93=0,$C$6="",$C$6=0),"Sin fecha",IF(AND(YEAR(D93)=YEAR($C$6),MONTH(D93)=MONTH($C$6)),"MISMO MES",ABS((YEAR(D93)-YEAR($C$6))*12+MONTH(D93)-MONTH($C$6))&amp;" meses "&amp;IF(D93&lt;$C$6,"antes","después")))))</f>
        <v/>
      </c>
      <c r="H93" s="26" t="str">
        <f aca="false">IFERROR(INDEX(Consolidado!$F$5:$F$1000,MATCH(80,Consolidado!$AC$5:$AC$1000,0))&amp;"","")</f>
        <v/>
      </c>
      <c r="I93" s="27" t="str">
        <f aca="false">IFERROR(INDEX(Consolidado!$G$5:$G$1000,MATCH(80,Consolidado!$AC$5:$AC$1000,0))&amp;"","")</f>
        <v/>
      </c>
      <c r="J93" s="24" t="str">
        <f aca="false">IFERROR(INDEX(Consolidado!$H$5:$H$1000,MATCH(80,Consolidado!$AC$5:$AC$1000,0))&amp;"","")</f>
        <v/>
      </c>
    </row>
  </sheetData>
  <mergeCells count="14">
    <mergeCell ref="K3:M3"/>
    <mergeCell ref="C4:I4"/>
    <mergeCell ref="K4:L4"/>
    <mergeCell ref="C5:I5"/>
    <mergeCell ref="K5:L5"/>
    <mergeCell ref="C6:I6"/>
    <mergeCell ref="K6:L6"/>
    <mergeCell ref="C7:I7"/>
    <mergeCell ref="K7:L7"/>
    <mergeCell ref="C8:I8"/>
    <mergeCell ref="K8:L8"/>
    <mergeCell ref="K9:L9"/>
    <mergeCell ref="K10:L10"/>
    <mergeCell ref="K11:L11"/>
  </mergeCells>
  <conditionalFormatting sqref="M11">
    <cfRule type="expression" priority="2" aboveAverage="0" equalAverage="0" bottom="0" percent="0" rank="0" text="" dxfId="27">
      <formula>AND(ISNUMBER(M11),M11&gt;0)</formula>
    </cfRule>
  </conditionalFormatting>
  <conditionalFormatting sqref="A14:J93">
    <cfRule type="expression" priority="3" aboveAverage="0" equalAverage="0" bottom="0" percent="0" rank="0" text="" dxfId="27">
      <formula>$G14="MISMO MES"</formula>
    </cfRule>
    <cfRule type="expression" priority="4" aboveAverage="0" equalAverage="0" bottom="0" percent="0" rank="0" text="" dxfId="28">
      <formula>$G14="◄ SELECCIONADO"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28" t="s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4" topLeftCell="G5" activePane="bottomRight" state="frozen"/>
      <selection pane="topLeft" activeCell="A1" activeCellId="0" sqref="A1"/>
      <selection pane="topRight" activeCell="G1" activeCellId="0" sqref="G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2"/>
    <col collapsed="false" customWidth="true" hidden="false" outlineLevel="0" max="3" min="3" style="1" width="17"/>
    <col collapsed="false" customWidth="true" hidden="false" outlineLevel="0" max="4" min="4" style="1" width="15"/>
    <col collapsed="false" customWidth="true" hidden="false" outlineLevel="0" max="5" min="5" style="1" width="30"/>
    <col collapsed="false" customWidth="true" hidden="false" outlineLevel="0" max="6" min="6" style="1" width="60"/>
    <col collapsed="false" customWidth="true" hidden="false" outlineLevel="0" max="7" min="7" style="1" width="14"/>
    <col collapsed="false" customWidth="true" hidden="false" outlineLevel="0" max="8" min="8" style="1" width="11"/>
    <col collapsed="false" customWidth="true" hidden="false" outlineLevel="0" max="9" min="9" style="1" width="7"/>
    <col collapsed="false" customWidth="true" hidden="false" outlineLevel="0" max="21" min="10" style="1" width="5"/>
    <col collapsed="false" customWidth="true" hidden="false" outlineLevel="0" max="22" min="22" style="1" width="9"/>
    <col collapsed="false" customWidth="true" hidden="false" outlineLevel="0" max="23" min="23" style="1" width="20"/>
    <col collapsed="false" customWidth="true" hidden="false" outlineLevel="0" max="24" min="24" style="1" width="13"/>
    <col collapsed="false" customWidth="true" hidden="false" outlineLevel="0" max="25" min="25" style="1" width="22"/>
    <col collapsed="false" customWidth="true" hidden="false" outlineLevel="0" max="26" min="26" style="1" width="9"/>
    <col collapsed="false" customWidth="true" hidden="false" outlineLevel="0" max="27" min="27" style="1" width="40"/>
    <col collapsed="false" customWidth="true" hidden="false" outlineLevel="0" max="29" min="28" style="1" width="8"/>
    <col collapsed="false" customWidth="true" hidden="false" outlineLevel="0" max="30" min="30" style="1" width="10"/>
    <col collapsed="false" customWidth="true" hidden="false" outlineLevel="0" max="31" min="31" style="1" width="8"/>
  </cols>
  <sheetData>
    <row r="1" customFormat="false" ht="17.25" hidden="false" customHeight="true" outlineLevel="0" collapsed="false">
      <c r="A1" s="2" t="s">
        <v>56</v>
      </c>
    </row>
    <row r="2" customFormat="false" ht="30" hidden="false" customHeight="true" outlineLevel="0" collapsed="false">
      <c r="A2" s="29" t="s">
        <v>57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</row>
    <row r="4" customFormat="false" ht="42" hidden="false" customHeight="true" outlineLevel="0" collapsed="false">
      <c r="A4" s="6" t="s">
        <v>4</v>
      </c>
      <c r="B4" s="6" t="s">
        <v>58</v>
      </c>
      <c r="C4" s="6" t="s">
        <v>42</v>
      </c>
      <c r="D4" s="6" t="s">
        <v>6</v>
      </c>
      <c r="E4" s="6" t="s">
        <v>59</v>
      </c>
      <c r="F4" s="6" t="s">
        <v>5</v>
      </c>
      <c r="G4" s="6" t="s">
        <v>53</v>
      </c>
      <c r="H4" s="6" t="s">
        <v>54</v>
      </c>
      <c r="I4" s="6" t="s">
        <v>51</v>
      </c>
      <c r="J4" s="6" t="s">
        <v>18</v>
      </c>
      <c r="K4" s="6" t="s">
        <v>19</v>
      </c>
      <c r="L4" s="6" t="s">
        <v>20</v>
      </c>
      <c r="M4" s="6" t="s">
        <v>21</v>
      </c>
      <c r="N4" s="6" t="s">
        <v>22</v>
      </c>
      <c r="O4" s="6" t="s">
        <v>23</v>
      </c>
      <c r="P4" s="6" t="s">
        <v>24</v>
      </c>
      <c r="Q4" s="6" t="s">
        <v>25</v>
      </c>
      <c r="R4" s="6" t="s">
        <v>26</v>
      </c>
      <c r="S4" s="6" t="s">
        <v>27</v>
      </c>
      <c r="T4" s="6" t="s">
        <v>28</v>
      </c>
      <c r="U4" s="6" t="s">
        <v>29</v>
      </c>
      <c r="V4" s="6" t="s">
        <v>60</v>
      </c>
      <c r="W4" s="6" t="s">
        <v>61</v>
      </c>
      <c r="X4" s="6" t="s">
        <v>62</v>
      </c>
      <c r="Y4" s="6" t="s">
        <v>63</v>
      </c>
      <c r="Z4" s="6" t="s">
        <v>64</v>
      </c>
      <c r="AA4" s="6" t="s">
        <v>65</v>
      </c>
      <c r="AB4" s="6" t="s">
        <v>66</v>
      </c>
      <c r="AC4" s="6" t="s">
        <v>67</v>
      </c>
      <c r="AD4" s="6" t="s">
        <v>68</v>
      </c>
      <c r="AE4" s="6" t="s">
        <v>69</v>
      </c>
    </row>
    <row r="5" customFormat="false" ht="45" hidden="false" customHeight="true" outlineLevel="0" collapsed="false">
      <c r="A5" s="8" t="n">
        <v>1</v>
      </c>
      <c r="B5" s="30" t="n">
        <v>45408</v>
      </c>
      <c r="C5" s="31" t="s">
        <v>9</v>
      </c>
      <c r="D5" s="31" t="s">
        <v>70</v>
      </c>
      <c r="E5" s="32" t="s">
        <v>71</v>
      </c>
      <c r="F5" s="32" t="s">
        <v>72</v>
      </c>
      <c r="G5" s="33"/>
      <c r="H5" s="31"/>
      <c r="I5" s="24" t="n">
        <f aca="false">IF(B5="","",YEAR(B5))</f>
        <v>2024</v>
      </c>
      <c r="J5" s="34" t="str">
        <f aca="false">IF(B5="","",IF(MONTH(B5)=1,"X",""))</f>
        <v/>
      </c>
      <c r="K5" s="34" t="str">
        <f aca="false">IF(B5="","",IF(MONTH(B5)=2,"X",""))</f>
        <v/>
      </c>
      <c r="L5" s="34" t="str">
        <f aca="false">IF(B5="","",IF(MONTH(B5)=3,"X",""))</f>
        <v/>
      </c>
      <c r="M5" s="34" t="str">
        <f aca="false">IF(B5="","",IF(MONTH(B5)=4,"X",""))</f>
        <v>X</v>
      </c>
      <c r="N5" s="34" t="str">
        <f aca="false">IF(B5="","",IF(MONTH(B5)=5,"X",""))</f>
        <v/>
      </c>
      <c r="O5" s="34" t="str">
        <f aca="false">IF(B5="","",IF(MONTH(B5)=6,"X",""))</f>
        <v/>
      </c>
      <c r="P5" s="34" t="str">
        <f aca="false">IF(B5="","",IF(MONTH(B5)=7,"X",""))</f>
        <v/>
      </c>
      <c r="Q5" s="34" t="str">
        <f aca="false">IF(B5="","",IF(MONTH(B5)=8,"X",""))</f>
        <v/>
      </c>
      <c r="R5" s="34" t="str">
        <f aca="false">IF(B5="","",IF(MONTH(B5)=9,"X",""))</f>
        <v/>
      </c>
      <c r="S5" s="34" t="str">
        <f aca="false">IF(B5="","",IF(MONTH(B5)=10,"X",""))</f>
        <v/>
      </c>
      <c r="T5" s="34" t="str">
        <f aca="false">IF(B5="","",IF(MONTH(B5)=11,"X",""))</f>
        <v/>
      </c>
      <c r="U5" s="34" t="str">
        <f aca="false">IF(B5="","",IF(MONTH(B5)=12,"X",""))</f>
        <v/>
      </c>
      <c r="V5" s="24" t="n">
        <f aca="false">IF(E5="","",COUNTIF($E$5:$E$1000,E5))</f>
        <v>2</v>
      </c>
      <c r="W5" s="35" t="str">
        <f aca="false">IF(E5="","",_xlfn.TEXTJOIN(" + ",TRUE(),IF(COUNTIFS($E$5:$E$1000,E5,$C$5:$C$1000,"Auditoría Interna")&gt;0,"Interna",""),IF(COUNTIFS($E$5:$E$1000,E5,$C$5:$C$1000,"Auditoría Externa")&gt;0,"Externa",""),IF(COUNTIFS($E$5:$E$1000,E5,$C$5:$C$1000,"SSF")&gt;0,"SSF",""),IF(COUNTIFS($E$5:$E$1000,E5,$C$5:$C$1000,"Comité de Supervisión")&gt;0,"Comité Sup.",""),IF(COUNTIFS($E$5:$E$1000,E5,$C$5:$C$1000,"Consejo de Administración")&gt;0,"Consejo",""),IF(COUNTIFS($E$5:$E$1000,E5,$C$5:$C$1000,"Otros")&gt;0,"Otros","")))</f>
        <v>SSF</v>
      </c>
      <c r="X5" s="24" t="n">
        <f aca="false">IF(E5="","",COUNTIFS($E$5:$E$1000,E5,$AB$5:$AB$1000,AB5,$C$5:$C$1000,"&lt;&gt;"&amp;C5))</f>
        <v>0</v>
      </c>
      <c r="Y5" s="20" t="s">
        <v>73</v>
      </c>
      <c r="Z5" s="8" t="n">
        <v>1</v>
      </c>
      <c r="AA5" s="36" t="s">
        <v>74</v>
      </c>
      <c r="AB5" s="37" t="n">
        <f aca="false">IF(B5="","",YEAR(B5)*100+MONTH(B5))</f>
        <v>202404</v>
      </c>
      <c r="AC5" s="37" t="str">
        <f aca="false">IF(AND(E5&lt;&gt;"",E5=Cruce!$C$5),COUNTIF($E$5:E5,E5),"")</f>
        <v/>
      </c>
      <c r="AD5" s="37" t="str">
        <f aca="false">IF(E5="","",C5&amp;"|"&amp;Y5&amp;"|"&amp;IF(B5="","s/f",TEXT(B5,"yyyymmdd")))</f>
        <v>SSF|Resumen visita presencialSSF|20240426</v>
      </c>
      <c r="AE5" s="37" t="n">
        <f aca="false">IF(E5="",0,IF(COUNTIFS($E$5:E5,E5,$AD$5:AD5,AD5)=1,1,0))</f>
        <v>1</v>
      </c>
    </row>
    <row r="6" customFormat="false" ht="45" hidden="false" customHeight="true" outlineLevel="0" collapsed="false">
      <c r="A6" s="8" t="n">
        <v>2</v>
      </c>
      <c r="B6" s="30" t="n">
        <v>45674</v>
      </c>
      <c r="C6" s="31" t="s">
        <v>9</v>
      </c>
      <c r="D6" s="31" t="s">
        <v>75</v>
      </c>
      <c r="E6" s="32" t="s">
        <v>76</v>
      </c>
      <c r="F6" s="32" t="s">
        <v>77</v>
      </c>
      <c r="G6" s="33"/>
      <c r="H6" s="31"/>
      <c r="I6" s="24" t="n">
        <f aca="false">IF(B6="","",YEAR(B6))</f>
        <v>2025</v>
      </c>
      <c r="J6" s="34" t="str">
        <f aca="false">IF(B6="","",IF(MONTH(B6)=1,"X",""))</f>
        <v>X</v>
      </c>
      <c r="K6" s="34" t="str">
        <f aca="false">IF(B6="","",IF(MONTH(B6)=2,"X",""))</f>
        <v/>
      </c>
      <c r="L6" s="34" t="str">
        <f aca="false">IF(B6="","",IF(MONTH(B6)=3,"X",""))</f>
        <v/>
      </c>
      <c r="M6" s="34" t="str">
        <f aca="false">IF(B6="","",IF(MONTH(B6)=4,"X",""))</f>
        <v/>
      </c>
      <c r="N6" s="34" t="str">
        <f aca="false">IF(B6="","",IF(MONTH(B6)=5,"X",""))</f>
        <v/>
      </c>
      <c r="O6" s="34" t="str">
        <f aca="false">IF(B6="","",IF(MONTH(B6)=6,"X",""))</f>
        <v/>
      </c>
      <c r="P6" s="34" t="str">
        <f aca="false">IF(B6="","",IF(MONTH(B6)=7,"X",""))</f>
        <v/>
      </c>
      <c r="Q6" s="34" t="str">
        <f aca="false">IF(B6="","",IF(MONTH(B6)=8,"X",""))</f>
        <v/>
      </c>
      <c r="R6" s="34" t="str">
        <f aca="false">IF(B6="","",IF(MONTH(B6)=9,"X",""))</f>
        <v/>
      </c>
      <c r="S6" s="34" t="str">
        <f aca="false">IF(B6="","",IF(MONTH(B6)=10,"X",""))</f>
        <v/>
      </c>
      <c r="T6" s="34" t="str">
        <f aca="false">IF(B6="","",IF(MONTH(B6)=11,"X",""))</f>
        <v/>
      </c>
      <c r="U6" s="34" t="str">
        <f aca="false">IF(B6="","",IF(MONTH(B6)=12,"X",""))</f>
        <v/>
      </c>
      <c r="V6" s="24" t="n">
        <f aca="false">IF(E6="","",COUNTIF($E$5:$E$1000,E6))</f>
        <v>6</v>
      </c>
      <c r="W6" s="35" t="str">
        <f aca="false">IF(E6="","",_xlfn.TEXTJOIN(" + ",TRUE(),IF(COUNTIFS($E$5:$E$1000,E6,$C$5:$C$1000,"Auditoría Interna")&gt;0,"Interna",""),IF(COUNTIFS($E$5:$E$1000,E6,$C$5:$C$1000,"Auditoría Externa")&gt;0,"Externa",""),IF(COUNTIFS($E$5:$E$1000,E6,$C$5:$C$1000,"SSF")&gt;0,"SSF",""),IF(COUNTIFS($E$5:$E$1000,E6,$C$5:$C$1000,"Comité de Supervisión")&gt;0,"Comité Sup.",""),IF(COUNTIFS($E$5:$E$1000,E6,$C$5:$C$1000,"Consejo de Administración")&gt;0,"Consejo",""),IF(COUNTIFS($E$5:$E$1000,E6,$C$5:$C$1000,"Otros")&gt;0,"Otros","")))</f>
        <v>Interna + Externa + SSF</v>
      </c>
      <c r="X6" s="24" t="n">
        <f aca="false">IF(E6="","",COUNTIFS($E$5:$E$1000,E6,$AB$5:$AB$1000,AB6,$C$5:$C$1000,"&lt;&gt;"&amp;C6))</f>
        <v>0</v>
      </c>
      <c r="Y6" s="20" t="s">
        <v>73</v>
      </c>
      <c r="Z6" s="8" t="n">
        <v>1</v>
      </c>
      <c r="AA6" s="36" t="s">
        <v>78</v>
      </c>
      <c r="AB6" s="37" t="n">
        <f aca="false">IF(B6="","",YEAR(B6)*100+MONTH(B6))</f>
        <v>202501</v>
      </c>
      <c r="AC6" s="37" t="str">
        <f aca="false">IF(AND(E6&lt;&gt;"",E6=Cruce!$C$5),COUNTIF($E$5:E6,E6),"")</f>
        <v/>
      </c>
      <c r="AD6" s="37" t="str">
        <f aca="false">IF(E6="","",C6&amp;"|"&amp;Y6&amp;"|"&amp;IF(B6="","s/f",TEXT(B6,"yyyymmdd")))</f>
        <v>SSF|Resumen visita presencialSSF|20250117</v>
      </c>
      <c r="AE6" s="37" t="n">
        <f aca="false">IF(E6="",0,IF(COUNTIFS($E$5:E6,E6,$AD$5:AD6,AD6)=1,1,0))</f>
        <v>1</v>
      </c>
    </row>
    <row r="7" customFormat="false" ht="45" hidden="false" customHeight="true" outlineLevel="0" collapsed="false">
      <c r="A7" s="8" t="n">
        <v>3</v>
      </c>
      <c r="B7" s="30" t="n">
        <v>45699</v>
      </c>
      <c r="C7" s="31" t="s">
        <v>9</v>
      </c>
      <c r="D7" s="31" t="s">
        <v>79</v>
      </c>
      <c r="E7" s="32" t="s">
        <v>80</v>
      </c>
      <c r="F7" s="32" t="s">
        <v>81</v>
      </c>
      <c r="G7" s="33"/>
      <c r="H7" s="31"/>
      <c r="I7" s="24" t="n">
        <f aca="false">IF(B7="","",YEAR(B7))</f>
        <v>2025</v>
      </c>
      <c r="J7" s="34" t="str">
        <f aca="false">IF(B7="","",IF(MONTH(B7)=1,"X",""))</f>
        <v/>
      </c>
      <c r="K7" s="34" t="str">
        <f aca="false">IF(B7="","",IF(MONTH(B7)=2,"X",""))</f>
        <v>X</v>
      </c>
      <c r="L7" s="34" t="str">
        <f aca="false">IF(B7="","",IF(MONTH(B7)=3,"X",""))</f>
        <v/>
      </c>
      <c r="M7" s="34" t="str">
        <f aca="false">IF(B7="","",IF(MONTH(B7)=4,"X",""))</f>
        <v/>
      </c>
      <c r="N7" s="34" t="str">
        <f aca="false">IF(B7="","",IF(MONTH(B7)=5,"X",""))</f>
        <v/>
      </c>
      <c r="O7" s="34" t="str">
        <f aca="false">IF(B7="","",IF(MONTH(B7)=6,"X",""))</f>
        <v/>
      </c>
      <c r="P7" s="34" t="str">
        <f aca="false">IF(B7="","",IF(MONTH(B7)=7,"X",""))</f>
        <v/>
      </c>
      <c r="Q7" s="34" t="str">
        <f aca="false">IF(B7="","",IF(MONTH(B7)=8,"X",""))</f>
        <v/>
      </c>
      <c r="R7" s="34" t="str">
        <f aca="false">IF(B7="","",IF(MONTH(B7)=9,"X",""))</f>
        <v/>
      </c>
      <c r="S7" s="34" t="str">
        <f aca="false">IF(B7="","",IF(MONTH(B7)=10,"X",""))</f>
        <v/>
      </c>
      <c r="T7" s="34" t="str">
        <f aca="false">IF(B7="","",IF(MONTH(B7)=11,"X",""))</f>
        <v/>
      </c>
      <c r="U7" s="34" t="str">
        <f aca="false">IF(B7="","",IF(MONTH(B7)=12,"X",""))</f>
        <v/>
      </c>
      <c r="V7" s="24" t="n">
        <f aca="false">IF(E7="","",COUNTIF($E$5:$E$1000,E7))</f>
        <v>1</v>
      </c>
      <c r="W7" s="35" t="str">
        <f aca="false">IF(E7="","",_xlfn.TEXTJOIN(" + ",TRUE(),IF(COUNTIFS($E$5:$E$1000,E7,$C$5:$C$1000,"Auditoría Interna")&gt;0,"Interna",""),IF(COUNTIFS($E$5:$E$1000,E7,$C$5:$C$1000,"Auditoría Externa")&gt;0,"Externa",""),IF(COUNTIFS($E$5:$E$1000,E7,$C$5:$C$1000,"SSF")&gt;0,"SSF",""),IF(COUNTIFS($E$5:$E$1000,E7,$C$5:$C$1000,"Comité de Supervisión")&gt;0,"Comité Sup.",""),IF(COUNTIFS($E$5:$E$1000,E7,$C$5:$C$1000,"Consejo de Administración")&gt;0,"Consejo",""),IF(COUNTIFS($E$5:$E$1000,E7,$C$5:$C$1000,"Otros")&gt;0,"Otros","")))</f>
        <v>SSF</v>
      </c>
      <c r="X7" s="24" t="n">
        <f aca="false">IF(E7="","",COUNTIFS($E$5:$E$1000,E7,$AB$5:$AB$1000,AB7,$C$5:$C$1000,"&lt;&gt;"&amp;C7))</f>
        <v>0</v>
      </c>
      <c r="Y7" s="20" t="s">
        <v>73</v>
      </c>
      <c r="Z7" s="8" t="n">
        <v>2</v>
      </c>
      <c r="AA7" s="36" t="s">
        <v>82</v>
      </c>
      <c r="AB7" s="37" t="n">
        <f aca="false">IF(B7="","",YEAR(B7)*100+MONTH(B7))</f>
        <v>202502</v>
      </c>
      <c r="AC7" s="37" t="str">
        <f aca="false">IF(AND(E7&lt;&gt;"",E7=Cruce!$C$5),COUNTIF($E$5:E7,E7),"")</f>
        <v/>
      </c>
      <c r="AD7" s="37" t="str">
        <f aca="false">IF(E7="","",C7&amp;"|"&amp;Y7&amp;"|"&amp;IF(B7="","s/f",TEXT(B7,"yyyymmdd")))</f>
        <v>SSF|Resumen visita presencialSSF|20250211</v>
      </c>
      <c r="AE7" s="37" t="n">
        <f aca="false">IF(E7="",0,IF(COUNTIFS($E$5:E7,E7,$AD$5:AD7,AD7)=1,1,0))</f>
        <v>1</v>
      </c>
    </row>
    <row r="8" customFormat="false" ht="45" hidden="false" customHeight="true" outlineLevel="0" collapsed="false">
      <c r="A8" s="8" t="n">
        <v>4</v>
      </c>
      <c r="B8" s="30" t="n">
        <v>45734</v>
      </c>
      <c r="C8" s="31" t="s">
        <v>9</v>
      </c>
      <c r="D8" s="31" t="s">
        <v>83</v>
      </c>
      <c r="E8" s="32" t="s">
        <v>84</v>
      </c>
      <c r="F8" s="32" t="s">
        <v>85</v>
      </c>
      <c r="G8" s="33"/>
      <c r="H8" s="31"/>
      <c r="I8" s="24" t="n">
        <f aca="false">IF(B8="","",YEAR(B8))</f>
        <v>2025</v>
      </c>
      <c r="J8" s="34" t="str">
        <f aca="false">IF(B8="","",IF(MONTH(B8)=1,"X",""))</f>
        <v/>
      </c>
      <c r="K8" s="34" t="str">
        <f aca="false">IF(B8="","",IF(MONTH(B8)=2,"X",""))</f>
        <v/>
      </c>
      <c r="L8" s="34" t="str">
        <f aca="false">IF(B8="","",IF(MONTH(B8)=3,"X",""))</f>
        <v>X</v>
      </c>
      <c r="M8" s="34" t="str">
        <f aca="false">IF(B8="","",IF(MONTH(B8)=4,"X",""))</f>
        <v/>
      </c>
      <c r="N8" s="34" t="str">
        <f aca="false">IF(B8="","",IF(MONTH(B8)=5,"X",""))</f>
        <v/>
      </c>
      <c r="O8" s="34" t="str">
        <f aca="false">IF(B8="","",IF(MONTH(B8)=6,"X",""))</f>
        <v/>
      </c>
      <c r="P8" s="34" t="str">
        <f aca="false">IF(B8="","",IF(MONTH(B8)=7,"X",""))</f>
        <v/>
      </c>
      <c r="Q8" s="34" t="str">
        <f aca="false">IF(B8="","",IF(MONTH(B8)=8,"X",""))</f>
        <v/>
      </c>
      <c r="R8" s="34" t="str">
        <f aca="false">IF(B8="","",IF(MONTH(B8)=9,"X",""))</f>
        <v/>
      </c>
      <c r="S8" s="34" t="str">
        <f aca="false">IF(B8="","",IF(MONTH(B8)=10,"X",""))</f>
        <v/>
      </c>
      <c r="T8" s="34" t="str">
        <f aca="false">IF(B8="","",IF(MONTH(B8)=11,"X",""))</f>
        <v/>
      </c>
      <c r="U8" s="34" t="str">
        <f aca="false">IF(B8="","",IF(MONTH(B8)=12,"X",""))</f>
        <v/>
      </c>
      <c r="V8" s="24" t="n">
        <f aca="false">IF(E8="","",COUNTIF($E$5:$E$1000,E8))</f>
        <v>4</v>
      </c>
      <c r="W8" s="35" t="str">
        <f aca="false">IF(E8="","",_xlfn.TEXTJOIN(" + ",TRUE(),IF(COUNTIFS($E$5:$E$1000,E8,$C$5:$C$1000,"Auditoría Interna")&gt;0,"Interna",""),IF(COUNTIFS($E$5:$E$1000,E8,$C$5:$C$1000,"Auditoría Externa")&gt;0,"Externa",""),IF(COUNTIFS($E$5:$E$1000,E8,$C$5:$C$1000,"SSF")&gt;0,"SSF",""),IF(COUNTIFS($E$5:$E$1000,E8,$C$5:$C$1000,"Comité de Supervisión")&gt;0,"Comité Sup.",""),IF(COUNTIFS($E$5:$E$1000,E8,$C$5:$C$1000,"Consejo de Administración")&gt;0,"Consejo",""),IF(COUNTIFS($E$5:$E$1000,E8,$C$5:$C$1000,"Otros")&gt;0,"Otros","")))</f>
        <v>SSF</v>
      </c>
      <c r="X8" s="24" t="n">
        <f aca="false">IF(E8="","",COUNTIFS($E$5:$E$1000,E8,$AB$5:$AB$1000,AB8,$C$5:$C$1000,"&lt;&gt;"&amp;C8))</f>
        <v>0</v>
      </c>
      <c r="Y8" s="20" t="s">
        <v>73</v>
      </c>
      <c r="Z8" s="8" t="n">
        <v>3</v>
      </c>
      <c r="AA8" s="36" t="s">
        <v>86</v>
      </c>
      <c r="AB8" s="37" t="n">
        <f aca="false">IF(B8="","",YEAR(B8)*100+MONTH(B8))</f>
        <v>202503</v>
      </c>
      <c r="AC8" s="37" t="str">
        <f aca="false">IF(AND(E8&lt;&gt;"",E8=Cruce!$C$5),COUNTIF($E$5:E8,E8),"")</f>
        <v/>
      </c>
      <c r="AD8" s="37" t="str">
        <f aca="false">IF(E8="","",C8&amp;"|"&amp;Y8&amp;"|"&amp;IF(B8="","s/f",TEXT(B8,"yyyymmdd")))</f>
        <v>SSF|Resumen visita presencialSSF|20250318</v>
      </c>
      <c r="AE8" s="37" t="n">
        <f aca="false">IF(E8="",0,IF(COUNTIFS($E$5:E8,E8,$AD$5:AD8,AD8)=1,1,0))</f>
        <v>1</v>
      </c>
    </row>
    <row r="9" customFormat="false" ht="45" hidden="false" customHeight="true" outlineLevel="0" collapsed="false">
      <c r="A9" s="8" t="n">
        <v>5</v>
      </c>
      <c r="B9" s="30" t="n">
        <v>45749</v>
      </c>
      <c r="C9" s="31" t="s">
        <v>9</v>
      </c>
      <c r="D9" s="31" t="s">
        <v>87</v>
      </c>
      <c r="E9" s="32" t="s">
        <v>88</v>
      </c>
      <c r="F9" s="32" t="s">
        <v>89</v>
      </c>
      <c r="G9" s="33"/>
      <c r="H9" s="31"/>
      <c r="I9" s="24" t="n">
        <f aca="false">IF(B9="","",YEAR(B9))</f>
        <v>2025</v>
      </c>
      <c r="J9" s="34" t="str">
        <f aca="false">IF(B9="","",IF(MONTH(B9)=1,"X",""))</f>
        <v/>
      </c>
      <c r="K9" s="34" t="str">
        <f aca="false">IF(B9="","",IF(MONTH(B9)=2,"X",""))</f>
        <v/>
      </c>
      <c r="L9" s="34" t="str">
        <f aca="false">IF(B9="","",IF(MONTH(B9)=3,"X",""))</f>
        <v/>
      </c>
      <c r="M9" s="34" t="str">
        <f aca="false">IF(B9="","",IF(MONTH(B9)=4,"X",""))</f>
        <v>X</v>
      </c>
      <c r="N9" s="34" t="str">
        <f aca="false">IF(B9="","",IF(MONTH(B9)=5,"X",""))</f>
        <v/>
      </c>
      <c r="O9" s="34" t="str">
        <f aca="false">IF(B9="","",IF(MONTH(B9)=6,"X",""))</f>
        <v/>
      </c>
      <c r="P9" s="34" t="str">
        <f aca="false">IF(B9="","",IF(MONTH(B9)=7,"X",""))</f>
        <v/>
      </c>
      <c r="Q9" s="34" t="str">
        <f aca="false">IF(B9="","",IF(MONTH(B9)=8,"X",""))</f>
        <v/>
      </c>
      <c r="R9" s="34" t="str">
        <f aca="false">IF(B9="","",IF(MONTH(B9)=9,"X",""))</f>
        <v/>
      </c>
      <c r="S9" s="34" t="str">
        <f aca="false">IF(B9="","",IF(MONTH(B9)=10,"X",""))</f>
        <v/>
      </c>
      <c r="T9" s="34" t="str">
        <f aca="false">IF(B9="","",IF(MONTH(B9)=11,"X",""))</f>
        <v/>
      </c>
      <c r="U9" s="34" t="str">
        <f aca="false">IF(B9="","",IF(MONTH(B9)=12,"X",""))</f>
        <v/>
      </c>
      <c r="V9" s="24" t="n">
        <f aca="false">IF(E9="","",COUNTIF($E$5:$E$1000,E9))</f>
        <v>2</v>
      </c>
      <c r="W9" s="35" t="str">
        <f aca="false">IF(E9="","",_xlfn.TEXTJOIN(" + ",TRUE(),IF(COUNTIFS($E$5:$E$1000,E9,$C$5:$C$1000,"Auditoría Interna")&gt;0,"Interna",""),IF(COUNTIFS($E$5:$E$1000,E9,$C$5:$C$1000,"Auditoría Externa")&gt;0,"Externa",""),IF(COUNTIFS($E$5:$E$1000,E9,$C$5:$C$1000,"SSF")&gt;0,"SSF",""),IF(COUNTIFS($E$5:$E$1000,E9,$C$5:$C$1000,"Comité de Supervisión")&gt;0,"Comité Sup.",""),IF(COUNTIFS($E$5:$E$1000,E9,$C$5:$C$1000,"Consejo de Administración")&gt;0,"Consejo",""),IF(COUNTIFS($E$5:$E$1000,E9,$C$5:$C$1000,"Otros")&gt;0,"Otros","")))</f>
        <v>Interna + SSF</v>
      </c>
      <c r="X9" s="24" t="n">
        <f aca="false">IF(E9="","",COUNTIFS($E$5:$E$1000,E9,$AB$5:$AB$1000,AB9,$C$5:$C$1000,"&lt;&gt;"&amp;C9))</f>
        <v>0</v>
      </c>
      <c r="Y9" s="20" t="s">
        <v>73</v>
      </c>
      <c r="Z9" s="8" t="n">
        <v>4</v>
      </c>
      <c r="AA9" s="36" t="s">
        <v>90</v>
      </c>
      <c r="AB9" s="37" t="n">
        <f aca="false">IF(B9="","",YEAR(B9)*100+MONTH(B9))</f>
        <v>202504</v>
      </c>
      <c r="AC9" s="37" t="str">
        <f aca="false">IF(AND(E9&lt;&gt;"",E9=Cruce!$C$5),COUNTIF($E$5:E9,E9),"")</f>
        <v/>
      </c>
      <c r="AD9" s="37" t="str">
        <f aca="false">IF(E9="","",C9&amp;"|"&amp;Y9&amp;"|"&amp;IF(B9="","s/f",TEXT(B9,"yyyymmdd")))</f>
        <v>SSF|Resumen visita presencialSSF|20250402</v>
      </c>
      <c r="AE9" s="37" t="n">
        <f aca="false">IF(E9="",0,IF(COUNTIFS($E$5:E9,E9,$AD$5:AD9,AD9)=1,1,0))</f>
        <v>1</v>
      </c>
    </row>
    <row r="10" customFormat="false" ht="45" hidden="false" customHeight="true" outlineLevel="0" collapsed="false">
      <c r="A10" s="8" t="n">
        <v>6</v>
      </c>
      <c r="B10" s="30" t="n">
        <v>45754</v>
      </c>
      <c r="C10" s="31" t="s">
        <v>9</v>
      </c>
      <c r="D10" s="31" t="s">
        <v>91</v>
      </c>
      <c r="E10" s="32" t="s">
        <v>92</v>
      </c>
      <c r="F10" s="32" t="s">
        <v>93</v>
      </c>
      <c r="G10" s="33"/>
      <c r="H10" s="31"/>
      <c r="I10" s="24" t="n">
        <f aca="false">IF(B10="","",YEAR(B10))</f>
        <v>2025</v>
      </c>
      <c r="J10" s="34" t="str">
        <f aca="false">IF(B10="","",IF(MONTH(B10)=1,"X",""))</f>
        <v/>
      </c>
      <c r="K10" s="34" t="str">
        <f aca="false">IF(B10="","",IF(MONTH(B10)=2,"X",""))</f>
        <v/>
      </c>
      <c r="L10" s="34" t="str">
        <f aca="false">IF(B10="","",IF(MONTH(B10)=3,"X",""))</f>
        <v/>
      </c>
      <c r="M10" s="34" t="str">
        <f aca="false">IF(B10="","",IF(MONTH(B10)=4,"X",""))</f>
        <v>X</v>
      </c>
      <c r="N10" s="34" t="str">
        <f aca="false">IF(B10="","",IF(MONTH(B10)=5,"X",""))</f>
        <v/>
      </c>
      <c r="O10" s="34" t="str">
        <f aca="false">IF(B10="","",IF(MONTH(B10)=6,"X",""))</f>
        <v/>
      </c>
      <c r="P10" s="34" t="str">
        <f aca="false">IF(B10="","",IF(MONTH(B10)=7,"X",""))</f>
        <v/>
      </c>
      <c r="Q10" s="34" t="str">
        <f aca="false">IF(B10="","",IF(MONTH(B10)=8,"X",""))</f>
        <v/>
      </c>
      <c r="R10" s="34" t="str">
        <f aca="false">IF(B10="","",IF(MONTH(B10)=9,"X",""))</f>
        <v/>
      </c>
      <c r="S10" s="34" t="str">
        <f aca="false">IF(B10="","",IF(MONTH(B10)=10,"X",""))</f>
        <v/>
      </c>
      <c r="T10" s="34" t="str">
        <f aca="false">IF(B10="","",IF(MONTH(B10)=11,"X",""))</f>
        <v/>
      </c>
      <c r="U10" s="34" t="str">
        <f aca="false">IF(B10="","",IF(MONTH(B10)=12,"X",""))</f>
        <v/>
      </c>
      <c r="V10" s="24" t="n">
        <f aca="false">IF(E10="","",COUNTIF($E$5:$E$1000,E10))</f>
        <v>3</v>
      </c>
      <c r="W10" s="35" t="str">
        <f aca="false">IF(E10="","",_xlfn.TEXTJOIN(" + ",TRUE(),IF(COUNTIFS($E$5:$E$1000,E10,$C$5:$C$1000,"Auditoría Interna")&gt;0,"Interna",""),IF(COUNTIFS($E$5:$E$1000,E10,$C$5:$C$1000,"Auditoría Externa")&gt;0,"Externa",""),IF(COUNTIFS($E$5:$E$1000,E10,$C$5:$C$1000,"SSF")&gt;0,"SSF",""),IF(COUNTIFS($E$5:$E$1000,E10,$C$5:$C$1000,"Comité de Supervisión")&gt;0,"Comité Sup.",""),IF(COUNTIFS($E$5:$E$1000,E10,$C$5:$C$1000,"Consejo de Administración")&gt;0,"Consejo",""),IF(COUNTIFS($E$5:$E$1000,E10,$C$5:$C$1000,"Otros")&gt;0,"Otros","")))</f>
        <v>Interna + SSF</v>
      </c>
      <c r="X10" s="24" t="n">
        <f aca="false">IF(E10="","",COUNTIFS($E$5:$E$1000,E10,$AB$5:$AB$1000,AB10,$C$5:$C$1000,"&lt;&gt;"&amp;C10))</f>
        <v>0</v>
      </c>
      <c r="Y10" s="20" t="s">
        <v>73</v>
      </c>
      <c r="Z10" s="8" t="n">
        <v>5</v>
      </c>
      <c r="AA10" s="36" t="s">
        <v>94</v>
      </c>
      <c r="AB10" s="37" t="n">
        <f aca="false">IF(B10="","",YEAR(B10)*100+MONTH(B10))</f>
        <v>202504</v>
      </c>
      <c r="AC10" s="37" t="str">
        <f aca="false">IF(AND(E10&lt;&gt;"",E10=Cruce!$C$5),COUNTIF($E$5:E10,E10),"")</f>
        <v/>
      </c>
      <c r="AD10" s="37" t="str">
        <f aca="false">IF(E10="","",C10&amp;"|"&amp;Y10&amp;"|"&amp;IF(B10="","s/f",TEXT(B10,"yyyymmdd")))</f>
        <v>SSF|Resumen visita presencialSSF|20250407</v>
      </c>
      <c r="AE10" s="37" t="n">
        <f aca="false">IF(E10="",0,IF(COUNTIFS($E$5:E10,E10,$AD$5:AD10,AD10)=1,1,0))</f>
        <v>1</v>
      </c>
    </row>
    <row r="11" customFormat="false" ht="45" hidden="false" customHeight="true" outlineLevel="0" collapsed="false">
      <c r="A11" s="8" t="n">
        <v>7</v>
      </c>
      <c r="B11" s="30" t="n">
        <v>45775</v>
      </c>
      <c r="C11" s="31" t="s">
        <v>9</v>
      </c>
      <c r="D11" s="31" t="s">
        <v>95</v>
      </c>
      <c r="E11" s="32" t="s">
        <v>96</v>
      </c>
      <c r="F11" s="32" t="s">
        <v>97</v>
      </c>
      <c r="G11" s="33"/>
      <c r="H11" s="31"/>
      <c r="I11" s="24" t="n">
        <f aca="false">IF(B11="","",YEAR(B11))</f>
        <v>2025</v>
      </c>
      <c r="J11" s="34" t="str">
        <f aca="false">IF(B11="","",IF(MONTH(B11)=1,"X",""))</f>
        <v/>
      </c>
      <c r="K11" s="34" t="str">
        <f aca="false">IF(B11="","",IF(MONTH(B11)=2,"X",""))</f>
        <v/>
      </c>
      <c r="L11" s="34" t="str">
        <f aca="false">IF(B11="","",IF(MONTH(B11)=3,"X",""))</f>
        <v/>
      </c>
      <c r="M11" s="34" t="str">
        <f aca="false">IF(B11="","",IF(MONTH(B11)=4,"X",""))</f>
        <v>X</v>
      </c>
      <c r="N11" s="34" t="str">
        <f aca="false">IF(B11="","",IF(MONTH(B11)=5,"X",""))</f>
        <v/>
      </c>
      <c r="O11" s="34" t="str">
        <f aca="false">IF(B11="","",IF(MONTH(B11)=6,"X",""))</f>
        <v/>
      </c>
      <c r="P11" s="34" t="str">
        <f aca="false">IF(B11="","",IF(MONTH(B11)=7,"X",""))</f>
        <v/>
      </c>
      <c r="Q11" s="34" t="str">
        <f aca="false">IF(B11="","",IF(MONTH(B11)=8,"X",""))</f>
        <v/>
      </c>
      <c r="R11" s="34" t="str">
        <f aca="false">IF(B11="","",IF(MONTH(B11)=9,"X",""))</f>
        <v/>
      </c>
      <c r="S11" s="34" t="str">
        <f aca="false">IF(B11="","",IF(MONTH(B11)=10,"X",""))</f>
        <v/>
      </c>
      <c r="T11" s="34" t="str">
        <f aca="false">IF(B11="","",IF(MONTH(B11)=11,"X",""))</f>
        <v/>
      </c>
      <c r="U11" s="34" t="str">
        <f aca="false">IF(B11="","",IF(MONTH(B11)=12,"X",""))</f>
        <v/>
      </c>
      <c r="V11" s="24" t="n">
        <f aca="false">IF(E11="","",COUNTIF($E$5:$E$1000,E11))</f>
        <v>2</v>
      </c>
      <c r="W11" s="35" t="str">
        <f aca="false">IF(E11="","",_xlfn.TEXTJOIN(" + ",TRUE(),IF(COUNTIFS($E$5:$E$1000,E11,$C$5:$C$1000,"Auditoría Interna")&gt;0,"Interna",""),IF(COUNTIFS($E$5:$E$1000,E11,$C$5:$C$1000,"Auditoría Externa")&gt;0,"Externa",""),IF(COUNTIFS($E$5:$E$1000,E11,$C$5:$C$1000,"SSF")&gt;0,"SSF",""),IF(COUNTIFS($E$5:$E$1000,E11,$C$5:$C$1000,"Comité de Supervisión")&gt;0,"Comité Sup.",""),IF(COUNTIFS($E$5:$E$1000,E11,$C$5:$C$1000,"Consejo de Administración")&gt;0,"Consejo",""),IF(COUNTIFS($E$5:$E$1000,E11,$C$5:$C$1000,"Otros")&gt;0,"Otros","")))</f>
        <v>SSF</v>
      </c>
      <c r="X11" s="24" t="n">
        <f aca="false">IF(E11="","",COUNTIFS($E$5:$E$1000,E11,$AB$5:$AB$1000,AB11,$C$5:$C$1000,"&lt;&gt;"&amp;C11))</f>
        <v>0</v>
      </c>
      <c r="Y11" s="20" t="s">
        <v>73</v>
      </c>
      <c r="Z11" s="8" t="n">
        <v>6</v>
      </c>
      <c r="AA11" s="36" t="s">
        <v>98</v>
      </c>
      <c r="AB11" s="37" t="n">
        <f aca="false">IF(B11="","",YEAR(B11)*100+MONTH(B11))</f>
        <v>202504</v>
      </c>
      <c r="AC11" s="37" t="str">
        <f aca="false">IF(AND(E11&lt;&gt;"",E11=Cruce!$C$5),COUNTIF($E$5:E11,E11),"")</f>
        <v/>
      </c>
      <c r="AD11" s="37" t="str">
        <f aca="false">IF(E11="","",C11&amp;"|"&amp;Y11&amp;"|"&amp;IF(B11="","s/f",TEXT(B11,"yyyymmdd")))</f>
        <v>SSF|Resumen visita presencialSSF|20250428</v>
      </c>
      <c r="AE11" s="37" t="n">
        <f aca="false">IF(E11="",0,IF(COUNTIFS($E$5:E11,E11,$AD$5:AD11,AD11)=1,1,0))</f>
        <v>1</v>
      </c>
    </row>
    <row r="12" customFormat="false" ht="45" hidden="false" customHeight="true" outlineLevel="0" collapsed="false">
      <c r="A12" s="8" t="n">
        <v>8</v>
      </c>
      <c r="B12" s="30" t="n">
        <v>45796</v>
      </c>
      <c r="C12" s="31" t="s">
        <v>9</v>
      </c>
      <c r="D12" s="31" t="s">
        <v>99</v>
      </c>
      <c r="E12" s="32" t="s">
        <v>100</v>
      </c>
      <c r="F12" s="32" t="s">
        <v>101</v>
      </c>
      <c r="G12" s="33"/>
      <c r="H12" s="31"/>
      <c r="I12" s="24" t="n">
        <f aca="false">IF(B12="","",YEAR(B12))</f>
        <v>2025</v>
      </c>
      <c r="J12" s="34" t="str">
        <f aca="false">IF(B12="","",IF(MONTH(B12)=1,"X",""))</f>
        <v/>
      </c>
      <c r="K12" s="34" t="str">
        <f aca="false">IF(B12="","",IF(MONTH(B12)=2,"X",""))</f>
        <v/>
      </c>
      <c r="L12" s="34" t="str">
        <f aca="false">IF(B12="","",IF(MONTH(B12)=3,"X",""))</f>
        <v/>
      </c>
      <c r="M12" s="34" t="str">
        <f aca="false">IF(B12="","",IF(MONTH(B12)=4,"X",""))</f>
        <v/>
      </c>
      <c r="N12" s="34" t="str">
        <f aca="false">IF(B12="","",IF(MONTH(B12)=5,"X",""))</f>
        <v>X</v>
      </c>
      <c r="O12" s="34" t="str">
        <f aca="false">IF(B12="","",IF(MONTH(B12)=6,"X",""))</f>
        <v/>
      </c>
      <c r="P12" s="34" t="str">
        <f aca="false">IF(B12="","",IF(MONTH(B12)=7,"X",""))</f>
        <v/>
      </c>
      <c r="Q12" s="34" t="str">
        <f aca="false">IF(B12="","",IF(MONTH(B12)=8,"X",""))</f>
        <v/>
      </c>
      <c r="R12" s="34" t="str">
        <f aca="false">IF(B12="","",IF(MONTH(B12)=9,"X",""))</f>
        <v/>
      </c>
      <c r="S12" s="34" t="str">
        <f aca="false">IF(B12="","",IF(MONTH(B12)=10,"X",""))</f>
        <v/>
      </c>
      <c r="T12" s="34" t="str">
        <f aca="false">IF(B12="","",IF(MONTH(B12)=11,"X",""))</f>
        <v/>
      </c>
      <c r="U12" s="34" t="str">
        <f aca="false">IF(B12="","",IF(MONTH(B12)=12,"X",""))</f>
        <v/>
      </c>
      <c r="V12" s="24" t="n">
        <f aca="false">IF(E12="","",COUNTIF($E$5:$E$1000,E12))</f>
        <v>8</v>
      </c>
      <c r="W12" s="35" t="str">
        <f aca="false">IF(E12="","",_xlfn.TEXTJOIN(" + ",TRUE(),IF(COUNTIFS($E$5:$E$1000,E12,$C$5:$C$1000,"Auditoría Interna")&gt;0,"Interna",""),IF(COUNTIFS($E$5:$E$1000,E12,$C$5:$C$1000,"Auditoría Externa")&gt;0,"Externa",""),IF(COUNTIFS($E$5:$E$1000,E12,$C$5:$C$1000,"SSF")&gt;0,"SSF",""),IF(COUNTIFS($E$5:$E$1000,E12,$C$5:$C$1000,"Comité de Supervisión")&gt;0,"Comité Sup.",""),IF(COUNTIFS($E$5:$E$1000,E12,$C$5:$C$1000,"Consejo de Administración")&gt;0,"Consejo",""),IF(COUNTIFS($E$5:$E$1000,E12,$C$5:$C$1000,"Otros")&gt;0,"Otros","")))</f>
        <v>Interna + SSF</v>
      </c>
      <c r="X12" s="24" t="n">
        <f aca="false">IF(E12="","",COUNTIFS($E$5:$E$1000,E12,$AB$5:$AB$1000,AB12,$C$5:$C$1000,"&lt;&gt;"&amp;C12))</f>
        <v>0</v>
      </c>
      <c r="Y12" s="20" t="s">
        <v>73</v>
      </c>
      <c r="Z12" s="8" t="n">
        <v>7</v>
      </c>
      <c r="AA12" s="36" t="s">
        <v>102</v>
      </c>
      <c r="AB12" s="37" t="n">
        <f aca="false">IF(B12="","",YEAR(B12)*100+MONTH(B12))</f>
        <v>202505</v>
      </c>
      <c r="AC12" s="37" t="n">
        <f aca="false">IF(AND(E12&lt;&gt;"",E12=Cruce!$C$5),COUNTIF($E$5:E12,E12),"")</f>
        <v>1</v>
      </c>
      <c r="AD12" s="37" t="str">
        <f aca="false">IF(E12="","",C12&amp;"|"&amp;Y12&amp;"|"&amp;IF(B12="","s/f",TEXT(B12,"yyyymmdd")))</f>
        <v>SSF|Resumen visita presencialSSF|20250519</v>
      </c>
      <c r="AE12" s="37" t="n">
        <f aca="false">IF(E12="",0,IF(COUNTIFS($E$5:E12,E12,$AD$5:AD12,AD12)=1,1,0))</f>
        <v>1</v>
      </c>
    </row>
    <row r="13" customFormat="false" ht="45" hidden="false" customHeight="true" outlineLevel="0" collapsed="false">
      <c r="A13" s="8" t="n">
        <v>9</v>
      </c>
      <c r="B13" s="30" t="n">
        <v>45807</v>
      </c>
      <c r="C13" s="31" t="s">
        <v>9</v>
      </c>
      <c r="D13" s="31" t="s">
        <v>103</v>
      </c>
      <c r="E13" s="32" t="s">
        <v>104</v>
      </c>
      <c r="F13" s="32" t="s">
        <v>105</v>
      </c>
      <c r="G13" s="33"/>
      <c r="H13" s="31"/>
      <c r="I13" s="24" t="n">
        <f aca="false">IF(B13="","",YEAR(B13))</f>
        <v>2025</v>
      </c>
      <c r="J13" s="34" t="str">
        <f aca="false">IF(B13="","",IF(MONTH(B13)=1,"X",""))</f>
        <v/>
      </c>
      <c r="K13" s="34" t="str">
        <f aca="false">IF(B13="","",IF(MONTH(B13)=2,"X",""))</f>
        <v/>
      </c>
      <c r="L13" s="34" t="str">
        <f aca="false">IF(B13="","",IF(MONTH(B13)=3,"X",""))</f>
        <v/>
      </c>
      <c r="M13" s="34" t="str">
        <f aca="false">IF(B13="","",IF(MONTH(B13)=4,"X",""))</f>
        <v/>
      </c>
      <c r="N13" s="34" t="str">
        <f aca="false">IF(B13="","",IF(MONTH(B13)=5,"X",""))</f>
        <v>X</v>
      </c>
      <c r="O13" s="34" t="str">
        <f aca="false">IF(B13="","",IF(MONTH(B13)=6,"X",""))</f>
        <v/>
      </c>
      <c r="P13" s="34" t="str">
        <f aca="false">IF(B13="","",IF(MONTH(B13)=7,"X",""))</f>
        <v/>
      </c>
      <c r="Q13" s="34" t="str">
        <f aca="false">IF(B13="","",IF(MONTH(B13)=8,"X",""))</f>
        <v/>
      </c>
      <c r="R13" s="34" t="str">
        <f aca="false">IF(B13="","",IF(MONTH(B13)=9,"X",""))</f>
        <v/>
      </c>
      <c r="S13" s="34" t="str">
        <f aca="false">IF(B13="","",IF(MONTH(B13)=10,"X",""))</f>
        <v/>
      </c>
      <c r="T13" s="34" t="str">
        <f aca="false">IF(B13="","",IF(MONTH(B13)=11,"X",""))</f>
        <v/>
      </c>
      <c r="U13" s="34" t="str">
        <f aca="false">IF(B13="","",IF(MONTH(B13)=12,"X",""))</f>
        <v/>
      </c>
      <c r="V13" s="24" t="n">
        <f aca="false">IF(E13="","",COUNTIF($E$5:$E$1000,E13))</f>
        <v>20</v>
      </c>
      <c r="W13" s="35" t="str">
        <f aca="false">IF(E13="","",_xlfn.TEXTJOIN(" + ",TRUE(),IF(COUNTIFS($E$5:$E$1000,E13,$C$5:$C$1000,"Auditoría Interna")&gt;0,"Interna",""),IF(COUNTIFS($E$5:$E$1000,E13,$C$5:$C$1000,"Auditoría Externa")&gt;0,"Externa",""),IF(COUNTIFS($E$5:$E$1000,E13,$C$5:$C$1000,"SSF")&gt;0,"SSF",""),IF(COUNTIFS($E$5:$E$1000,E13,$C$5:$C$1000,"Comité de Supervisión")&gt;0,"Comité Sup.",""),IF(COUNTIFS($E$5:$E$1000,E13,$C$5:$C$1000,"Consejo de Administración")&gt;0,"Consejo",""),IF(COUNTIFS($E$5:$E$1000,E13,$C$5:$C$1000,"Otros")&gt;0,"Otros","")))</f>
        <v>Interna + Externa + SSF</v>
      </c>
      <c r="X13" s="24" t="n">
        <f aca="false">IF(E13="","",COUNTIFS($E$5:$E$1000,E13,$AB$5:$AB$1000,AB13,$C$5:$C$1000,"&lt;&gt;"&amp;C13))</f>
        <v>0</v>
      </c>
      <c r="Y13" s="20" t="s">
        <v>73</v>
      </c>
      <c r="Z13" s="8" t="n">
        <v>8</v>
      </c>
      <c r="AA13" s="36" t="s">
        <v>106</v>
      </c>
      <c r="AB13" s="37" t="n">
        <f aca="false">IF(B13="","",YEAR(B13)*100+MONTH(B13))</f>
        <v>202505</v>
      </c>
      <c r="AC13" s="37" t="str">
        <f aca="false">IF(AND(E13&lt;&gt;"",E13=Cruce!$C$5),COUNTIF($E$5:E13,E13),"")</f>
        <v/>
      </c>
      <c r="AD13" s="37" t="str">
        <f aca="false">IF(E13="","",C13&amp;"|"&amp;Y13&amp;"|"&amp;IF(B13="","s/f",TEXT(B13,"yyyymmdd")))</f>
        <v>SSF|Resumen visita presencialSSF|20250530</v>
      </c>
      <c r="AE13" s="37" t="n">
        <f aca="false">IF(E13="",0,IF(COUNTIFS($E$5:E13,E13,$AD$5:AD13,AD13)=1,1,0))</f>
        <v>1</v>
      </c>
    </row>
    <row r="14" customFormat="false" ht="45" hidden="false" customHeight="true" outlineLevel="0" collapsed="false">
      <c r="A14" s="8" t="n">
        <v>10</v>
      </c>
      <c r="B14" s="30" t="n">
        <v>45820</v>
      </c>
      <c r="C14" s="31" t="s">
        <v>9</v>
      </c>
      <c r="D14" s="31" t="s">
        <v>107</v>
      </c>
      <c r="E14" s="32" t="s">
        <v>108</v>
      </c>
      <c r="F14" s="32" t="s">
        <v>109</v>
      </c>
      <c r="G14" s="33"/>
      <c r="H14" s="31"/>
      <c r="I14" s="24" t="n">
        <f aca="false">IF(B14="","",YEAR(B14))</f>
        <v>2025</v>
      </c>
      <c r="J14" s="34" t="str">
        <f aca="false">IF(B14="","",IF(MONTH(B14)=1,"X",""))</f>
        <v/>
      </c>
      <c r="K14" s="34" t="str">
        <f aca="false">IF(B14="","",IF(MONTH(B14)=2,"X",""))</f>
        <v/>
      </c>
      <c r="L14" s="34" t="str">
        <f aca="false">IF(B14="","",IF(MONTH(B14)=3,"X",""))</f>
        <v/>
      </c>
      <c r="M14" s="34" t="str">
        <f aca="false">IF(B14="","",IF(MONTH(B14)=4,"X",""))</f>
        <v/>
      </c>
      <c r="N14" s="34" t="str">
        <f aca="false">IF(B14="","",IF(MONTH(B14)=5,"X",""))</f>
        <v/>
      </c>
      <c r="O14" s="34" t="str">
        <f aca="false">IF(B14="","",IF(MONTH(B14)=6,"X",""))</f>
        <v>X</v>
      </c>
      <c r="P14" s="34" t="str">
        <f aca="false">IF(B14="","",IF(MONTH(B14)=7,"X",""))</f>
        <v/>
      </c>
      <c r="Q14" s="34" t="str">
        <f aca="false">IF(B14="","",IF(MONTH(B14)=8,"X",""))</f>
        <v/>
      </c>
      <c r="R14" s="34" t="str">
        <f aca="false">IF(B14="","",IF(MONTH(B14)=9,"X",""))</f>
        <v/>
      </c>
      <c r="S14" s="34" t="str">
        <f aca="false">IF(B14="","",IF(MONTH(B14)=10,"X",""))</f>
        <v/>
      </c>
      <c r="T14" s="34" t="str">
        <f aca="false">IF(B14="","",IF(MONTH(B14)=11,"X",""))</f>
        <v/>
      </c>
      <c r="U14" s="34" t="str">
        <f aca="false">IF(B14="","",IF(MONTH(B14)=12,"X",""))</f>
        <v/>
      </c>
      <c r="V14" s="24" t="n">
        <f aca="false">IF(E14="","",COUNTIF($E$5:$E$1000,E14))</f>
        <v>1</v>
      </c>
      <c r="W14" s="35" t="str">
        <f aca="false">IF(E14="","",_xlfn.TEXTJOIN(" + ",TRUE(),IF(COUNTIFS($E$5:$E$1000,E14,$C$5:$C$1000,"Auditoría Interna")&gt;0,"Interna",""),IF(COUNTIFS($E$5:$E$1000,E14,$C$5:$C$1000,"Auditoría Externa")&gt;0,"Externa",""),IF(COUNTIFS($E$5:$E$1000,E14,$C$5:$C$1000,"SSF")&gt;0,"SSF",""),IF(COUNTIFS($E$5:$E$1000,E14,$C$5:$C$1000,"Comité de Supervisión")&gt;0,"Comité Sup.",""),IF(COUNTIFS($E$5:$E$1000,E14,$C$5:$C$1000,"Consejo de Administración")&gt;0,"Consejo",""),IF(COUNTIFS($E$5:$E$1000,E14,$C$5:$C$1000,"Otros")&gt;0,"Otros","")))</f>
        <v>SSF</v>
      </c>
      <c r="X14" s="24" t="n">
        <f aca="false">IF(E14="","",COUNTIFS($E$5:$E$1000,E14,$AB$5:$AB$1000,AB14,$C$5:$C$1000,"&lt;&gt;"&amp;C14))</f>
        <v>0</v>
      </c>
      <c r="Y14" s="20" t="s">
        <v>73</v>
      </c>
      <c r="Z14" s="8" t="n">
        <v>9</v>
      </c>
      <c r="AA14" s="36" t="s">
        <v>110</v>
      </c>
      <c r="AB14" s="37" t="n">
        <f aca="false">IF(B14="","",YEAR(B14)*100+MONTH(B14))</f>
        <v>202506</v>
      </c>
      <c r="AC14" s="37" t="str">
        <f aca="false">IF(AND(E14&lt;&gt;"",E14=Cruce!$C$5),COUNTIF($E$5:E14,E14),"")</f>
        <v/>
      </c>
      <c r="AD14" s="37" t="str">
        <f aca="false">IF(E14="","",C14&amp;"|"&amp;Y14&amp;"|"&amp;IF(B14="","s/f",TEXT(B14,"yyyymmdd")))</f>
        <v>SSF|Resumen visita presencialSSF|20250612</v>
      </c>
      <c r="AE14" s="37" t="n">
        <f aca="false">IF(E14="",0,IF(COUNTIFS($E$5:E14,E14,$AD$5:AD14,AD14)=1,1,0))</f>
        <v>1</v>
      </c>
    </row>
    <row r="15" customFormat="false" ht="45" hidden="false" customHeight="true" outlineLevel="0" collapsed="false">
      <c r="A15" s="8" t="n">
        <v>11</v>
      </c>
      <c r="B15" s="30" t="n">
        <v>45855</v>
      </c>
      <c r="C15" s="31" t="s">
        <v>9</v>
      </c>
      <c r="D15" s="31" t="s">
        <v>111</v>
      </c>
      <c r="E15" s="32" t="s">
        <v>112</v>
      </c>
      <c r="F15" s="32" t="s">
        <v>113</v>
      </c>
      <c r="G15" s="33"/>
      <c r="H15" s="31"/>
      <c r="I15" s="24" t="n">
        <f aca="false">IF(B15="","",YEAR(B15))</f>
        <v>2025</v>
      </c>
      <c r="J15" s="34" t="str">
        <f aca="false">IF(B15="","",IF(MONTH(B15)=1,"X",""))</f>
        <v/>
      </c>
      <c r="K15" s="34" t="str">
        <f aca="false">IF(B15="","",IF(MONTH(B15)=2,"X",""))</f>
        <v/>
      </c>
      <c r="L15" s="34" t="str">
        <f aca="false">IF(B15="","",IF(MONTH(B15)=3,"X",""))</f>
        <v/>
      </c>
      <c r="M15" s="34" t="str">
        <f aca="false">IF(B15="","",IF(MONTH(B15)=4,"X",""))</f>
        <v/>
      </c>
      <c r="N15" s="34" t="str">
        <f aca="false">IF(B15="","",IF(MONTH(B15)=5,"X",""))</f>
        <v/>
      </c>
      <c r="O15" s="34" t="str">
        <f aca="false">IF(B15="","",IF(MONTH(B15)=6,"X",""))</f>
        <v/>
      </c>
      <c r="P15" s="34" t="str">
        <f aca="false">IF(B15="","",IF(MONTH(B15)=7,"X",""))</f>
        <v>X</v>
      </c>
      <c r="Q15" s="34" t="str">
        <f aca="false">IF(B15="","",IF(MONTH(B15)=8,"X",""))</f>
        <v/>
      </c>
      <c r="R15" s="34" t="str">
        <f aca="false">IF(B15="","",IF(MONTH(B15)=9,"X",""))</f>
        <v/>
      </c>
      <c r="S15" s="34" t="str">
        <f aca="false">IF(B15="","",IF(MONTH(B15)=10,"X",""))</f>
        <v/>
      </c>
      <c r="T15" s="34" t="str">
        <f aca="false">IF(B15="","",IF(MONTH(B15)=11,"X",""))</f>
        <v/>
      </c>
      <c r="U15" s="34" t="str">
        <f aca="false">IF(B15="","",IF(MONTH(B15)=12,"X",""))</f>
        <v/>
      </c>
      <c r="V15" s="24" t="n">
        <f aca="false">IF(E15="","",COUNTIF($E$5:$E$1000,E15))</f>
        <v>1</v>
      </c>
      <c r="W15" s="35" t="str">
        <f aca="false">IF(E15="","",_xlfn.TEXTJOIN(" + ",TRUE(),IF(COUNTIFS($E$5:$E$1000,E15,$C$5:$C$1000,"Auditoría Interna")&gt;0,"Interna",""),IF(COUNTIFS($E$5:$E$1000,E15,$C$5:$C$1000,"Auditoría Externa")&gt;0,"Externa",""),IF(COUNTIFS($E$5:$E$1000,E15,$C$5:$C$1000,"SSF")&gt;0,"SSF",""),IF(COUNTIFS($E$5:$E$1000,E15,$C$5:$C$1000,"Comité de Supervisión")&gt;0,"Comité Sup.",""),IF(COUNTIFS($E$5:$E$1000,E15,$C$5:$C$1000,"Consejo de Administración")&gt;0,"Consejo",""),IF(COUNTIFS($E$5:$E$1000,E15,$C$5:$C$1000,"Otros")&gt;0,"Otros","")))</f>
        <v>SSF</v>
      </c>
      <c r="X15" s="24" t="n">
        <f aca="false">IF(E15="","",COUNTIFS($E$5:$E$1000,E15,$AB$5:$AB$1000,AB15,$C$5:$C$1000,"&lt;&gt;"&amp;C15))</f>
        <v>0</v>
      </c>
      <c r="Y15" s="20" t="s">
        <v>73</v>
      </c>
      <c r="Z15" s="8" t="n">
        <v>10</v>
      </c>
      <c r="AA15" s="36"/>
      <c r="AB15" s="37" t="n">
        <f aca="false">IF(B15="","",YEAR(B15)*100+MONTH(B15))</f>
        <v>202507</v>
      </c>
      <c r="AC15" s="37" t="str">
        <f aca="false">IF(AND(E15&lt;&gt;"",E15=Cruce!$C$5),COUNTIF($E$5:E15,E15),"")</f>
        <v/>
      </c>
      <c r="AD15" s="37" t="str">
        <f aca="false">IF(E15="","",C15&amp;"|"&amp;Y15&amp;"|"&amp;IF(B15="","s/f",TEXT(B15,"yyyymmdd")))</f>
        <v>SSF|Resumen visita presencialSSF|20250717</v>
      </c>
      <c r="AE15" s="37" t="n">
        <f aca="false">IF(E15="",0,IF(COUNTIFS($E$5:E15,E15,$AD$5:AD15,AD15)=1,1,0))</f>
        <v>1</v>
      </c>
    </row>
    <row r="16" customFormat="false" ht="45" hidden="false" customHeight="true" outlineLevel="0" collapsed="false">
      <c r="A16" s="8" t="n">
        <v>12</v>
      </c>
      <c r="B16" s="30" t="n">
        <v>45894</v>
      </c>
      <c r="C16" s="31" t="s">
        <v>9</v>
      </c>
      <c r="D16" s="31" t="s">
        <v>75</v>
      </c>
      <c r="E16" s="32" t="s">
        <v>76</v>
      </c>
      <c r="F16" s="32" t="s">
        <v>114</v>
      </c>
      <c r="G16" s="33"/>
      <c r="H16" s="31"/>
      <c r="I16" s="24" t="n">
        <f aca="false">IF(B16="","",YEAR(B16))</f>
        <v>2025</v>
      </c>
      <c r="J16" s="34" t="str">
        <f aca="false">IF(B16="","",IF(MONTH(B16)=1,"X",""))</f>
        <v/>
      </c>
      <c r="K16" s="34" t="str">
        <f aca="false">IF(B16="","",IF(MONTH(B16)=2,"X",""))</f>
        <v/>
      </c>
      <c r="L16" s="34" t="str">
        <f aca="false">IF(B16="","",IF(MONTH(B16)=3,"X",""))</f>
        <v/>
      </c>
      <c r="M16" s="34" t="str">
        <f aca="false">IF(B16="","",IF(MONTH(B16)=4,"X",""))</f>
        <v/>
      </c>
      <c r="N16" s="34" t="str">
        <f aca="false">IF(B16="","",IF(MONTH(B16)=5,"X",""))</f>
        <v/>
      </c>
      <c r="O16" s="34" t="str">
        <f aca="false">IF(B16="","",IF(MONTH(B16)=6,"X",""))</f>
        <v/>
      </c>
      <c r="P16" s="34" t="str">
        <f aca="false">IF(B16="","",IF(MONTH(B16)=7,"X",""))</f>
        <v/>
      </c>
      <c r="Q16" s="34" t="str">
        <f aca="false">IF(B16="","",IF(MONTH(B16)=8,"X",""))</f>
        <v>X</v>
      </c>
      <c r="R16" s="34" t="str">
        <f aca="false">IF(B16="","",IF(MONTH(B16)=9,"X",""))</f>
        <v/>
      </c>
      <c r="S16" s="34" t="str">
        <f aca="false">IF(B16="","",IF(MONTH(B16)=10,"X",""))</f>
        <v/>
      </c>
      <c r="T16" s="34" t="str">
        <f aca="false">IF(B16="","",IF(MONTH(B16)=11,"X",""))</f>
        <v/>
      </c>
      <c r="U16" s="34" t="str">
        <f aca="false">IF(B16="","",IF(MONTH(B16)=12,"X",""))</f>
        <v/>
      </c>
      <c r="V16" s="24" t="n">
        <f aca="false">IF(E16="","",COUNTIF($E$5:$E$1000,E16))</f>
        <v>6</v>
      </c>
      <c r="W16" s="35" t="str">
        <f aca="false">IF(E16="","",_xlfn.TEXTJOIN(" + ",TRUE(),IF(COUNTIFS($E$5:$E$1000,E16,$C$5:$C$1000,"Auditoría Interna")&gt;0,"Interna",""),IF(COUNTIFS($E$5:$E$1000,E16,$C$5:$C$1000,"Auditoría Externa")&gt;0,"Externa",""),IF(COUNTIFS($E$5:$E$1000,E16,$C$5:$C$1000,"SSF")&gt;0,"SSF",""),IF(COUNTIFS($E$5:$E$1000,E16,$C$5:$C$1000,"Comité de Supervisión")&gt;0,"Comité Sup.",""),IF(COUNTIFS($E$5:$E$1000,E16,$C$5:$C$1000,"Consejo de Administración")&gt;0,"Consejo",""),IF(COUNTIFS($E$5:$E$1000,E16,$C$5:$C$1000,"Otros")&gt;0,"Otros","")))</f>
        <v>Interna + Externa + SSF</v>
      </c>
      <c r="X16" s="24" t="n">
        <f aca="false">IF(E16="","",COUNTIFS($E$5:$E$1000,E16,$AB$5:$AB$1000,AB16,$C$5:$C$1000,"&lt;&gt;"&amp;C16))</f>
        <v>0</v>
      </c>
      <c r="Y16" s="20" t="s">
        <v>73</v>
      </c>
      <c r="Z16" s="8" t="n">
        <v>11</v>
      </c>
      <c r="AA16" s="36" t="s">
        <v>115</v>
      </c>
      <c r="AB16" s="37" t="n">
        <f aca="false">IF(B16="","",YEAR(B16)*100+MONTH(B16))</f>
        <v>202508</v>
      </c>
      <c r="AC16" s="37" t="str">
        <f aca="false">IF(AND(E16&lt;&gt;"",E16=Cruce!$C$5),COUNTIF($E$5:E16,E16),"")</f>
        <v/>
      </c>
      <c r="AD16" s="37" t="str">
        <f aca="false">IF(E16="","",C16&amp;"|"&amp;Y16&amp;"|"&amp;IF(B16="","s/f",TEXT(B16,"yyyymmdd")))</f>
        <v>SSF|Resumen visita presencialSSF|20250825</v>
      </c>
      <c r="AE16" s="37" t="n">
        <f aca="false">IF(E16="",0,IF(COUNTIFS($E$5:E16,E16,$AD$5:AD16,AD16)=1,1,0))</f>
        <v>1</v>
      </c>
    </row>
    <row r="17" customFormat="false" ht="45" hidden="false" customHeight="true" outlineLevel="0" collapsed="false">
      <c r="A17" s="8" t="n">
        <v>13</v>
      </c>
      <c r="B17" s="30" t="n">
        <v>45939</v>
      </c>
      <c r="C17" s="31" t="s">
        <v>9</v>
      </c>
      <c r="D17" s="31" t="s">
        <v>12</v>
      </c>
      <c r="E17" s="32" t="s">
        <v>116</v>
      </c>
      <c r="F17" s="32" t="s">
        <v>117</v>
      </c>
      <c r="G17" s="33"/>
      <c r="H17" s="31"/>
      <c r="I17" s="24" t="n">
        <f aca="false">IF(B17="","",YEAR(B17))</f>
        <v>2025</v>
      </c>
      <c r="J17" s="34" t="str">
        <f aca="false">IF(B17="","",IF(MONTH(B17)=1,"X",""))</f>
        <v/>
      </c>
      <c r="K17" s="34" t="str">
        <f aca="false">IF(B17="","",IF(MONTH(B17)=2,"X",""))</f>
        <v/>
      </c>
      <c r="L17" s="34" t="str">
        <f aca="false">IF(B17="","",IF(MONTH(B17)=3,"X",""))</f>
        <v/>
      </c>
      <c r="M17" s="34" t="str">
        <f aca="false">IF(B17="","",IF(MONTH(B17)=4,"X",""))</f>
        <v/>
      </c>
      <c r="N17" s="34" t="str">
        <f aca="false">IF(B17="","",IF(MONTH(B17)=5,"X",""))</f>
        <v/>
      </c>
      <c r="O17" s="34" t="str">
        <f aca="false">IF(B17="","",IF(MONTH(B17)=6,"X",""))</f>
        <v/>
      </c>
      <c r="P17" s="34" t="str">
        <f aca="false">IF(B17="","",IF(MONTH(B17)=7,"X",""))</f>
        <v/>
      </c>
      <c r="Q17" s="34" t="str">
        <f aca="false">IF(B17="","",IF(MONTH(B17)=8,"X",""))</f>
        <v/>
      </c>
      <c r="R17" s="34" t="str">
        <f aca="false">IF(B17="","",IF(MONTH(B17)=9,"X",""))</f>
        <v/>
      </c>
      <c r="S17" s="34" t="str">
        <f aca="false">IF(B17="","",IF(MONTH(B17)=10,"X",""))</f>
        <v>X</v>
      </c>
      <c r="T17" s="34" t="str">
        <f aca="false">IF(B17="","",IF(MONTH(B17)=11,"X",""))</f>
        <v/>
      </c>
      <c r="U17" s="34" t="str">
        <f aca="false">IF(B17="","",IF(MONTH(B17)=12,"X",""))</f>
        <v/>
      </c>
      <c r="V17" s="24" t="n">
        <f aca="false">IF(E17="","",COUNTIF($E$5:$E$1000,E17))</f>
        <v>1</v>
      </c>
      <c r="W17" s="35" t="str">
        <f aca="false">IF(E17="","",_xlfn.TEXTJOIN(" + ",TRUE(),IF(COUNTIFS($E$5:$E$1000,E17,$C$5:$C$1000,"Auditoría Interna")&gt;0,"Interna",""),IF(COUNTIFS($E$5:$E$1000,E17,$C$5:$C$1000,"Auditoría Externa")&gt;0,"Externa",""),IF(COUNTIFS($E$5:$E$1000,E17,$C$5:$C$1000,"SSF")&gt;0,"SSF",""),IF(COUNTIFS($E$5:$E$1000,E17,$C$5:$C$1000,"Comité de Supervisión")&gt;0,"Comité Sup.",""),IF(COUNTIFS($E$5:$E$1000,E17,$C$5:$C$1000,"Consejo de Administración")&gt;0,"Consejo",""),IF(COUNTIFS($E$5:$E$1000,E17,$C$5:$C$1000,"Otros")&gt;0,"Otros","")))</f>
        <v>SSF</v>
      </c>
      <c r="X17" s="24" t="n">
        <f aca="false">IF(E17="","",COUNTIFS($E$5:$E$1000,E17,$AB$5:$AB$1000,AB17,$C$5:$C$1000,"&lt;&gt;"&amp;C17))</f>
        <v>0</v>
      </c>
      <c r="Y17" s="20" t="s">
        <v>73</v>
      </c>
      <c r="Z17" s="8" t="n">
        <v>14</v>
      </c>
      <c r="AA17" s="36" t="s">
        <v>118</v>
      </c>
      <c r="AB17" s="37" t="n">
        <f aca="false">IF(B17="","",YEAR(B17)*100+MONTH(B17))</f>
        <v>202510</v>
      </c>
      <c r="AC17" s="37" t="str">
        <f aca="false">IF(AND(E17&lt;&gt;"",E17=Cruce!$C$5),COUNTIF($E$5:E17,E17),"")</f>
        <v/>
      </c>
      <c r="AD17" s="37" t="str">
        <f aca="false">IF(E17="","",C17&amp;"|"&amp;Y17&amp;"|"&amp;IF(B17="","s/f",TEXT(B17,"yyyymmdd")))</f>
        <v>SSF|Resumen visita presencialSSF|20251009</v>
      </c>
      <c r="AE17" s="37" t="n">
        <f aca="false">IF(E17="",0,IF(COUNTIFS($E$5:E17,E17,$AD$5:AD17,AD17)=1,1,0))</f>
        <v>1</v>
      </c>
    </row>
    <row r="18" customFormat="false" ht="45" hidden="false" customHeight="true" outlineLevel="0" collapsed="false">
      <c r="A18" s="8" t="n">
        <v>14</v>
      </c>
      <c r="B18" s="30" t="n">
        <v>45957</v>
      </c>
      <c r="C18" s="31" t="s">
        <v>9</v>
      </c>
      <c r="D18" s="31" t="s">
        <v>83</v>
      </c>
      <c r="E18" s="32" t="s">
        <v>84</v>
      </c>
      <c r="F18" s="32" t="s">
        <v>119</v>
      </c>
      <c r="G18" s="33"/>
      <c r="H18" s="31"/>
      <c r="I18" s="24" t="n">
        <f aca="false">IF(B18="","",YEAR(B18))</f>
        <v>2025</v>
      </c>
      <c r="J18" s="34" t="str">
        <f aca="false">IF(B18="","",IF(MONTH(B18)=1,"X",""))</f>
        <v/>
      </c>
      <c r="K18" s="34" t="str">
        <f aca="false">IF(B18="","",IF(MONTH(B18)=2,"X",""))</f>
        <v/>
      </c>
      <c r="L18" s="34" t="str">
        <f aca="false">IF(B18="","",IF(MONTH(B18)=3,"X",""))</f>
        <v/>
      </c>
      <c r="M18" s="34" t="str">
        <f aca="false">IF(B18="","",IF(MONTH(B18)=4,"X",""))</f>
        <v/>
      </c>
      <c r="N18" s="34" t="str">
        <f aca="false">IF(B18="","",IF(MONTH(B18)=5,"X",""))</f>
        <v/>
      </c>
      <c r="O18" s="34" t="str">
        <f aca="false">IF(B18="","",IF(MONTH(B18)=6,"X",""))</f>
        <v/>
      </c>
      <c r="P18" s="34" t="str">
        <f aca="false">IF(B18="","",IF(MONTH(B18)=7,"X",""))</f>
        <v/>
      </c>
      <c r="Q18" s="34" t="str">
        <f aca="false">IF(B18="","",IF(MONTH(B18)=8,"X",""))</f>
        <v/>
      </c>
      <c r="R18" s="34" t="str">
        <f aca="false">IF(B18="","",IF(MONTH(B18)=9,"X",""))</f>
        <v/>
      </c>
      <c r="S18" s="34" t="str">
        <f aca="false">IF(B18="","",IF(MONTH(B18)=10,"X",""))</f>
        <v>X</v>
      </c>
      <c r="T18" s="34" t="str">
        <f aca="false">IF(B18="","",IF(MONTH(B18)=11,"X",""))</f>
        <v/>
      </c>
      <c r="U18" s="34" t="str">
        <f aca="false">IF(B18="","",IF(MONTH(B18)=12,"X",""))</f>
        <v/>
      </c>
      <c r="V18" s="24" t="n">
        <f aca="false">IF(E18="","",COUNTIF($E$5:$E$1000,E18))</f>
        <v>4</v>
      </c>
      <c r="W18" s="35" t="str">
        <f aca="false">IF(E18="","",_xlfn.TEXTJOIN(" + ",TRUE(),IF(COUNTIFS($E$5:$E$1000,E18,$C$5:$C$1000,"Auditoría Interna")&gt;0,"Interna",""),IF(COUNTIFS($E$5:$E$1000,E18,$C$5:$C$1000,"Auditoría Externa")&gt;0,"Externa",""),IF(COUNTIFS($E$5:$E$1000,E18,$C$5:$C$1000,"SSF")&gt;0,"SSF",""),IF(COUNTIFS($E$5:$E$1000,E18,$C$5:$C$1000,"Comité de Supervisión")&gt;0,"Comité Sup.",""),IF(COUNTIFS($E$5:$E$1000,E18,$C$5:$C$1000,"Consejo de Administración")&gt;0,"Consejo",""),IF(COUNTIFS($E$5:$E$1000,E18,$C$5:$C$1000,"Otros")&gt;0,"Otros","")))</f>
        <v>SSF</v>
      </c>
      <c r="X18" s="24" t="n">
        <f aca="false">IF(E18="","",COUNTIFS($E$5:$E$1000,E18,$AB$5:$AB$1000,AB18,$C$5:$C$1000,"&lt;&gt;"&amp;C18))</f>
        <v>0</v>
      </c>
      <c r="Y18" s="20" t="s">
        <v>73</v>
      </c>
      <c r="Z18" s="8" t="n">
        <v>13</v>
      </c>
      <c r="AA18" s="36" t="s">
        <v>120</v>
      </c>
      <c r="AB18" s="37" t="n">
        <f aca="false">IF(B18="","",YEAR(B18)*100+MONTH(B18))</f>
        <v>202510</v>
      </c>
      <c r="AC18" s="37" t="str">
        <f aca="false">IF(AND(E18&lt;&gt;"",E18=Cruce!$C$5),COUNTIF($E$5:E18,E18),"")</f>
        <v/>
      </c>
      <c r="AD18" s="37" t="str">
        <f aca="false">IF(E18="","",C18&amp;"|"&amp;Y18&amp;"|"&amp;IF(B18="","s/f",TEXT(B18,"yyyymmdd")))</f>
        <v>SSF|Resumen visita presencialSSF|20251027</v>
      </c>
      <c r="AE18" s="37" t="n">
        <f aca="false">IF(E18="",0,IF(COUNTIFS($E$5:E18,E18,$AD$5:AD18,AD18)=1,1,0))</f>
        <v>1</v>
      </c>
    </row>
    <row r="19" customFormat="false" ht="45" hidden="false" customHeight="true" outlineLevel="0" collapsed="false">
      <c r="A19" s="8" t="n">
        <v>15</v>
      </c>
      <c r="B19" s="30" t="n">
        <v>46041</v>
      </c>
      <c r="C19" s="31" t="s">
        <v>9</v>
      </c>
      <c r="D19" s="31" t="s">
        <v>70</v>
      </c>
      <c r="E19" s="32" t="s">
        <v>71</v>
      </c>
      <c r="F19" s="32" t="s">
        <v>121</v>
      </c>
      <c r="G19" s="33"/>
      <c r="H19" s="31"/>
      <c r="I19" s="24" t="n">
        <f aca="false">IF(B19="","",YEAR(B19))</f>
        <v>2026</v>
      </c>
      <c r="J19" s="34" t="str">
        <f aca="false">IF(B19="","",IF(MONTH(B19)=1,"X",""))</f>
        <v>X</v>
      </c>
      <c r="K19" s="34" t="str">
        <f aca="false">IF(B19="","",IF(MONTH(B19)=2,"X",""))</f>
        <v/>
      </c>
      <c r="L19" s="34" t="str">
        <f aca="false">IF(B19="","",IF(MONTH(B19)=3,"X",""))</f>
        <v/>
      </c>
      <c r="M19" s="34" t="str">
        <f aca="false">IF(B19="","",IF(MONTH(B19)=4,"X",""))</f>
        <v/>
      </c>
      <c r="N19" s="34" t="str">
        <f aca="false">IF(B19="","",IF(MONTH(B19)=5,"X",""))</f>
        <v/>
      </c>
      <c r="O19" s="34" t="str">
        <f aca="false">IF(B19="","",IF(MONTH(B19)=6,"X",""))</f>
        <v/>
      </c>
      <c r="P19" s="34" t="str">
        <f aca="false">IF(B19="","",IF(MONTH(B19)=7,"X",""))</f>
        <v/>
      </c>
      <c r="Q19" s="34" t="str">
        <f aca="false">IF(B19="","",IF(MONTH(B19)=8,"X",""))</f>
        <v/>
      </c>
      <c r="R19" s="34" t="str">
        <f aca="false">IF(B19="","",IF(MONTH(B19)=9,"X",""))</f>
        <v/>
      </c>
      <c r="S19" s="34" t="str">
        <f aca="false">IF(B19="","",IF(MONTH(B19)=10,"X",""))</f>
        <v/>
      </c>
      <c r="T19" s="34" t="str">
        <f aca="false">IF(B19="","",IF(MONTH(B19)=11,"X",""))</f>
        <v/>
      </c>
      <c r="U19" s="34" t="str">
        <f aca="false">IF(B19="","",IF(MONTH(B19)=12,"X",""))</f>
        <v/>
      </c>
      <c r="V19" s="24" t="n">
        <f aca="false">IF(E19="","",COUNTIF($E$5:$E$1000,E19))</f>
        <v>2</v>
      </c>
      <c r="W19" s="35" t="str">
        <f aca="false">IF(E19="","",_xlfn.TEXTJOIN(" + ",TRUE(),IF(COUNTIFS($E$5:$E$1000,E19,$C$5:$C$1000,"Auditoría Interna")&gt;0,"Interna",""),IF(COUNTIFS($E$5:$E$1000,E19,$C$5:$C$1000,"Auditoría Externa")&gt;0,"Externa",""),IF(COUNTIFS($E$5:$E$1000,E19,$C$5:$C$1000,"SSF")&gt;0,"SSF",""),IF(COUNTIFS($E$5:$E$1000,E19,$C$5:$C$1000,"Comité de Supervisión")&gt;0,"Comité Sup.",""),IF(COUNTIFS($E$5:$E$1000,E19,$C$5:$C$1000,"Consejo de Administración")&gt;0,"Consejo",""),IF(COUNTIFS($E$5:$E$1000,E19,$C$5:$C$1000,"Otros")&gt;0,"Otros","")))</f>
        <v>SSF</v>
      </c>
      <c r="X19" s="24" t="n">
        <f aca="false">IF(E19="","",COUNTIFS($E$5:$E$1000,E19,$AB$5:$AB$1000,AB19,$C$5:$C$1000,"&lt;&gt;"&amp;C19))</f>
        <v>0</v>
      </c>
      <c r="Y19" s="20" t="s">
        <v>73</v>
      </c>
      <c r="Z19" s="8" t="n">
        <v>15</v>
      </c>
      <c r="AA19" s="36" t="s">
        <v>122</v>
      </c>
      <c r="AB19" s="37" t="n">
        <f aca="false">IF(B19="","",YEAR(B19)*100+MONTH(B19))</f>
        <v>202601</v>
      </c>
      <c r="AC19" s="37" t="str">
        <f aca="false">IF(AND(E19&lt;&gt;"",E19=Cruce!$C$5),COUNTIF($E$5:E19,E19),"")</f>
        <v/>
      </c>
      <c r="AD19" s="37" t="str">
        <f aca="false">IF(E19="","",C19&amp;"|"&amp;Y19&amp;"|"&amp;IF(B19="","s/f",TEXT(B19,"yyyymmdd")))</f>
        <v>SSF|Resumen visita presencialSSF|20260119</v>
      </c>
      <c r="AE19" s="37" t="n">
        <f aca="false">IF(E19="",0,IF(COUNTIFS($E$5:E19,E19,$AD$5:AD19,AD19)=1,1,0))</f>
        <v>1</v>
      </c>
    </row>
    <row r="20" customFormat="false" ht="45" hidden="false" customHeight="true" outlineLevel="0" collapsed="false">
      <c r="A20" s="8" t="n">
        <v>16</v>
      </c>
      <c r="B20" s="30" t="n">
        <v>46055</v>
      </c>
      <c r="C20" s="31" t="s">
        <v>9</v>
      </c>
      <c r="D20" s="31" t="s">
        <v>123</v>
      </c>
      <c r="E20" s="32" t="s">
        <v>124</v>
      </c>
      <c r="F20" s="32" t="s">
        <v>125</v>
      </c>
      <c r="G20" s="33"/>
      <c r="H20" s="31"/>
      <c r="I20" s="24" t="n">
        <f aca="false">IF(B20="","",YEAR(B20))</f>
        <v>2026</v>
      </c>
      <c r="J20" s="34" t="str">
        <f aca="false">IF(B20="","",IF(MONTH(B20)=1,"X",""))</f>
        <v/>
      </c>
      <c r="K20" s="34" t="str">
        <f aca="false">IF(B20="","",IF(MONTH(B20)=2,"X",""))</f>
        <v>X</v>
      </c>
      <c r="L20" s="34" t="str">
        <f aca="false">IF(B20="","",IF(MONTH(B20)=3,"X",""))</f>
        <v/>
      </c>
      <c r="M20" s="34" t="str">
        <f aca="false">IF(B20="","",IF(MONTH(B20)=4,"X",""))</f>
        <v/>
      </c>
      <c r="N20" s="34" t="str">
        <f aca="false">IF(B20="","",IF(MONTH(B20)=5,"X",""))</f>
        <v/>
      </c>
      <c r="O20" s="34" t="str">
        <f aca="false">IF(B20="","",IF(MONTH(B20)=6,"X",""))</f>
        <v/>
      </c>
      <c r="P20" s="34" t="str">
        <f aca="false">IF(B20="","",IF(MONTH(B20)=7,"X",""))</f>
        <v/>
      </c>
      <c r="Q20" s="34" t="str">
        <f aca="false">IF(B20="","",IF(MONTH(B20)=8,"X",""))</f>
        <v/>
      </c>
      <c r="R20" s="34" t="str">
        <f aca="false">IF(B20="","",IF(MONTH(B20)=9,"X",""))</f>
        <v/>
      </c>
      <c r="S20" s="34" t="str">
        <f aca="false">IF(B20="","",IF(MONTH(B20)=10,"X",""))</f>
        <v/>
      </c>
      <c r="T20" s="34" t="str">
        <f aca="false">IF(B20="","",IF(MONTH(B20)=11,"X",""))</f>
        <v/>
      </c>
      <c r="U20" s="34" t="str">
        <f aca="false">IF(B20="","",IF(MONTH(B20)=12,"X",""))</f>
        <v/>
      </c>
      <c r="V20" s="24" t="n">
        <f aca="false">IF(E20="","",COUNTIF($E$5:$E$1000,E20))</f>
        <v>2</v>
      </c>
      <c r="W20" s="35" t="str">
        <f aca="false">IF(E20="","",_xlfn.TEXTJOIN(" + ",TRUE(),IF(COUNTIFS($E$5:$E$1000,E20,$C$5:$C$1000,"Auditoría Interna")&gt;0,"Interna",""),IF(COUNTIFS($E$5:$E$1000,E20,$C$5:$C$1000,"Auditoría Externa")&gt;0,"Externa",""),IF(COUNTIFS($E$5:$E$1000,E20,$C$5:$C$1000,"SSF")&gt;0,"SSF",""),IF(COUNTIFS($E$5:$E$1000,E20,$C$5:$C$1000,"Comité de Supervisión")&gt;0,"Comité Sup.",""),IF(COUNTIFS($E$5:$E$1000,E20,$C$5:$C$1000,"Consejo de Administración")&gt;0,"Consejo",""),IF(COUNTIFS($E$5:$E$1000,E20,$C$5:$C$1000,"Otros")&gt;0,"Otros","")))</f>
        <v>SSF</v>
      </c>
      <c r="X20" s="24" t="n">
        <f aca="false">IF(E20="","",COUNTIFS($E$5:$E$1000,E20,$AB$5:$AB$1000,AB20,$C$5:$C$1000,"&lt;&gt;"&amp;C20))</f>
        <v>0</v>
      </c>
      <c r="Y20" s="20" t="s">
        <v>73</v>
      </c>
      <c r="Z20" s="8" t="n">
        <v>18</v>
      </c>
      <c r="AA20" s="36" t="s">
        <v>126</v>
      </c>
      <c r="AB20" s="37" t="n">
        <f aca="false">IF(B20="","",YEAR(B20)*100+MONTH(B20))</f>
        <v>202602</v>
      </c>
      <c r="AC20" s="37" t="str">
        <f aca="false">IF(AND(E20&lt;&gt;"",E20=Cruce!$C$5),COUNTIF($E$5:E20,E20),"")</f>
        <v/>
      </c>
      <c r="AD20" s="37" t="str">
        <f aca="false">IF(E20="","",C20&amp;"|"&amp;Y20&amp;"|"&amp;IF(B20="","s/f",TEXT(B20,"yyyymmdd")))</f>
        <v>SSF|Resumen visita presencialSSF|20260202</v>
      </c>
      <c r="AE20" s="37" t="n">
        <f aca="false">IF(E20="",0,IF(COUNTIFS($E$5:E20,E20,$AD$5:AD20,AD20)=1,1,0))</f>
        <v>1</v>
      </c>
    </row>
    <row r="21" customFormat="false" ht="45" hidden="false" customHeight="true" outlineLevel="0" collapsed="false">
      <c r="A21" s="8" t="n">
        <v>17</v>
      </c>
      <c r="B21" s="30" t="n">
        <v>46056</v>
      </c>
      <c r="C21" s="31" t="s">
        <v>9</v>
      </c>
      <c r="D21" s="31" t="s">
        <v>95</v>
      </c>
      <c r="E21" s="32" t="s">
        <v>96</v>
      </c>
      <c r="F21" s="32" t="s">
        <v>127</v>
      </c>
      <c r="G21" s="33"/>
      <c r="H21" s="31"/>
      <c r="I21" s="24" t="n">
        <f aca="false">IF(B21="","",YEAR(B21))</f>
        <v>2026</v>
      </c>
      <c r="J21" s="34" t="str">
        <f aca="false">IF(B21="","",IF(MONTH(B21)=1,"X",""))</f>
        <v/>
      </c>
      <c r="K21" s="34" t="str">
        <f aca="false">IF(B21="","",IF(MONTH(B21)=2,"X",""))</f>
        <v>X</v>
      </c>
      <c r="L21" s="34" t="str">
        <f aca="false">IF(B21="","",IF(MONTH(B21)=3,"X",""))</f>
        <v/>
      </c>
      <c r="M21" s="34" t="str">
        <f aca="false">IF(B21="","",IF(MONTH(B21)=4,"X",""))</f>
        <v/>
      </c>
      <c r="N21" s="34" t="str">
        <f aca="false">IF(B21="","",IF(MONTH(B21)=5,"X",""))</f>
        <v/>
      </c>
      <c r="O21" s="34" t="str">
        <f aca="false">IF(B21="","",IF(MONTH(B21)=6,"X",""))</f>
        <v/>
      </c>
      <c r="P21" s="34" t="str">
        <f aca="false">IF(B21="","",IF(MONTH(B21)=7,"X",""))</f>
        <v/>
      </c>
      <c r="Q21" s="34" t="str">
        <f aca="false">IF(B21="","",IF(MONTH(B21)=8,"X",""))</f>
        <v/>
      </c>
      <c r="R21" s="34" t="str">
        <f aca="false">IF(B21="","",IF(MONTH(B21)=9,"X",""))</f>
        <v/>
      </c>
      <c r="S21" s="34" t="str">
        <f aca="false">IF(B21="","",IF(MONTH(B21)=10,"X",""))</f>
        <v/>
      </c>
      <c r="T21" s="34" t="str">
        <f aca="false">IF(B21="","",IF(MONTH(B21)=11,"X",""))</f>
        <v/>
      </c>
      <c r="U21" s="34" t="str">
        <f aca="false">IF(B21="","",IF(MONTH(B21)=12,"X",""))</f>
        <v/>
      </c>
      <c r="V21" s="24" t="n">
        <f aca="false">IF(E21="","",COUNTIF($E$5:$E$1000,E21))</f>
        <v>2</v>
      </c>
      <c r="W21" s="35" t="str">
        <f aca="false">IF(E21="","",_xlfn.TEXTJOIN(" + ",TRUE(),IF(COUNTIFS($E$5:$E$1000,E21,$C$5:$C$1000,"Auditoría Interna")&gt;0,"Interna",""),IF(COUNTIFS($E$5:$E$1000,E21,$C$5:$C$1000,"Auditoría Externa")&gt;0,"Externa",""),IF(COUNTIFS($E$5:$E$1000,E21,$C$5:$C$1000,"SSF")&gt;0,"SSF",""),IF(COUNTIFS($E$5:$E$1000,E21,$C$5:$C$1000,"Comité de Supervisión")&gt;0,"Comité Sup.",""),IF(COUNTIFS($E$5:$E$1000,E21,$C$5:$C$1000,"Consejo de Administración")&gt;0,"Consejo",""),IF(COUNTIFS($E$5:$E$1000,E21,$C$5:$C$1000,"Otros")&gt;0,"Otros","")))</f>
        <v>SSF</v>
      </c>
      <c r="X21" s="24" t="n">
        <f aca="false">IF(E21="","",COUNTIFS($E$5:$E$1000,E21,$AB$5:$AB$1000,AB21,$C$5:$C$1000,"&lt;&gt;"&amp;C21))</f>
        <v>0</v>
      </c>
      <c r="Y21" s="20" t="s">
        <v>73</v>
      </c>
      <c r="Z21" s="8" t="n">
        <v>16</v>
      </c>
      <c r="AA21" s="36" t="s">
        <v>128</v>
      </c>
      <c r="AB21" s="37" t="n">
        <f aca="false">IF(B21="","",YEAR(B21)*100+MONTH(B21))</f>
        <v>202602</v>
      </c>
      <c r="AC21" s="37" t="str">
        <f aca="false">IF(AND(E21&lt;&gt;"",E21=Cruce!$C$5),COUNTIF($E$5:E21,E21),"")</f>
        <v/>
      </c>
      <c r="AD21" s="37" t="str">
        <f aca="false">IF(E21="","",C21&amp;"|"&amp;Y21&amp;"|"&amp;IF(B21="","s/f",TEXT(B21,"yyyymmdd")))</f>
        <v>SSF|Resumen visita presencialSSF|20260203</v>
      </c>
      <c r="AE21" s="37" t="n">
        <f aca="false">IF(E21="",0,IF(COUNTIFS($E$5:E21,E21,$AD$5:AD21,AD21)=1,1,0))</f>
        <v>1</v>
      </c>
    </row>
    <row r="22" customFormat="false" ht="45" hidden="false" customHeight="true" outlineLevel="0" collapsed="false">
      <c r="A22" s="8" t="n">
        <v>18</v>
      </c>
      <c r="B22" s="30" t="n">
        <v>46148</v>
      </c>
      <c r="C22" s="31" t="s">
        <v>129</v>
      </c>
      <c r="D22" s="31" t="s">
        <v>83</v>
      </c>
      <c r="E22" s="32" t="s">
        <v>130</v>
      </c>
      <c r="F22" s="32" t="s">
        <v>131</v>
      </c>
      <c r="G22" s="33" t="s">
        <v>132</v>
      </c>
      <c r="H22" s="31"/>
      <c r="I22" s="24" t="n">
        <f aca="false">IF(B22="","",YEAR(B22))</f>
        <v>2026</v>
      </c>
      <c r="J22" s="34" t="str">
        <f aca="false">IF(B22="","",IF(MONTH(B22)=1,"X",""))</f>
        <v/>
      </c>
      <c r="K22" s="34" t="str">
        <f aca="false">IF(B22="","",IF(MONTH(B22)=2,"X",""))</f>
        <v/>
      </c>
      <c r="L22" s="34" t="str">
        <f aca="false">IF(B22="","",IF(MONTH(B22)=3,"X",""))</f>
        <v/>
      </c>
      <c r="M22" s="34" t="str">
        <f aca="false">IF(B22="","",IF(MONTH(B22)=4,"X",""))</f>
        <v/>
      </c>
      <c r="N22" s="34" t="str">
        <f aca="false">IF(B22="","",IF(MONTH(B22)=5,"X",""))</f>
        <v>X</v>
      </c>
      <c r="O22" s="34" t="str">
        <f aca="false">IF(B22="","",IF(MONTH(B22)=6,"X",""))</f>
        <v/>
      </c>
      <c r="P22" s="34" t="str">
        <f aca="false">IF(B22="","",IF(MONTH(B22)=7,"X",""))</f>
        <v/>
      </c>
      <c r="Q22" s="34" t="str">
        <f aca="false">IF(B22="","",IF(MONTH(B22)=8,"X",""))</f>
        <v/>
      </c>
      <c r="R22" s="34" t="str">
        <f aca="false">IF(B22="","",IF(MONTH(B22)=9,"X",""))</f>
        <v/>
      </c>
      <c r="S22" s="34" t="str">
        <f aca="false">IF(B22="","",IF(MONTH(B22)=10,"X",""))</f>
        <v/>
      </c>
      <c r="T22" s="34" t="str">
        <f aca="false">IF(B22="","",IF(MONTH(B22)=11,"X",""))</f>
        <v/>
      </c>
      <c r="U22" s="34" t="str">
        <f aca="false">IF(B22="","",IF(MONTH(B22)=12,"X",""))</f>
        <v/>
      </c>
      <c r="V22" s="24" t="n">
        <f aca="false">IF(E22="","",COUNTIF($E$5:$E$1000,E22))</f>
        <v>7</v>
      </c>
      <c r="W22" s="35" t="str">
        <f aca="false">IF(E22="","",_xlfn.TEXTJOIN(" + ",TRUE(),IF(COUNTIFS($E$5:$E$1000,E22,$C$5:$C$1000,"Auditoría Interna")&gt;0,"Interna",""),IF(COUNTIFS($E$5:$E$1000,E22,$C$5:$C$1000,"Auditoría Externa")&gt;0,"Externa",""),IF(COUNTIFS($E$5:$E$1000,E22,$C$5:$C$1000,"SSF")&gt;0,"SSF",""),IF(COUNTIFS($E$5:$E$1000,E22,$C$5:$C$1000,"Comité de Supervisión")&gt;0,"Comité Sup.",""),IF(COUNTIFS($E$5:$E$1000,E22,$C$5:$C$1000,"Consejo de Administración")&gt;0,"Consejo",""),IF(COUNTIFS($E$5:$E$1000,E22,$C$5:$C$1000,"Otros")&gt;0,"Otros","")))</f>
        <v>Interna</v>
      </c>
      <c r="X22" s="24" t="n">
        <f aca="false">IF(E22="","",COUNTIFS($E$5:$E$1000,E22,$AB$5:$AB$1000,AB22,$C$5:$C$1000,"&lt;&gt;"&amp;C22))</f>
        <v>0</v>
      </c>
      <c r="Y22" s="20" t="s">
        <v>133</v>
      </c>
      <c r="Z22" s="8" t="n">
        <v>1</v>
      </c>
      <c r="AA22" s="36"/>
      <c r="AB22" s="37" t="n">
        <f aca="false">IF(B22="","",YEAR(B22)*100+MONTH(B22))</f>
        <v>202605</v>
      </c>
      <c r="AC22" s="37" t="str">
        <f aca="false">IF(AND(E22&lt;&gt;"",E22=Cruce!$C$5),COUNTIF($E$5:E22,E22),"")</f>
        <v/>
      </c>
      <c r="AD22" s="37" t="str">
        <f aca="false">IF(E22="","",C22&amp;"|"&amp;Y22&amp;"|"&amp;IF(B22="","s/f",TEXT(B22,"yyyymmdd")))</f>
        <v>Auditoría Interna|Auditoria interna 1|20260506</v>
      </c>
      <c r="AE22" s="37" t="n">
        <f aca="false">IF(E22="",0,IF(COUNTIFS($E$5:E22,E22,$AD$5:AD22,AD22)=1,1,0))</f>
        <v>1</v>
      </c>
    </row>
    <row r="23" customFormat="false" ht="45" hidden="false" customHeight="true" outlineLevel="0" collapsed="false">
      <c r="A23" s="8" t="n">
        <v>19</v>
      </c>
      <c r="B23" s="30" t="n">
        <v>46148</v>
      </c>
      <c r="C23" s="31" t="s">
        <v>129</v>
      </c>
      <c r="D23" s="31" t="s">
        <v>75</v>
      </c>
      <c r="E23" s="32" t="s">
        <v>134</v>
      </c>
      <c r="F23" s="32" t="s">
        <v>135</v>
      </c>
      <c r="G23" s="33" t="s">
        <v>136</v>
      </c>
      <c r="H23" s="31"/>
      <c r="I23" s="24" t="n">
        <f aca="false">IF(B23="","",YEAR(B23))</f>
        <v>2026</v>
      </c>
      <c r="J23" s="34" t="str">
        <f aca="false">IF(B23="","",IF(MONTH(B23)=1,"X",""))</f>
        <v/>
      </c>
      <c r="K23" s="34" t="str">
        <f aca="false">IF(B23="","",IF(MONTH(B23)=2,"X",""))</f>
        <v/>
      </c>
      <c r="L23" s="34" t="str">
        <f aca="false">IF(B23="","",IF(MONTH(B23)=3,"X",""))</f>
        <v/>
      </c>
      <c r="M23" s="34" t="str">
        <f aca="false">IF(B23="","",IF(MONTH(B23)=4,"X",""))</f>
        <v/>
      </c>
      <c r="N23" s="34" t="str">
        <f aca="false">IF(B23="","",IF(MONTH(B23)=5,"X",""))</f>
        <v>X</v>
      </c>
      <c r="O23" s="34" t="str">
        <f aca="false">IF(B23="","",IF(MONTH(B23)=6,"X",""))</f>
        <v/>
      </c>
      <c r="P23" s="34" t="str">
        <f aca="false">IF(B23="","",IF(MONTH(B23)=7,"X",""))</f>
        <v/>
      </c>
      <c r="Q23" s="34" t="str">
        <f aca="false">IF(B23="","",IF(MONTH(B23)=8,"X",""))</f>
        <v/>
      </c>
      <c r="R23" s="34" t="str">
        <f aca="false">IF(B23="","",IF(MONTH(B23)=9,"X",""))</f>
        <v/>
      </c>
      <c r="S23" s="34" t="str">
        <f aca="false">IF(B23="","",IF(MONTH(B23)=10,"X",""))</f>
        <v/>
      </c>
      <c r="T23" s="34" t="str">
        <f aca="false">IF(B23="","",IF(MONTH(B23)=11,"X",""))</f>
        <v/>
      </c>
      <c r="U23" s="34" t="str">
        <f aca="false">IF(B23="","",IF(MONTH(B23)=12,"X",""))</f>
        <v/>
      </c>
      <c r="V23" s="24" t="n">
        <f aca="false">IF(E23="","",COUNTIF($E$5:$E$1000,E23))</f>
        <v>1</v>
      </c>
      <c r="W23" s="35" t="str">
        <f aca="false">IF(E23="","",_xlfn.TEXTJOIN(" + ",TRUE(),IF(COUNTIFS($E$5:$E$1000,E23,$C$5:$C$1000,"Auditoría Interna")&gt;0,"Interna",""),IF(COUNTIFS($E$5:$E$1000,E23,$C$5:$C$1000,"Auditoría Externa")&gt;0,"Externa",""),IF(COUNTIFS($E$5:$E$1000,E23,$C$5:$C$1000,"SSF")&gt;0,"SSF",""),IF(COUNTIFS($E$5:$E$1000,E23,$C$5:$C$1000,"Comité de Supervisión")&gt;0,"Comité Sup.",""),IF(COUNTIFS($E$5:$E$1000,E23,$C$5:$C$1000,"Consejo de Administración")&gt;0,"Consejo",""),IF(COUNTIFS($E$5:$E$1000,E23,$C$5:$C$1000,"Otros")&gt;0,"Otros","")))</f>
        <v>Interna</v>
      </c>
      <c r="X23" s="24" t="n">
        <f aca="false">IF(E23="","",COUNTIFS($E$5:$E$1000,E23,$AB$5:$AB$1000,AB23,$C$5:$C$1000,"&lt;&gt;"&amp;C23))</f>
        <v>0</v>
      </c>
      <c r="Y23" s="20" t="s">
        <v>133</v>
      </c>
      <c r="Z23" s="8" t="n">
        <v>2</v>
      </c>
      <c r="AA23" s="36"/>
      <c r="AB23" s="37" t="n">
        <f aca="false">IF(B23="","",YEAR(B23)*100+MONTH(B23))</f>
        <v>202605</v>
      </c>
      <c r="AC23" s="37" t="str">
        <f aca="false">IF(AND(E23&lt;&gt;"",E23=Cruce!$C$5),COUNTIF($E$5:E23,E23),"")</f>
        <v/>
      </c>
      <c r="AD23" s="37" t="str">
        <f aca="false">IF(E23="","",C23&amp;"|"&amp;Y23&amp;"|"&amp;IF(B23="","s/f",TEXT(B23,"yyyymmdd")))</f>
        <v>Auditoría Interna|Auditoria interna 1|20260506</v>
      </c>
      <c r="AE23" s="37" t="n">
        <f aca="false">IF(E23="",0,IF(COUNTIFS($E$5:E23,E23,$AD$5:AD23,AD23)=1,1,0))</f>
        <v>1</v>
      </c>
    </row>
    <row r="24" customFormat="false" ht="45" hidden="false" customHeight="true" outlineLevel="0" collapsed="false">
      <c r="A24" s="8" t="n">
        <v>20</v>
      </c>
      <c r="B24" s="30" t="n">
        <v>46148</v>
      </c>
      <c r="C24" s="31" t="s">
        <v>129</v>
      </c>
      <c r="D24" s="31" t="s">
        <v>75</v>
      </c>
      <c r="E24" s="32" t="s">
        <v>137</v>
      </c>
      <c r="F24" s="32" t="s">
        <v>138</v>
      </c>
      <c r="G24" s="33" t="s">
        <v>136</v>
      </c>
      <c r="H24" s="31"/>
      <c r="I24" s="24" t="n">
        <f aca="false">IF(B24="","",YEAR(B24))</f>
        <v>2026</v>
      </c>
      <c r="J24" s="34" t="str">
        <f aca="false">IF(B24="","",IF(MONTH(B24)=1,"X",""))</f>
        <v/>
      </c>
      <c r="K24" s="34" t="str">
        <f aca="false">IF(B24="","",IF(MONTH(B24)=2,"X",""))</f>
        <v/>
      </c>
      <c r="L24" s="34" t="str">
        <f aca="false">IF(B24="","",IF(MONTH(B24)=3,"X",""))</f>
        <v/>
      </c>
      <c r="M24" s="34" t="str">
        <f aca="false">IF(B24="","",IF(MONTH(B24)=4,"X",""))</f>
        <v/>
      </c>
      <c r="N24" s="34" t="str">
        <f aca="false">IF(B24="","",IF(MONTH(B24)=5,"X",""))</f>
        <v>X</v>
      </c>
      <c r="O24" s="34" t="str">
        <f aca="false">IF(B24="","",IF(MONTH(B24)=6,"X",""))</f>
        <v/>
      </c>
      <c r="P24" s="34" t="str">
        <f aca="false">IF(B24="","",IF(MONTH(B24)=7,"X",""))</f>
        <v/>
      </c>
      <c r="Q24" s="34" t="str">
        <f aca="false">IF(B24="","",IF(MONTH(B24)=8,"X",""))</f>
        <v/>
      </c>
      <c r="R24" s="34" t="str">
        <f aca="false">IF(B24="","",IF(MONTH(B24)=9,"X",""))</f>
        <v/>
      </c>
      <c r="S24" s="34" t="str">
        <f aca="false">IF(B24="","",IF(MONTH(B24)=10,"X",""))</f>
        <v/>
      </c>
      <c r="T24" s="34" t="str">
        <f aca="false">IF(B24="","",IF(MONTH(B24)=11,"X",""))</f>
        <v/>
      </c>
      <c r="U24" s="34" t="str">
        <f aca="false">IF(B24="","",IF(MONTH(B24)=12,"X",""))</f>
        <v/>
      </c>
      <c r="V24" s="24" t="n">
        <f aca="false">IF(E24="","",COUNTIF($E$5:$E$1000,E24))</f>
        <v>3</v>
      </c>
      <c r="W24" s="35" t="str">
        <f aca="false">IF(E24="","",_xlfn.TEXTJOIN(" + ",TRUE(),IF(COUNTIFS($E$5:$E$1000,E24,$C$5:$C$1000,"Auditoría Interna")&gt;0,"Interna",""),IF(COUNTIFS($E$5:$E$1000,E24,$C$5:$C$1000,"Auditoría Externa")&gt;0,"Externa",""),IF(COUNTIFS($E$5:$E$1000,E24,$C$5:$C$1000,"SSF")&gt;0,"SSF",""),IF(COUNTIFS($E$5:$E$1000,E24,$C$5:$C$1000,"Comité de Supervisión")&gt;0,"Comité Sup.",""),IF(COUNTIFS($E$5:$E$1000,E24,$C$5:$C$1000,"Consejo de Administración")&gt;0,"Consejo",""),IF(COUNTIFS($E$5:$E$1000,E24,$C$5:$C$1000,"Otros")&gt;0,"Otros","")))</f>
        <v>Interna + Externa</v>
      </c>
      <c r="X24" s="24" t="n">
        <f aca="false">IF(E24="","",COUNTIFS($E$5:$E$1000,E24,$AB$5:$AB$1000,AB24,$C$5:$C$1000,"&lt;&gt;"&amp;C24))</f>
        <v>0</v>
      </c>
      <c r="Y24" s="20" t="s">
        <v>133</v>
      </c>
      <c r="Z24" s="8" t="n">
        <v>3</v>
      </c>
      <c r="AA24" s="36"/>
      <c r="AB24" s="37" t="n">
        <f aca="false">IF(B24="","",YEAR(B24)*100+MONTH(B24))</f>
        <v>202605</v>
      </c>
      <c r="AC24" s="37" t="str">
        <f aca="false">IF(AND(E24&lt;&gt;"",E24=Cruce!$C$5),COUNTIF($E$5:E24,E24),"")</f>
        <v/>
      </c>
      <c r="AD24" s="37" t="str">
        <f aca="false">IF(E24="","",C24&amp;"|"&amp;Y24&amp;"|"&amp;IF(B24="","s/f",TEXT(B24,"yyyymmdd")))</f>
        <v>Auditoría Interna|Auditoria interna 1|20260506</v>
      </c>
      <c r="AE24" s="37" t="n">
        <f aca="false">IF(E24="",0,IF(COUNTIFS($E$5:E24,E24,$AD$5:AD24,AD24)=1,1,0))</f>
        <v>1</v>
      </c>
    </row>
    <row r="25" customFormat="false" ht="45" hidden="false" customHeight="true" outlineLevel="0" collapsed="false">
      <c r="A25" s="8" t="n">
        <v>21</v>
      </c>
      <c r="B25" s="30" t="n">
        <v>46148</v>
      </c>
      <c r="C25" s="31" t="s">
        <v>129</v>
      </c>
      <c r="D25" s="31" t="s">
        <v>139</v>
      </c>
      <c r="E25" s="32" t="s">
        <v>140</v>
      </c>
      <c r="F25" s="32" t="s">
        <v>141</v>
      </c>
      <c r="G25" s="33" t="s">
        <v>136</v>
      </c>
      <c r="H25" s="31"/>
      <c r="I25" s="24" t="n">
        <f aca="false">IF(B25="","",YEAR(B25))</f>
        <v>2026</v>
      </c>
      <c r="J25" s="34" t="str">
        <f aca="false">IF(B25="","",IF(MONTH(B25)=1,"X",""))</f>
        <v/>
      </c>
      <c r="K25" s="34" t="str">
        <f aca="false">IF(B25="","",IF(MONTH(B25)=2,"X",""))</f>
        <v/>
      </c>
      <c r="L25" s="34" t="str">
        <f aca="false">IF(B25="","",IF(MONTH(B25)=3,"X",""))</f>
        <v/>
      </c>
      <c r="M25" s="34" t="str">
        <f aca="false">IF(B25="","",IF(MONTH(B25)=4,"X",""))</f>
        <v/>
      </c>
      <c r="N25" s="34" t="str">
        <f aca="false">IF(B25="","",IF(MONTH(B25)=5,"X",""))</f>
        <v>X</v>
      </c>
      <c r="O25" s="34" t="str">
        <f aca="false">IF(B25="","",IF(MONTH(B25)=6,"X",""))</f>
        <v/>
      </c>
      <c r="P25" s="34" t="str">
        <f aca="false">IF(B25="","",IF(MONTH(B25)=7,"X",""))</f>
        <v/>
      </c>
      <c r="Q25" s="34" t="str">
        <f aca="false">IF(B25="","",IF(MONTH(B25)=8,"X",""))</f>
        <v/>
      </c>
      <c r="R25" s="34" t="str">
        <f aca="false">IF(B25="","",IF(MONTH(B25)=9,"X",""))</f>
        <v/>
      </c>
      <c r="S25" s="34" t="str">
        <f aca="false">IF(B25="","",IF(MONTH(B25)=10,"X",""))</f>
        <v/>
      </c>
      <c r="T25" s="34" t="str">
        <f aca="false">IF(B25="","",IF(MONTH(B25)=11,"X",""))</f>
        <v/>
      </c>
      <c r="U25" s="34" t="str">
        <f aca="false">IF(B25="","",IF(MONTH(B25)=12,"X",""))</f>
        <v/>
      </c>
      <c r="V25" s="24" t="n">
        <f aca="false">IF(E25="","",COUNTIF($E$5:$E$1000,E25))</f>
        <v>1</v>
      </c>
      <c r="W25" s="35" t="str">
        <f aca="false">IF(E25="","",_xlfn.TEXTJOIN(" + ",TRUE(),IF(COUNTIFS($E$5:$E$1000,E25,$C$5:$C$1000,"Auditoría Interna")&gt;0,"Interna",""),IF(COUNTIFS($E$5:$E$1000,E25,$C$5:$C$1000,"Auditoría Externa")&gt;0,"Externa",""),IF(COUNTIFS($E$5:$E$1000,E25,$C$5:$C$1000,"SSF")&gt;0,"SSF",""),IF(COUNTIFS($E$5:$E$1000,E25,$C$5:$C$1000,"Comité de Supervisión")&gt;0,"Comité Sup.",""),IF(COUNTIFS($E$5:$E$1000,E25,$C$5:$C$1000,"Consejo de Administración")&gt;0,"Consejo",""),IF(COUNTIFS($E$5:$E$1000,E25,$C$5:$C$1000,"Otros")&gt;0,"Otros","")))</f>
        <v>Interna</v>
      </c>
      <c r="X25" s="24" t="n">
        <f aca="false">IF(E25="","",COUNTIFS($E$5:$E$1000,E25,$AB$5:$AB$1000,AB25,$C$5:$C$1000,"&lt;&gt;"&amp;C25))</f>
        <v>0</v>
      </c>
      <c r="Y25" s="20" t="s">
        <v>133</v>
      </c>
      <c r="Z25" s="8" t="n">
        <v>4</v>
      </c>
      <c r="AA25" s="36"/>
      <c r="AB25" s="37" t="n">
        <f aca="false">IF(B25="","",YEAR(B25)*100+MONTH(B25))</f>
        <v>202605</v>
      </c>
      <c r="AC25" s="37" t="str">
        <f aca="false">IF(AND(E25&lt;&gt;"",E25=Cruce!$C$5),COUNTIF($E$5:E25,E25),"")</f>
        <v/>
      </c>
      <c r="AD25" s="37" t="str">
        <f aca="false">IF(E25="","",C25&amp;"|"&amp;Y25&amp;"|"&amp;IF(B25="","s/f",TEXT(B25,"yyyymmdd")))</f>
        <v>Auditoría Interna|Auditoria interna 1|20260506</v>
      </c>
      <c r="AE25" s="37" t="n">
        <f aca="false">IF(E25="",0,IF(COUNTIFS($E$5:E25,E25,$AD$5:AD25,AD25)=1,1,0))</f>
        <v>1</v>
      </c>
    </row>
    <row r="26" customFormat="false" ht="45" hidden="false" customHeight="true" outlineLevel="0" collapsed="false">
      <c r="A26" s="8" t="n">
        <v>22</v>
      </c>
      <c r="B26" s="30" t="n">
        <v>46148</v>
      </c>
      <c r="C26" s="31" t="s">
        <v>129</v>
      </c>
      <c r="D26" s="31" t="s">
        <v>83</v>
      </c>
      <c r="E26" s="32" t="s">
        <v>142</v>
      </c>
      <c r="F26" s="32" t="s">
        <v>143</v>
      </c>
      <c r="G26" s="33" t="s">
        <v>136</v>
      </c>
      <c r="H26" s="31"/>
      <c r="I26" s="24" t="n">
        <f aca="false">IF(B26="","",YEAR(B26))</f>
        <v>2026</v>
      </c>
      <c r="J26" s="34" t="str">
        <f aca="false">IF(B26="","",IF(MONTH(B26)=1,"X",""))</f>
        <v/>
      </c>
      <c r="K26" s="34" t="str">
        <f aca="false">IF(B26="","",IF(MONTH(B26)=2,"X",""))</f>
        <v/>
      </c>
      <c r="L26" s="34" t="str">
        <f aca="false">IF(B26="","",IF(MONTH(B26)=3,"X",""))</f>
        <v/>
      </c>
      <c r="M26" s="34" t="str">
        <f aca="false">IF(B26="","",IF(MONTH(B26)=4,"X",""))</f>
        <v/>
      </c>
      <c r="N26" s="34" t="str">
        <f aca="false">IF(B26="","",IF(MONTH(B26)=5,"X",""))</f>
        <v>X</v>
      </c>
      <c r="O26" s="34" t="str">
        <f aca="false">IF(B26="","",IF(MONTH(B26)=6,"X",""))</f>
        <v/>
      </c>
      <c r="P26" s="34" t="str">
        <f aca="false">IF(B26="","",IF(MONTH(B26)=7,"X",""))</f>
        <v/>
      </c>
      <c r="Q26" s="34" t="str">
        <f aca="false">IF(B26="","",IF(MONTH(B26)=8,"X",""))</f>
        <v/>
      </c>
      <c r="R26" s="34" t="str">
        <f aca="false">IF(B26="","",IF(MONTH(B26)=9,"X",""))</f>
        <v/>
      </c>
      <c r="S26" s="34" t="str">
        <f aca="false">IF(B26="","",IF(MONTH(B26)=10,"X",""))</f>
        <v/>
      </c>
      <c r="T26" s="34" t="str">
        <f aca="false">IF(B26="","",IF(MONTH(B26)=11,"X",""))</f>
        <v/>
      </c>
      <c r="U26" s="34" t="str">
        <f aca="false">IF(B26="","",IF(MONTH(B26)=12,"X",""))</f>
        <v/>
      </c>
      <c r="V26" s="24" t="n">
        <f aca="false">IF(E26="","",COUNTIF($E$5:$E$1000,E26))</f>
        <v>5</v>
      </c>
      <c r="W26" s="35" t="str">
        <f aca="false">IF(E26="","",_xlfn.TEXTJOIN(" + ",TRUE(),IF(COUNTIFS($E$5:$E$1000,E26,$C$5:$C$1000,"Auditoría Interna")&gt;0,"Interna",""),IF(COUNTIFS($E$5:$E$1000,E26,$C$5:$C$1000,"Auditoría Externa")&gt;0,"Externa",""),IF(COUNTIFS($E$5:$E$1000,E26,$C$5:$C$1000,"SSF")&gt;0,"SSF",""),IF(COUNTIFS($E$5:$E$1000,E26,$C$5:$C$1000,"Comité de Supervisión")&gt;0,"Comité Sup.",""),IF(COUNTIFS($E$5:$E$1000,E26,$C$5:$C$1000,"Consejo de Administración")&gt;0,"Consejo",""),IF(COUNTIFS($E$5:$E$1000,E26,$C$5:$C$1000,"Otros")&gt;0,"Otros","")))</f>
        <v>Interna</v>
      </c>
      <c r="X26" s="24" t="n">
        <f aca="false">IF(E26="","",COUNTIFS($E$5:$E$1000,E26,$AB$5:$AB$1000,AB26,$C$5:$C$1000,"&lt;&gt;"&amp;C26))</f>
        <v>0</v>
      </c>
      <c r="Y26" s="20" t="s">
        <v>133</v>
      </c>
      <c r="Z26" s="8" t="n">
        <v>5</v>
      </c>
      <c r="AA26" s="36"/>
      <c r="AB26" s="37" t="n">
        <f aca="false">IF(B26="","",YEAR(B26)*100+MONTH(B26))</f>
        <v>202605</v>
      </c>
      <c r="AC26" s="37" t="str">
        <f aca="false">IF(AND(E26&lt;&gt;"",E26=Cruce!$C$5),COUNTIF($E$5:E26,E26),"")</f>
        <v/>
      </c>
      <c r="AD26" s="37" t="str">
        <f aca="false">IF(E26="","",C26&amp;"|"&amp;Y26&amp;"|"&amp;IF(B26="","s/f",TEXT(B26,"yyyymmdd")))</f>
        <v>Auditoría Interna|Auditoria interna 1|20260506</v>
      </c>
      <c r="AE26" s="37" t="n">
        <f aca="false">IF(E26="",0,IF(COUNTIFS($E$5:E26,E26,$AD$5:AD26,AD26)=1,1,0))</f>
        <v>1</v>
      </c>
    </row>
    <row r="27" customFormat="false" ht="45" hidden="false" customHeight="true" outlineLevel="0" collapsed="false">
      <c r="A27" s="8" t="n">
        <v>23</v>
      </c>
      <c r="B27" s="30" t="n">
        <v>46148</v>
      </c>
      <c r="C27" s="31" t="s">
        <v>129</v>
      </c>
      <c r="D27" s="31" t="s">
        <v>75</v>
      </c>
      <c r="E27" s="32" t="s">
        <v>76</v>
      </c>
      <c r="F27" s="32" t="s">
        <v>144</v>
      </c>
      <c r="G27" s="33" t="s">
        <v>136</v>
      </c>
      <c r="H27" s="31"/>
      <c r="I27" s="24" t="n">
        <f aca="false">IF(B27="","",YEAR(B27))</f>
        <v>2026</v>
      </c>
      <c r="J27" s="34" t="str">
        <f aca="false">IF(B27="","",IF(MONTH(B27)=1,"X",""))</f>
        <v/>
      </c>
      <c r="K27" s="34" t="str">
        <f aca="false">IF(B27="","",IF(MONTH(B27)=2,"X",""))</f>
        <v/>
      </c>
      <c r="L27" s="34" t="str">
        <f aca="false">IF(B27="","",IF(MONTH(B27)=3,"X",""))</f>
        <v/>
      </c>
      <c r="M27" s="34" t="str">
        <f aca="false">IF(B27="","",IF(MONTH(B27)=4,"X",""))</f>
        <v/>
      </c>
      <c r="N27" s="34" t="str">
        <f aca="false">IF(B27="","",IF(MONTH(B27)=5,"X",""))</f>
        <v>X</v>
      </c>
      <c r="O27" s="34" t="str">
        <f aca="false">IF(B27="","",IF(MONTH(B27)=6,"X",""))</f>
        <v/>
      </c>
      <c r="P27" s="34" t="str">
        <f aca="false">IF(B27="","",IF(MONTH(B27)=7,"X",""))</f>
        <v/>
      </c>
      <c r="Q27" s="34" t="str">
        <f aca="false">IF(B27="","",IF(MONTH(B27)=8,"X",""))</f>
        <v/>
      </c>
      <c r="R27" s="34" t="str">
        <f aca="false">IF(B27="","",IF(MONTH(B27)=9,"X",""))</f>
        <v/>
      </c>
      <c r="S27" s="34" t="str">
        <f aca="false">IF(B27="","",IF(MONTH(B27)=10,"X",""))</f>
        <v/>
      </c>
      <c r="T27" s="34" t="str">
        <f aca="false">IF(B27="","",IF(MONTH(B27)=11,"X",""))</f>
        <v/>
      </c>
      <c r="U27" s="34" t="str">
        <f aca="false">IF(B27="","",IF(MONTH(B27)=12,"X",""))</f>
        <v/>
      </c>
      <c r="V27" s="24" t="n">
        <f aca="false">IF(E27="","",COUNTIF($E$5:$E$1000,E27))</f>
        <v>6</v>
      </c>
      <c r="W27" s="35" t="str">
        <f aca="false">IF(E27="","",_xlfn.TEXTJOIN(" + ",TRUE(),IF(COUNTIFS($E$5:$E$1000,E27,$C$5:$C$1000,"Auditoría Interna")&gt;0,"Interna",""),IF(COUNTIFS($E$5:$E$1000,E27,$C$5:$C$1000,"Auditoría Externa")&gt;0,"Externa",""),IF(COUNTIFS($E$5:$E$1000,E27,$C$5:$C$1000,"SSF")&gt;0,"SSF",""),IF(COUNTIFS($E$5:$E$1000,E27,$C$5:$C$1000,"Comité de Supervisión")&gt;0,"Comité Sup.",""),IF(COUNTIFS($E$5:$E$1000,E27,$C$5:$C$1000,"Consejo de Administración")&gt;0,"Consejo",""),IF(COUNTIFS($E$5:$E$1000,E27,$C$5:$C$1000,"Otros")&gt;0,"Otros","")))</f>
        <v>Interna + Externa + SSF</v>
      </c>
      <c r="X27" s="24" t="n">
        <f aca="false">IF(E27="","",COUNTIFS($E$5:$E$1000,E27,$AB$5:$AB$1000,AB27,$C$5:$C$1000,"&lt;&gt;"&amp;C27))</f>
        <v>0</v>
      </c>
      <c r="Y27" s="20" t="s">
        <v>133</v>
      </c>
      <c r="Z27" s="8" t="n">
        <v>6</v>
      </c>
      <c r="AA27" s="36"/>
      <c r="AB27" s="37" t="n">
        <f aca="false">IF(B27="","",YEAR(B27)*100+MONTH(B27))</f>
        <v>202605</v>
      </c>
      <c r="AC27" s="37" t="str">
        <f aca="false">IF(AND(E27&lt;&gt;"",E27=Cruce!$C$5),COUNTIF($E$5:E27,E27),"")</f>
        <v/>
      </c>
      <c r="AD27" s="37" t="str">
        <f aca="false">IF(E27="","",C27&amp;"|"&amp;Y27&amp;"|"&amp;IF(B27="","s/f",TEXT(B27,"yyyymmdd")))</f>
        <v>Auditoría Interna|Auditoria interna 1|20260506</v>
      </c>
      <c r="AE27" s="37" t="n">
        <f aca="false">IF(E27="",0,IF(COUNTIFS($E$5:E27,E27,$AD$5:AD27,AD27)=1,1,0))</f>
        <v>1</v>
      </c>
    </row>
    <row r="28" customFormat="false" ht="45" hidden="false" customHeight="true" outlineLevel="0" collapsed="false">
      <c r="A28" s="8" t="n">
        <v>24</v>
      </c>
      <c r="B28" s="30" t="n">
        <v>46148</v>
      </c>
      <c r="C28" s="31" t="s">
        <v>129</v>
      </c>
      <c r="D28" s="31" t="s">
        <v>145</v>
      </c>
      <c r="E28" s="32" t="s">
        <v>146</v>
      </c>
      <c r="F28" s="32" t="s">
        <v>147</v>
      </c>
      <c r="G28" s="33" t="s">
        <v>136</v>
      </c>
      <c r="H28" s="31"/>
      <c r="I28" s="24" t="n">
        <f aca="false">IF(B28="","",YEAR(B28))</f>
        <v>2026</v>
      </c>
      <c r="J28" s="34" t="str">
        <f aca="false">IF(B28="","",IF(MONTH(B28)=1,"X",""))</f>
        <v/>
      </c>
      <c r="K28" s="34" t="str">
        <f aca="false">IF(B28="","",IF(MONTH(B28)=2,"X",""))</f>
        <v/>
      </c>
      <c r="L28" s="34" t="str">
        <f aca="false">IF(B28="","",IF(MONTH(B28)=3,"X",""))</f>
        <v/>
      </c>
      <c r="M28" s="34" t="str">
        <f aca="false">IF(B28="","",IF(MONTH(B28)=4,"X",""))</f>
        <v/>
      </c>
      <c r="N28" s="34" t="str">
        <f aca="false">IF(B28="","",IF(MONTH(B28)=5,"X",""))</f>
        <v>X</v>
      </c>
      <c r="O28" s="34" t="str">
        <f aca="false">IF(B28="","",IF(MONTH(B28)=6,"X",""))</f>
        <v/>
      </c>
      <c r="P28" s="34" t="str">
        <f aca="false">IF(B28="","",IF(MONTH(B28)=7,"X",""))</f>
        <v/>
      </c>
      <c r="Q28" s="34" t="str">
        <f aca="false">IF(B28="","",IF(MONTH(B28)=8,"X",""))</f>
        <v/>
      </c>
      <c r="R28" s="34" t="str">
        <f aca="false">IF(B28="","",IF(MONTH(B28)=9,"X",""))</f>
        <v/>
      </c>
      <c r="S28" s="34" t="str">
        <f aca="false">IF(B28="","",IF(MONTH(B28)=10,"X",""))</f>
        <v/>
      </c>
      <c r="T28" s="34" t="str">
        <f aca="false">IF(B28="","",IF(MONTH(B28)=11,"X",""))</f>
        <v/>
      </c>
      <c r="U28" s="34" t="str">
        <f aca="false">IF(B28="","",IF(MONTH(B28)=12,"X",""))</f>
        <v/>
      </c>
      <c r="V28" s="24" t="n">
        <f aca="false">IF(E28="","",COUNTIF($E$5:$E$1000,E28))</f>
        <v>3</v>
      </c>
      <c r="W28" s="35" t="str">
        <f aca="false">IF(E28="","",_xlfn.TEXTJOIN(" + ",TRUE(),IF(COUNTIFS($E$5:$E$1000,E28,$C$5:$C$1000,"Auditoría Interna")&gt;0,"Interna",""),IF(COUNTIFS($E$5:$E$1000,E28,$C$5:$C$1000,"Auditoría Externa")&gt;0,"Externa",""),IF(COUNTIFS($E$5:$E$1000,E28,$C$5:$C$1000,"SSF")&gt;0,"SSF",""),IF(COUNTIFS($E$5:$E$1000,E28,$C$5:$C$1000,"Comité de Supervisión")&gt;0,"Comité Sup.",""),IF(COUNTIFS($E$5:$E$1000,E28,$C$5:$C$1000,"Consejo de Administración")&gt;0,"Consejo",""),IF(COUNTIFS($E$5:$E$1000,E28,$C$5:$C$1000,"Otros")&gt;0,"Otros","")))</f>
        <v>Interna + Externa</v>
      </c>
      <c r="X28" s="24" t="n">
        <f aca="false">IF(E28="","",COUNTIFS($E$5:$E$1000,E28,$AB$5:$AB$1000,AB28,$C$5:$C$1000,"&lt;&gt;"&amp;C28))</f>
        <v>0</v>
      </c>
      <c r="Y28" s="20" t="s">
        <v>133</v>
      </c>
      <c r="Z28" s="8" t="n">
        <v>7</v>
      </c>
      <c r="AA28" s="36"/>
      <c r="AB28" s="37" t="n">
        <f aca="false">IF(B28="","",YEAR(B28)*100+MONTH(B28))</f>
        <v>202605</v>
      </c>
      <c r="AC28" s="37" t="str">
        <f aca="false">IF(AND(E28&lt;&gt;"",E28=Cruce!$C$5),COUNTIF($E$5:E28,E28),"")</f>
        <v/>
      </c>
      <c r="AD28" s="37" t="str">
        <f aca="false">IF(E28="","",C28&amp;"|"&amp;Y28&amp;"|"&amp;IF(B28="","s/f",TEXT(B28,"yyyymmdd")))</f>
        <v>Auditoría Interna|Auditoria interna 1|20260506</v>
      </c>
      <c r="AE28" s="37" t="n">
        <f aca="false">IF(E28="",0,IF(COUNTIFS($E$5:E28,E28,$AD$5:AD28,AD28)=1,1,0))</f>
        <v>1</v>
      </c>
    </row>
    <row r="29" customFormat="false" ht="45" hidden="false" customHeight="true" outlineLevel="0" collapsed="false">
      <c r="A29" s="8" t="n">
        <v>25</v>
      </c>
      <c r="B29" s="30" t="n">
        <v>46148</v>
      </c>
      <c r="C29" s="31" t="s">
        <v>129</v>
      </c>
      <c r="D29" s="31" t="s">
        <v>148</v>
      </c>
      <c r="E29" s="32" t="s">
        <v>146</v>
      </c>
      <c r="F29" s="32" t="s">
        <v>149</v>
      </c>
      <c r="G29" s="33" t="s">
        <v>136</v>
      </c>
      <c r="H29" s="31"/>
      <c r="I29" s="24" t="n">
        <f aca="false">IF(B29="","",YEAR(B29))</f>
        <v>2026</v>
      </c>
      <c r="J29" s="34" t="str">
        <f aca="false">IF(B29="","",IF(MONTH(B29)=1,"X",""))</f>
        <v/>
      </c>
      <c r="K29" s="34" t="str">
        <f aca="false">IF(B29="","",IF(MONTH(B29)=2,"X",""))</f>
        <v/>
      </c>
      <c r="L29" s="34" t="str">
        <f aca="false">IF(B29="","",IF(MONTH(B29)=3,"X",""))</f>
        <v/>
      </c>
      <c r="M29" s="34" t="str">
        <f aca="false">IF(B29="","",IF(MONTH(B29)=4,"X",""))</f>
        <v/>
      </c>
      <c r="N29" s="34" t="str">
        <f aca="false">IF(B29="","",IF(MONTH(B29)=5,"X",""))</f>
        <v>X</v>
      </c>
      <c r="O29" s="34" t="str">
        <f aca="false">IF(B29="","",IF(MONTH(B29)=6,"X",""))</f>
        <v/>
      </c>
      <c r="P29" s="34" t="str">
        <f aca="false">IF(B29="","",IF(MONTH(B29)=7,"X",""))</f>
        <v/>
      </c>
      <c r="Q29" s="34" t="str">
        <f aca="false">IF(B29="","",IF(MONTH(B29)=8,"X",""))</f>
        <v/>
      </c>
      <c r="R29" s="34" t="str">
        <f aca="false">IF(B29="","",IF(MONTH(B29)=9,"X",""))</f>
        <v/>
      </c>
      <c r="S29" s="34" t="str">
        <f aca="false">IF(B29="","",IF(MONTH(B29)=10,"X",""))</f>
        <v/>
      </c>
      <c r="T29" s="34" t="str">
        <f aca="false">IF(B29="","",IF(MONTH(B29)=11,"X",""))</f>
        <v/>
      </c>
      <c r="U29" s="34" t="str">
        <f aca="false">IF(B29="","",IF(MONTH(B29)=12,"X",""))</f>
        <v/>
      </c>
      <c r="V29" s="24" t="n">
        <f aca="false">IF(E29="","",COUNTIF($E$5:$E$1000,E29))</f>
        <v>3</v>
      </c>
      <c r="W29" s="35" t="str">
        <f aca="false">IF(E29="","",_xlfn.TEXTJOIN(" + ",TRUE(),IF(COUNTIFS($E$5:$E$1000,E29,$C$5:$C$1000,"Auditoría Interna")&gt;0,"Interna",""),IF(COUNTIFS($E$5:$E$1000,E29,$C$5:$C$1000,"Auditoría Externa")&gt;0,"Externa",""),IF(COUNTIFS($E$5:$E$1000,E29,$C$5:$C$1000,"SSF")&gt;0,"SSF",""),IF(COUNTIFS($E$5:$E$1000,E29,$C$5:$C$1000,"Comité de Supervisión")&gt;0,"Comité Sup.",""),IF(COUNTIFS($E$5:$E$1000,E29,$C$5:$C$1000,"Consejo de Administración")&gt;0,"Consejo",""),IF(COUNTIFS($E$5:$E$1000,E29,$C$5:$C$1000,"Otros")&gt;0,"Otros","")))</f>
        <v>Interna + Externa</v>
      </c>
      <c r="X29" s="24" t="n">
        <f aca="false">IF(E29="","",COUNTIFS($E$5:$E$1000,E29,$AB$5:$AB$1000,AB29,$C$5:$C$1000,"&lt;&gt;"&amp;C29))</f>
        <v>0</v>
      </c>
      <c r="Y29" s="20" t="s">
        <v>133</v>
      </c>
      <c r="Z29" s="8" t="n">
        <v>8</v>
      </c>
      <c r="AA29" s="36"/>
      <c r="AB29" s="37" t="n">
        <f aca="false">IF(B29="","",YEAR(B29)*100+MONTH(B29))</f>
        <v>202605</v>
      </c>
      <c r="AC29" s="37" t="str">
        <f aca="false">IF(AND(E29&lt;&gt;"",E29=Cruce!$C$5),COUNTIF($E$5:E29,E29),"")</f>
        <v/>
      </c>
      <c r="AD29" s="37" t="str">
        <f aca="false">IF(E29="","",C29&amp;"|"&amp;Y29&amp;"|"&amp;IF(B29="","s/f",TEXT(B29,"yyyymmdd")))</f>
        <v>Auditoría Interna|Auditoria interna 1|20260506</v>
      </c>
      <c r="AE29" s="37" t="n">
        <f aca="false">IF(E29="",0,IF(COUNTIFS($E$5:E29,E29,$AD$5:AD29,AD29)=1,1,0))</f>
        <v>0</v>
      </c>
    </row>
    <row r="30" customFormat="false" ht="45" hidden="false" customHeight="true" outlineLevel="0" collapsed="false">
      <c r="A30" s="8" t="n">
        <v>26</v>
      </c>
      <c r="B30" s="30" t="n">
        <v>46148</v>
      </c>
      <c r="C30" s="31" t="s">
        <v>129</v>
      </c>
      <c r="D30" s="31" t="s">
        <v>83</v>
      </c>
      <c r="E30" s="32" t="s">
        <v>150</v>
      </c>
      <c r="F30" s="32" t="s">
        <v>151</v>
      </c>
      <c r="G30" s="33" t="s">
        <v>152</v>
      </c>
      <c r="H30" s="31"/>
      <c r="I30" s="24" t="n">
        <f aca="false">IF(B30="","",YEAR(B30))</f>
        <v>2026</v>
      </c>
      <c r="J30" s="34" t="str">
        <f aca="false">IF(B30="","",IF(MONTH(B30)=1,"X",""))</f>
        <v/>
      </c>
      <c r="K30" s="34" t="str">
        <f aca="false">IF(B30="","",IF(MONTH(B30)=2,"X",""))</f>
        <v/>
      </c>
      <c r="L30" s="34" t="str">
        <f aca="false">IF(B30="","",IF(MONTH(B30)=3,"X",""))</f>
        <v/>
      </c>
      <c r="M30" s="34" t="str">
        <f aca="false">IF(B30="","",IF(MONTH(B30)=4,"X",""))</f>
        <v/>
      </c>
      <c r="N30" s="34" t="str">
        <f aca="false">IF(B30="","",IF(MONTH(B30)=5,"X",""))</f>
        <v>X</v>
      </c>
      <c r="O30" s="34" t="str">
        <f aca="false">IF(B30="","",IF(MONTH(B30)=6,"X",""))</f>
        <v/>
      </c>
      <c r="P30" s="34" t="str">
        <f aca="false">IF(B30="","",IF(MONTH(B30)=7,"X",""))</f>
        <v/>
      </c>
      <c r="Q30" s="34" t="str">
        <f aca="false">IF(B30="","",IF(MONTH(B30)=8,"X",""))</f>
        <v/>
      </c>
      <c r="R30" s="34" t="str">
        <f aca="false">IF(B30="","",IF(MONTH(B30)=9,"X",""))</f>
        <v/>
      </c>
      <c r="S30" s="34" t="str">
        <f aca="false">IF(B30="","",IF(MONTH(B30)=10,"X",""))</f>
        <v/>
      </c>
      <c r="T30" s="34" t="str">
        <f aca="false">IF(B30="","",IF(MONTH(B30)=11,"X",""))</f>
        <v/>
      </c>
      <c r="U30" s="34" t="str">
        <f aca="false">IF(B30="","",IF(MONTH(B30)=12,"X",""))</f>
        <v/>
      </c>
      <c r="V30" s="24" t="n">
        <f aca="false">IF(E30="","",COUNTIF($E$5:$E$1000,E30))</f>
        <v>5</v>
      </c>
      <c r="W30" s="35" t="str">
        <f aca="false">IF(E30="","",_xlfn.TEXTJOIN(" + ",TRUE(),IF(COUNTIFS($E$5:$E$1000,E30,$C$5:$C$1000,"Auditoría Interna")&gt;0,"Interna",""),IF(COUNTIFS($E$5:$E$1000,E30,$C$5:$C$1000,"Auditoría Externa")&gt;0,"Externa",""),IF(COUNTIFS($E$5:$E$1000,E30,$C$5:$C$1000,"SSF")&gt;0,"SSF",""),IF(COUNTIFS($E$5:$E$1000,E30,$C$5:$C$1000,"Comité de Supervisión")&gt;0,"Comité Sup.",""),IF(COUNTIFS($E$5:$E$1000,E30,$C$5:$C$1000,"Consejo de Administración")&gt;0,"Consejo",""),IF(COUNTIFS($E$5:$E$1000,E30,$C$5:$C$1000,"Otros")&gt;0,"Otros","")))</f>
        <v>Interna + Externa</v>
      </c>
      <c r="X30" s="24" t="n">
        <f aca="false">IF(E30="","",COUNTIFS($E$5:$E$1000,E30,$AB$5:$AB$1000,AB30,$C$5:$C$1000,"&lt;&gt;"&amp;C30))</f>
        <v>0</v>
      </c>
      <c r="Y30" s="20" t="s">
        <v>133</v>
      </c>
      <c r="Z30" s="8" t="n">
        <v>9</v>
      </c>
      <c r="AA30" s="36"/>
      <c r="AB30" s="37" t="n">
        <f aca="false">IF(B30="","",YEAR(B30)*100+MONTH(B30))</f>
        <v>202605</v>
      </c>
      <c r="AC30" s="37" t="str">
        <f aca="false">IF(AND(E30&lt;&gt;"",E30=Cruce!$C$5),COUNTIF($E$5:E30,E30),"")</f>
        <v/>
      </c>
      <c r="AD30" s="37" t="str">
        <f aca="false">IF(E30="","",C30&amp;"|"&amp;Y30&amp;"|"&amp;IF(B30="","s/f",TEXT(B30,"yyyymmdd")))</f>
        <v>Auditoría Interna|Auditoria interna 1|20260506</v>
      </c>
      <c r="AE30" s="37" t="n">
        <f aca="false">IF(E30="",0,IF(COUNTIFS($E$5:E30,E30,$AD$5:AD30,AD30)=1,1,0))</f>
        <v>1</v>
      </c>
    </row>
    <row r="31" customFormat="false" ht="45" hidden="false" customHeight="true" outlineLevel="0" collapsed="false">
      <c r="A31" s="8" t="n">
        <v>27</v>
      </c>
      <c r="B31" s="30" t="n">
        <v>46148</v>
      </c>
      <c r="C31" s="31" t="s">
        <v>129</v>
      </c>
      <c r="D31" s="31" t="s">
        <v>87</v>
      </c>
      <c r="E31" s="32" t="s">
        <v>88</v>
      </c>
      <c r="F31" s="32" t="s">
        <v>153</v>
      </c>
      <c r="G31" s="33" t="s">
        <v>152</v>
      </c>
      <c r="H31" s="31"/>
      <c r="I31" s="24" t="n">
        <f aca="false">IF(B31="","",YEAR(B31))</f>
        <v>2026</v>
      </c>
      <c r="J31" s="34" t="str">
        <f aca="false">IF(B31="","",IF(MONTH(B31)=1,"X",""))</f>
        <v/>
      </c>
      <c r="K31" s="34" t="str">
        <f aca="false">IF(B31="","",IF(MONTH(B31)=2,"X",""))</f>
        <v/>
      </c>
      <c r="L31" s="34" t="str">
        <f aca="false">IF(B31="","",IF(MONTH(B31)=3,"X",""))</f>
        <v/>
      </c>
      <c r="M31" s="34" t="str">
        <f aca="false">IF(B31="","",IF(MONTH(B31)=4,"X",""))</f>
        <v/>
      </c>
      <c r="N31" s="34" t="str">
        <f aca="false">IF(B31="","",IF(MONTH(B31)=5,"X",""))</f>
        <v>X</v>
      </c>
      <c r="O31" s="34" t="str">
        <f aca="false">IF(B31="","",IF(MONTH(B31)=6,"X",""))</f>
        <v/>
      </c>
      <c r="P31" s="34" t="str">
        <f aca="false">IF(B31="","",IF(MONTH(B31)=7,"X",""))</f>
        <v/>
      </c>
      <c r="Q31" s="34" t="str">
        <f aca="false">IF(B31="","",IF(MONTH(B31)=8,"X",""))</f>
        <v/>
      </c>
      <c r="R31" s="34" t="str">
        <f aca="false">IF(B31="","",IF(MONTH(B31)=9,"X",""))</f>
        <v/>
      </c>
      <c r="S31" s="34" t="str">
        <f aca="false">IF(B31="","",IF(MONTH(B31)=10,"X",""))</f>
        <v/>
      </c>
      <c r="T31" s="34" t="str">
        <f aca="false">IF(B31="","",IF(MONTH(B31)=11,"X",""))</f>
        <v/>
      </c>
      <c r="U31" s="34" t="str">
        <f aca="false">IF(B31="","",IF(MONTH(B31)=12,"X",""))</f>
        <v/>
      </c>
      <c r="V31" s="24" t="n">
        <f aca="false">IF(E31="","",COUNTIF($E$5:$E$1000,E31))</f>
        <v>2</v>
      </c>
      <c r="W31" s="35" t="str">
        <f aca="false">IF(E31="","",_xlfn.TEXTJOIN(" + ",TRUE(),IF(COUNTIFS($E$5:$E$1000,E31,$C$5:$C$1000,"Auditoría Interna")&gt;0,"Interna",""),IF(COUNTIFS($E$5:$E$1000,E31,$C$5:$C$1000,"Auditoría Externa")&gt;0,"Externa",""),IF(COUNTIFS($E$5:$E$1000,E31,$C$5:$C$1000,"SSF")&gt;0,"SSF",""),IF(COUNTIFS($E$5:$E$1000,E31,$C$5:$C$1000,"Comité de Supervisión")&gt;0,"Comité Sup.",""),IF(COUNTIFS($E$5:$E$1000,E31,$C$5:$C$1000,"Consejo de Administración")&gt;0,"Consejo",""),IF(COUNTIFS($E$5:$E$1000,E31,$C$5:$C$1000,"Otros")&gt;0,"Otros","")))</f>
        <v>Interna + SSF</v>
      </c>
      <c r="X31" s="24" t="n">
        <f aca="false">IF(E31="","",COUNTIFS($E$5:$E$1000,E31,$AB$5:$AB$1000,AB31,$C$5:$C$1000,"&lt;&gt;"&amp;C31))</f>
        <v>0</v>
      </c>
      <c r="Y31" s="20" t="s">
        <v>133</v>
      </c>
      <c r="Z31" s="8" t="n">
        <v>10</v>
      </c>
      <c r="AA31" s="36"/>
      <c r="AB31" s="37" t="n">
        <f aca="false">IF(B31="","",YEAR(B31)*100+MONTH(B31))</f>
        <v>202605</v>
      </c>
      <c r="AC31" s="37" t="str">
        <f aca="false">IF(AND(E31&lt;&gt;"",E31=Cruce!$C$5),COUNTIF($E$5:E31,E31),"")</f>
        <v/>
      </c>
      <c r="AD31" s="37" t="str">
        <f aca="false">IF(E31="","",C31&amp;"|"&amp;Y31&amp;"|"&amp;IF(B31="","s/f",TEXT(B31,"yyyymmdd")))</f>
        <v>Auditoría Interna|Auditoria interna 1|20260506</v>
      </c>
      <c r="AE31" s="37" t="n">
        <f aca="false">IF(E31="",0,IF(COUNTIFS($E$5:E31,E31,$AD$5:AD31,AD31)=1,1,0))</f>
        <v>1</v>
      </c>
    </row>
    <row r="32" customFormat="false" ht="45" hidden="false" customHeight="true" outlineLevel="0" collapsed="false">
      <c r="A32" s="8" t="n">
        <v>28</v>
      </c>
      <c r="B32" s="30" t="n">
        <v>46217</v>
      </c>
      <c r="C32" s="31" t="s">
        <v>9</v>
      </c>
      <c r="D32" s="31" t="s">
        <v>83</v>
      </c>
      <c r="E32" s="32" t="s">
        <v>84</v>
      </c>
      <c r="F32" s="32" t="s">
        <v>154</v>
      </c>
      <c r="G32" s="33"/>
      <c r="H32" s="31"/>
      <c r="I32" s="24" t="n">
        <f aca="false">IF(B32="","",YEAR(B32))</f>
        <v>2026</v>
      </c>
      <c r="J32" s="34" t="str">
        <f aca="false">IF(B32="","",IF(MONTH(B32)=1,"X",""))</f>
        <v/>
      </c>
      <c r="K32" s="34" t="str">
        <f aca="false">IF(B32="","",IF(MONTH(B32)=2,"X",""))</f>
        <v/>
      </c>
      <c r="L32" s="34" t="str">
        <f aca="false">IF(B32="","",IF(MONTH(B32)=3,"X",""))</f>
        <v/>
      </c>
      <c r="M32" s="34" t="str">
        <f aca="false">IF(B32="","",IF(MONTH(B32)=4,"X",""))</f>
        <v/>
      </c>
      <c r="N32" s="34" t="str">
        <f aca="false">IF(B32="","",IF(MONTH(B32)=5,"X",""))</f>
        <v/>
      </c>
      <c r="O32" s="34" t="str">
        <f aca="false">IF(B32="","",IF(MONTH(B32)=6,"X",""))</f>
        <v/>
      </c>
      <c r="P32" s="34" t="str">
        <f aca="false">IF(B32="","",IF(MONTH(B32)=7,"X",""))</f>
        <v>X</v>
      </c>
      <c r="Q32" s="34" t="str">
        <f aca="false">IF(B32="","",IF(MONTH(B32)=8,"X",""))</f>
        <v/>
      </c>
      <c r="R32" s="34" t="str">
        <f aca="false">IF(B32="","",IF(MONTH(B32)=9,"X",""))</f>
        <v/>
      </c>
      <c r="S32" s="34" t="str">
        <f aca="false">IF(B32="","",IF(MONTH(B32)=10,"X",""))</f>
        <v/>
      </c>
      <c r="T32" s="34" t="str">
        <f aca="false">IF(B32="","",IF(MONTH(B32)=11,"X",""))</f>
        <v/>
      </c>
      <c r="U32" s="34" t="str">
        <f aca="false">IF(B32="","",IF(MONTH(B32)=12,"X",""))</f>
        <v/>
      </c>
      <c r="V32" s="24" t="n">
        <f aca="false">IF(E32="","",COUNTIF($E$5:$E$1000,E32))</f>
        <v>4</v>
      </c>
      <c r="W32" s="35" t="str">
        <f aca="false">IF(E32="","",_xlfn.TEXTJOIN(" + ",TRUE(),IF(COUNTIFS($E$5:$E$1000,E32,$C$5:$C$1000,"Auditoría Interna")&gt;0,"Interna",""),IF(COUNTIFS($E$5:$E$1000,E32,$C$5:$C$1000,"Auditoría Externa")&gt;0,"Externa",""),IF(COUNTIFS($E$5:$E$1000,E32,$C$5:$C$1000,"SSF")&gt;0,"SSF",""),IF(COUNTIFS($E$5:$E$1000,E32,$C$5:$C$1000,"Comité de Supervisión")&gt;0,"Comité Sup.",""),IF(COUNTIFS($E$5:$E$1000,E32,$C$5:$C$1000,"Consejo de Administración")&gt;0,"Consejo",""),IF(COUNTIFS($E$5:$E$1000,E32,$C$5:$C$1000,"Otros")&gt;0,"Otros","")))</f>
        <v>SSF</v>
      </c>
      <c r="X32" s="24" t="n">
        <f aca="false">IF(E32="","",COUNTIFS($E$5:$E$1000,E32,$AB$5:$AB$1000,AB32,$C$5:$C$1000,"&lt;&gt;"&amp;C32))</f>
        <v>0</v>
      </c>
      <c r="Y32" s="20" t="s">
        <v>73</v>
      </c>
      <c r="Z32" s="8" t="n">
        <v>20</v>
      </c>
      <c r="AA32" s="36" t="s">
        <v>155</v>
      </c>
      <c r="AB32" s="37" t="n">
        <f aca="false">IF(B32="","",YEAR(B32)*100+MONTH(B32))</f>
        <v>202607</v>
      </c>
      <c r="AC32" s="37" t="str">
        <f aca="false">IF(AND(E32&lt;&gt;"",E32=Cruce!$C$5),COUNTIF($E$5:E32,E32),"")</f>
        <v/>
      </c>
      <c r="AD32" s="37" t="str">
        <f aca="false">IF(E32="","",C32&amp;"|"&amp;Y32&amp;"|"&amp;IF(B32="","s/f",TEXT(B32,"yyyymmdd")))</f>
        <v>SSF|Resumen visita presencialSSF|20260714</v>
      </c>
      <c r="AE32" s="37" t="n">
        <f aca="false">IF(E32="",0,IF(COUNTIFS($E$5:E32,E32,$AD$5:AD32,AD32)=1,1,0))</f>
        <v>1</v>
      </c>
    </row>
    <row r="33" customFormat="false" ht="45" hidden="false" customHeight="true" outlineLevel="0" collapsed="false">
      <c r="A33" s="8" t="n">
        <v>29</v>
      </c>
      <c r="B33" s="30" t="n">
        <v>46249</v>
      </c>
      <c r="C33" s="31" t="s">
        <v>129</v>
      </c>
      <c r="D33" s="31" t="s">
        <v>83</v>
      </c>
      <c r="E33" s="32" t="s">
        <v>130</v>
      </c>
      <c r="F33" s="32" t="s">
        <v>156</v>
      </c>
      <c r="G33" s="33" t="s">
        <v>157</v>
      </c>
      <c r="H33" s="31"/>
      <c r="I33" s="24" t="n">
        <f aca="false">IF(B33="","",YEAR(B33))</f>
        <v>2026</v>
      </c>
      <c r="J33" s="34" t="str">
        <f aca="false">IF(B33="","",IF(MONTH(B33)=1,"X",""))</f>
        <v/>
      </c>
      <c r="K33" s="34" t="str">
        <f aca="false">IF(B33="","",IF(MONTH(B33)=2,"X",""))</f>
        <v/>
      </c>
      <c r="L33" s="34" t="str">
        <f aca="false">IF(B33="","",IF(MONTH(B33)=3,"X",""))</f>
        <v/>
      </c>
      <c r="M33" s="34" t="str">
        <f aca="false">IF(B33="","",IF(MONTH(B33)=4,"X",""))</f>
        <v/>
      </c>
      <c r="N33" s="34" t="str">
        <f aca="false">IF(B33="","",IF(MONTH(B33)=5,"X",""))</f>
        <v/>
      </c>
      <c r="O33" s="34" t="str">
        <f aca="false">IF(B33="","",IF(MONTH(B33)=6,"X",""))</f>
        <v/>
      </c>
      <c r="P33" s="34" t="str">
        <f aca="false">IF(B33="","",IF(MONTH(B33)=7,"X",""))</f>
        <v/>
      </c>
      <c r="Q33" s="34" t="str">
        <f aca="false">IF(B33="","",IF(MONTH(B33)=8,"X",""))</f>
        <v>X</v>
      </c>
      <c r="R33" s="34" t="str">
        <f aca="false">IF(B33="","",IF(MONTH(B33)=9,"X",""))</f>
        <v/>
      </c>
      <c r="S33" s="34" t="str">
        <f aca="false">IF(B33="","",IF(MONTH(B33)=10,"X",""))</f>
        <v/>
      </c>
      <c r="T33" s="34" t="str">
        <f aca="false">IF(B33="","",IF(MONTH(B33)=11,"X",""))</f>
        <v/>
      </c>
      <c r="U33" s="34" t="str">
        <f aca="false">IF(B33="","",IF(MONTH(B33)=12,"X",""))</f>
        <v/>
      </c>
      <c r="V33" s="24" t="n">
        <f aca="false">IF(E33="","",COUNTIF($E$5:$E$1000,E33))</f>
        <v>7</v>
      </c>
      <c r="W33" s="35" t="str">
        <f aca="false">IF(E33="","",_xlfn.TEXTJOIN(" + ",TRUE(),IF(COUNTIFS($E$5:$E$1000,E33,$C$5:$C$1000,"Auditoría Interna")&gt;0,"Interna",""),IF(COUNTIFS($E$5:$E$1000,E33,$C$5:$C$1000,"Auditoría Externa")&gt;0,"Externa",""),IF(COUNTIFS($E$5:$E$1000,E33,$C$5:$C$1000,"SSF")&gt;0,"SSF",""),IF(COUNTIFS($E$5:$E$1000,E33,$C$5:$C$1000,"Comité de Supervisión")&gt;0,"Comité Sup.",""),IF(COUNTIFS($E$5:$E$1000,E33,$C$5:$C$1000,"Consejo de Administración")&gt;0,"Consejo",""),IF(COUNTIFS($E$5:$E$1000,E33,$C$5:$C$1000,"Otros")&gt;0,"Otros","")))</f>
        <v>Interna</v>
      </c>
      <c r="X33" s="24" t="n">
        <f aca="false">IF(E33="","",COUNTIFS($E$5:$E$1000,E33,$AB$5:$AB$1000,AB33,$C$5:$C$1000,"&lt;&gt;"&amp;C33))</f>
        <v>0</v>
      </c>
      <c r="Y33" s="20" t="s">
        <v>158</v>
      </c>
      <c r="Z33" s="8" t="n">
        <v>1</v>
      </c>
      <c r="AA33" s="36"/>
      <c r="AB33" s="37" t="n">
        <f aca="false">IF(B33="","",YEAR(B33)*100+MONTH(B33))</f>
        <v>202608</v>
      </c>
      <c r="AC33" s="37" t="str">
        <f aca="false">IF(AND(E33&lt;&gt;"",E33=Cruce!$C$5),COUNTIF($E$5:E33,E33),"")</f>
        <v/>
      </c>
      <c r="AD33" s="37" t="str">
        <f aca="false">IF(E33="","",C33&amp;"|"&amp;Y33&amp;"|"&amp;IF(B33="","s/f",TEXT(B33,"yyyymmdd")))</f>
        <v>Auditoría Interna|Auditoria interna 2|20260815</v>
      </c>
      <c r="AE33" s="37" t="n">
        <f aca="false">IF(E33="",0,IF(COUNTIFS($E$5:E33,E33,$AD$5:AD33,AD33)=1,1,0))</f>
        <v>1</v>
      </c>
    </row>
    <row r="34" customFormat="false" ht="45" hidden="false" customHeight="true" outlineLevel="0" collapsed="false">
      <c r="A34" s="8" t="n">
        <v>30</v>
      </c>
      <c r="B34" s="30" t="n">
        <v>46249</v>
      </c>
      <c r="C34" s="31" t="s">
        <v>129</v>
      </c>
      <c r="D34" s="31" t="s">
        <v>83</v>
      </c>
      <c r="E34" s="32" t="s">
        <v>142</v>
      </c>
      <c r="F34" s="32" t="s">
        <v>159</v>
      </c>
      <c r="G34" s="33" t="s">
        <v>136</v>
      </c>
      <c r="H34" s="31"/>
      <c r="I34" s="24" t="n">
        <f aca="false">IF(B34="","",YEAR(B34))</f>
        <v>2026</v>
      </c>
      <c r="J34" s="34" t="str">
        <f aca="false">IF(B34="","",IF(MONTH(B34)=1,"X",""))</f>
        <v/>
      </c>
      <c r="K34" s="34" t="str">
        <f aca="false">IF(B34="","",IF(MONTH(B34)=2,"X",""))</f>
        <v/>
      </c>
      <c r="L34" s="34" t="str">
        <f aca="false">IF(B34="","",IF(MONTH(B34)=3,"X",""))</f>
        <v/>
      </c>
      <c r="M34" s="34" t="str">
        <f aca="false">IF(B34="","",IF(MONTH(B34)=4,"X",""))</f>
        <v/>
      </c>
      <c r="N34" s="34" t="str">
        <f aca="false">IF(B34="","",IF(MONTH(B34)=5,"X",""))</f>
        <v/>
      </c>
      <c r="O34" s="34" t="str">
        <f aca="false">IF(B34="","",IF(MONTH(B34)=6,"X",""))</f>
        <v/>
      </c>
      <c r="P34" s="34" t="str">
        <f aca="false">IF(B34="","",IF(MONTH(B34)=7,"X",""))</f>
        <v/>
      </c>
      <c r="Q34" s="34" t="str">
        <f aca="false">IF(B34="","",IF(MONTH(B34)=8,"X",""))</f>
        <v>X</v>
      </c>
      <c r="R34" s="34" t="str">
        <f aca="false">IF(B34="","",IF(MONTH(B34)=9,"X",""))</f>
        <v/>
      </c>
      <c r="S34" s="34" t="str">
        <f aca="false">IF(B34="","",IF(MONTH(B34)=10,"X",""))</f>
        <v/>
      </c>
      <c r="T34" s="34" t="str">
        <f aca="false">IF(B34="","",IF(MONTH(B34)=11,"X",""))</f>
        <v/>
      </c>
      <c r="U34" s="34" t="str">
        <f aca="false">IF(B34="","",IF(MONTH(B34)=12,"X",""))</f>
        <v/>
      </c>
      <c r="V34" s="24" t="n">
        <f aca="false">IF(E34="","",COUNTIF($E$5:$E$1000,E34))</f>
        <v>5</v>
      </c>
      <c r="W34" s="35" t="str">
        <f aca="false">IF(E34="","",_xlfn.TEXTJOIN(" + ",TRUE(),IF(COUNTIFS($E$5:$E$1000,E34,$C$5:$C$1000,"Auditoría Interna")&gt;0,"Interna",""),IF(COUNTIFS($E$5:$E$1000,E34,$C$5:$C$1000,"Auditoría Externa")&gt;0,"Externa",""),IF(COUNTIFS($E$5:$E$1000,E34,$C$5:$C$1000,"SSF")&gt;0,"SSF",""),IF(COUNTIFS($E$5:$E$1000,E34,$C$5:$C$1000,"Comité de Supervisión")&gt;0,"Comité Sup.",""),IF(COUNTIFS($E$5:$E$1000,E34,$C$5:$C$1000,"Consejo de Administración")&gt;0,"Consejo",""),IF(COUNTIFS($E$5:$E$1000,E34,$C$5:$C$1000,"Otros")&gt;0,"Otros","")))</f>
        <v>Interna</v>
      </c>
      <c r="X34" s="24" t="n">
        <f aca="false">IF(E34="","",COUNTIFS($E$5:$E$1000,E34,$AB$5:$AB$1000,AB34,$C$5:$C$1000,"&lt;&gt;"&amp;C34))</f>
        <v>0</v>
      </c>
      <c r="Y34" s="20" t="s">
        <v>158</v>
      </c>
      <c r="Z34" s="8" t="n">
        <v>2</v>
      </c>
      <c r="AA34" s="36"/>
      <c r="AB34" s="37" t="n">
        <f aca="false">IF(B34="","",YEAR(B34)*100+MONTH(B34))</f>
        <v>202608</v>
      </c>
      <c r="AC34" s="37" t="str">
        <f aca="false">IF(AND(E34&lt;&gt;"",E34=Cruce!$C$5),COUNTIF($E$5:E34,E34),"")</f>
        <v/>
      </c>
      <c r="AD34" s="37" t="str">
        <f aca="false">IF(E34="","",C34&amp;"|"&amp;Y34&amp;"|"&amp;IF(B34="","s/f",TEXT(B34,"yyyymmdd")))</f>
        <v>Auditoría Interna|Auditoria interna 2|20260815</v>
      </c>
      <c r="AE34" s="37" t="n">
        <f aca="false">IF(E34="",0,IF(COUNTIFS($E$5:E34,E34,$AD$5:AD34,AD34)=1,1,0))</f>
        <v>1</v>
      </c>
    </row>
    <row r="35" customFormat="false" ht="45" hidden="false" customHeight="true" outlineLevel="0" collapsed="false">
      <c r="A35" s="8" t="n">
        <v>31</v>
      </c>
      <c r="B35" s="30" t="n">
        <v>46249</v>
      </c>
      <c r="C35" s="31" t="s">
        <v>129</v>
      </c>
      <c r="D35" s="31" t="s">
        <v>83</v>
      </c>
      <c r="E35" s="32" t="s">
        <v>150</v>
      </c>
      <c r="F35" s="32" t="s">
        <v>160</v>
      </c>
      <c r="G35" s="33" t="s">
        <v>152</v>
      </c>
      <c r="H35" s="31"/>
      <c r="I35" s="24" t="n">
        <f aca="false">IF(B35="","",YEAR(B35))</f>
        <v>2026</v>
      </c>
      <c r="J35" s="34" t="str">
        <f aca="false">IF(B35="","",IF(MONTH(B35)=1,"X",""))</f>
        <v/>
      </c>
      <c r="K35" s="34" t="str">
        <f aca="false">IF(B35="","",IF(MONTH(B35)=2,"X",""))</f>
        <v/>
      </c>
      <c r="L35" s="34" t="str">
        <f aca="false">IF(B35="","",IF(MONTH(B35)=3,"X",""))</f>
        <v/>
      </c>
      <c r="M35" s="34" t="str">
        <f aca="false">IF(B35="","",IF(MONTH(B35)=4,"X",""))</f>
        <v/>
      </c>
      <c r="N35" s="34" t="str">
        <f aca="false">IF(B35="","",IF(MONTH(B35)=5,"X",""))</f>
        <v/>
      </c>
      <c r="O35" s="34" t="str">
        <f aca="false">IF(B35="","",IF(MONTH(B35)=6,"X",""))</f>
        <v/>
      </c>
      <c r="P35" s="34" t="str">
        <f aca="false">IF(B35="","",IF(MONTH(B35)=7,"X",""))</f>
        <v/>
      </c>
      <c r="Q35" s="34" t="str">
        <f aca="false">IF(B35="","",IF(MONTH(B35)=8,"X",""))</f>
        <v>X</v>
      </c>
      <c r="R35" s="34" t="str">
        <f aca="false">IF(B35="","",IF(MONTH(B35)=9,"X",""))</f>
        <v/>
      </c>
      <c r="S35" s="34" t="str">
        <f aca="false">IF(B35="","",IF(MONTH(B35)=10,"X",""))</f>
        <v/>
      </c>
      <c r="T35" s="34" t="str">
        <f aca="false">IF(B35="","",IF(MONTH(B35)=11,"X",""))</f>
        <v/>
      </c>
      <c r="U35" s="34" t="str">
        <f aca="false">IF(B35="","",IF(MONTH(B35)=12,"X",""))</f>
        <v/>
      </c>
      <c r="V35" s="24" t="n">
        <f aca="false">IF(E35="","",COUNTIF($E$5:$E$1000,E35))</f>
        <v>5</v>
      </c>
      <c r="W35" s="35" t="str">
        <f aca="false">IF(E35="","",_xlfn.TEXTJOIN(" + ",TRUE(),IF(COUNTIFS($E$5:$E$1000,E35,$C$5:$C$1000,"Auditoría Interna")&gt;0,"Interna",""),IF(COUNTIFS($E$5:$E$1000,E35,$C$5:$C$1000,"Auditoría Externa")&gt;0,"Externa",""),IF(COUNTIFS($E$5:$E$1000,E35,$C$5:$C$1000,"SSF")&gt;0,"SSF",""),IF(COUNTIFS($E$5:$E$1000,E35,$C$5:$C$1000,"Comité de Supervisión")&gt;0,"Comité Sup.",""),IF(COUNTIFS($E$5:$E$1000,E35,$C$5:$C$1000,"Consejo de Administración")&gt;0,"Consejo",""),IF(COUNTIFS($E$5:$E$1000,E35,$C$5:$C$1000,"Otros")&gt;0,"Otros","")))</f>
        <v>Interna + Externa</v>
      </c>
      <c r="X35" s="24" t="n">
        <f aca="false">IF(E35="","",COUNTIFS($E$5:$E$1000,E35,$AB$5:$AB$1000,AB35,$C$5:$C$1000,"&lt;&gt;"&amp;C35))</f>
        <v>0</v>
      </c>
      <c r="Y35" s="20" t="s">
        <v>158</v>
      </c>
      <c r="Z35" s="8" t="n">
        <v>3</v>
      </c>
      <c r="AA35" s="36"/>
      <c r="AB35" s="37" t="n">
        <f aca="false">IF(B35="","",YEAR(B35)*100+MONTH(B35))</f>
        <v>202608</v>
      </c>
      <c r="AC35" s="37" t="str">
        <f aca="false">IF(AND(E35&lt;&gt;"",E35=Cruce!$C$5),COUNTIF($E$5:E35,E35),"")</f>
        <v/>
      </c>
      <c r="AD35" s="37" t="str">
        <f aca="false">IF(E35="","",C35&amp;"|"&amp;Y35&amp;"|"&amp;IF(B35="","s/f",TEXT(B35,"yyyymmdd")))</f>
        <v>Auditoría Interna|Auditoria interna 2|20260815</v>
      </c>
      <c r="AE35" s="37" t="n">
        <f aca="false">IF(E35="",0,IF(COUNTIFS($E$5:E35,E35,$AD$5:AD35,AD35)=1,1,0))</f>
        <v>1</v>
      </c>
    </row>
    <row r="36" customFormat="false" ht="45" hidden="false" customHeight="true" outlineLevel="0" collapsed="false">
      <c r="A36" s="8" t="n">
        <v>32</v>
      </c>
      <c r="B36" s="30" t="n">
        <v>46249</v>
      </c>
      <c r="C36" s="31" t="s">
        <v>129</v>
      </c>
      <c r="D36" s="31" t="s">
        <v>83</v>
      </c>
      <c r="E36" s="32" t="s">
        <v>150</v>
      </c>
      <c r="F36" s="32" t="s">
        <v>161</v>
      </c>
      <c r="G36" s="33" t="s">
        <v>152</v>
      </c>
      <c r="H36" s="31"/>
      <c r="I36" s="24" t="n">
        <f aca="false">IF(B36="","",YEAR(B36))</f>
        <v>2026</v>
      </c>
      <c r="J36" s="34" t="str">
        <f aca="false">IF(B36="","",IF(MONTH(B36)=1,"X",""))</f>
        <v/>
      </c>
      <c r="K36" s="34" t="str">
        <f aca="false">IF(B36="","",IF(MONTH(B36)=2,"X",""))</f>
        <v/>
      </c>
      <c r="L36" s="34" t="str">
        <f aca="false">IF(B36="","",IF(MONTH(B36)=3,"X",""))</f>
        <v/>
      </c>
      <c r="M36" s="34" t="str">
        <f aca="false">IF(B36="","",IF(MONTH(B36)=4,"X",""))</f>
        <v/>
      </c>
      <c r="N36" s="34" t="str">
        <f aca="false">IF(B36="","",IF(MONTH(B36)=5,"X",""))</f>
        <v/>
      </c>
      <c r="O36" s="34" t="str">
        <f aca="false">IF(B36="","",IF(MONTH(B36)=6,"X",""))</f>
        <v/>
      </c>
      <c r="P36" s="34" t="str">
        <f aca="false">IF(B36="","",IF(MONTH(B36)=7,"X",""))</f>
        <v/>
      </c>
      <c r="Q36" s="34" t="str">
        <f aca="false">IF(B36="","",IF(MONTH(B36)=8,"X",""))</f>
        <v>X</v>
      </c>
      <c r="R36" s="34" t="str">
        <f aca="false">IF(B36="","",IF(MONTH(B36)=9,"X",""))</f>
        <v/>
      </c>
      <c r="S36" s="34" t="str">
        <f aca="false">IF(B36="","",IF(MONTH(B36)=10,"X",""))</f>
        <v/>
      </c>
      <c r="T36" s="34" t="str">
        <f aca="false">IF(B36="","",IF(MONTH(B36)=11,"X",""))</f>
        <v/>
      </c>
      <c r="U36" s="34" t="str">
        <f aca="false">IF(B36="","",IF(MONTH(B36)=12,"X",""))</f>
        <v/>
      </c>
      <c r="V36" s="24" t="n">
        <f aca="false">IF(E36="","",COUNTIF($E$5:$E$1000,E36))</f>
        <v>5</v>
      </c>
      <c r="W36" s="35" t="str">
        <f aca="false">IF(E36="","",_xlfn.TEXTJOIN(" + ",TRUE(),IF(COUNTIFS($E$5:$E$1000,E36,$C$5:$C$1000,"Auditoría Interna")&gt;0,"Interna",""),IF(COUNTIFS($E$5:$E$1000,E36,$C$5:$C$1000,"Auditoría Externa")&gt;0,"Externa",""),IF(COUNTIFS($E$5:$E$1000,E36,$C$5:$C$1000,"SSF")&gt;0,"SSF",""),IF(COUNTIFS($E$5:$E$1000,E36,$C$5:$C$1000,"Comité de Supervisión")&gt;0,"Comité Sup.",""),IF(COUNTIFS($E$5:$E$1000,E36,$C$5:$C$1000,"Consejo de Administración")&gt;0,"Consejo",""),IF(COUNTIFS($E$5:$E$1000,E36,$C$5:$C$1000,"Otros")&gt;0,"Otros","")))</f>
        <v>Interna + Externa</v>
      </c>
      <c r="X36" s="24" t="n">
        <f aca="false">IF(E36="","",COUNTIFS($E$5:$E$1000,E36,$AB$5:$AB$1000,AB36,$C$5:$C$1000,"&lt;&gt;"&amp;C36))</f>
        <v>0</v>
      </c>
      <c r="Y36" s="20" t="s">
        <v>158</v>
      </c>
      <c r="Z36" s="8" t="n">
        <v>4</v>
      </c>
      <c r="AA36" s="36"/>
      <c r="AB36" s="37" t="n">
        <f aca="false">IF(B36="","",YEAR(B36)*100+MONTH(B36))</f>
        <v>202608</v>
      </c>
      <c r="AC36" s="37" t="str">
        <f aca="false">IF(AND(E36&lt;&gt;"",E36=Cruce!$C$5),COUNTIF($E$5:E36,E36),"")</f>
        <v/>
      </c>
      <c r="AD36" s="37" t="str">
        <f aca="false">IF(E36="","",C36&amp;"|"&amp;Y36&amp;"|"&amp;IF(B36="","s/f",TEXT(B36,"yyyymmdd")))</f>
        <v>Auditoría Interna|Auditoria interna 2|20260815</v>
      </c>
      <c r="AE36" s="37" t="n">
        <f aca="false">IF(E36="",0,IF(COUNTIFS($E$5:E36,E36,$AD$5:AD36,AD36)=1,1,0))</f>
        <v>0</v>
      </c>
    </row>
    <row r="37" customFormat="false" ht="45" hidden="false" customHeight="true" outlineLevel="0" collapsed="false">
      <c r="A37" s="8" t="n">
        <v>33</v>
      </c>
      <c r="B37" s="30" t="n">
        <v>46249</v>
      </c>
      <c r="C37" s="31" t="s">
        <v>129</v>
      </c>
      <c r="D37" s="31" t="s">
        <v>83</v>
      </c>
      <c r="E37" s="32" t="s">
        <v>162</v>
      </c>
      <c r="F37" s="32" t="s">
        <v>163</v>
      </c>
      <c r="G37" s="33"/>
      <c r="H37" s="31"/>
      <c r="I37" s="24" t="n">
        <f aca="false">IF(B37="","",YEAR(B37))</f>
        <v>2026</v>
      </c>
      <c r="J37" s="34" t="str">
        <f aca="false">IF(B37="","",IF(MONTH(B37)=1,"X",""))</f>
        <v/>
      </c>
      <c r="K37" s="34" t="str">
        <f aca="false">IF(B37="","",IF(MONTH(B37)=2,"X",""))</f>
        <v/>
      </c>
      <c r="L37" s="34" t="str">
        <f aca="false">IF(B37="","",IF(MONTH(B37)=3,"X",""))</f>
        <v/>
      </c>
      <c r="M37" s="34" t="str">
        <f aca="false">IF(B37="","",IF(MONTH(B37)=4,"X",""))</f>
        <v/>
      </c>
      <c r="N37" s="34" t="str">
        <f aca="false">IF(B37="","",IF(MONTH(B37)=5,"X",""))</f>
        <v/>
      </c>
      <c r="O37" s="34" t="str">
        <f aca="false">IF(B37="","",IF(MONTH(B37)=6,"X",""))</f>
        <v/>
      </c>
      <c r="P37" s="34" t="str">
        <f aca="false">IF(B37="","",IF(MONTH(B37)=7,"X",""))</f>
        <v/>
      </c>
      <c r="Q37" s="34" t="str">
        <f aca="false">IF(B37="","",IF(MONTH(B37)=8,"X",""))</f>
        <v>X</v>
      </c>
      <c r="R37" s="34" t="str">
        <f aca="false">IF(B37="","",IF(MONTH(B37)=9,"X",""))</f>
        <v/>
      </c>
      <c r="S37" s="34" t="str">
        <f aca="false">IF(B37="","",IF(MONTH(B37)=10,"X",""))</f>
        <v/>
      </c>
      <c r="T37" s="34" t="str">
        <f aca="false">IF(B37="","",IF(MONTH(B37)=11,"X",""))</f>
        <v/>
      </c>
      <c r="U37" s="34" t="str">
        <f aca="false">IF(B37="","",IF(MONTH(B37)=12,"X",""))</f>
        <v/>
      </c>
      <c r="V37" s="24" t="n">
        <f aca="false">IF(E37="","",COUNTIF($E$5:$E$1000,E37))</f>
        <v>2</v>
      </c>
      <c r="W37" s="35" t="str">
        <f aca="false">IF(E37="","",_xlfn.TEXTJOIN(" + ",TRUE(),IF(COUNTIFS($E$5:$E$1000,E37,$C$5:$C$1000,"Auditoría Interna")&gt;0,"Interna",""),IF(COUNTIFS($E$5:$E$1000,E37,$C$5:$C$1000,"Auditoría Externa")&gt;0,"Externa",""),IF(COUNTIFS($E$5:$E$1000,E37,$C$5:$C$1000,"SSF")&gt;0,"SSF",""),IF(COUNTIFS($E$5:$E$1000,E37,$C$5:$C$1000,"Comité de Supervisión")&gt;0,"Comité Sup.",""),IF(COUNTIFS($E$5:$E$1000,E37,$C$5:$C$1000,"Consejo de Administración")&gt;0,"Consejo",""),IF(COUNTIFS($E$5:$E$1000,E37,$C$5:$C$1000,"Otros")&gt;0,"Otros","")))</f>
        <v>Interna</v>
      </c>
      <c r="X37" s="24" t="n">
        <f aca="false">IF(E37="","",COUNTIFS($E$5:$E$1000,E37,$AB$5:$AB$1000,AB37,$C$5:$C$1000,"&lt;&gt;"&amp;C37))</f>
        <v>0</v>
      </c>
      <c r="Y37" s="20" t="s">
        <v>158</v>
      </c>
      <c r="Z37" s="8" t="n">
        <v>5</v>
      </c>
      <c r="AA37" s="36"/>
      <c r="AB37" s="37" t="n">
        <f aca="false">IF(B37="","",YEAR(B37)*100+MONTH(B37))</f>
        <v>202608</v>
      </c>
      <c r="AC37" s="37" t="str">
        <f aca="false">IF(AND(E37&lt;&gt;"",E37=Cruce!$C$5),COUNTIF($E$5:E37,E37),"")</f>
        <v/>
      </c>
      <c r="AD37" s="37" t="str">
        <f aca="false">IF(E37="","",C37&amp;"|"&amp;Y37&amp;"|"&amp;IF(B37="","s/f",TEXT(B37,"yyyymmdd")))</f>
        <v>Auditoría Interna|Auditoria interna 2|20260815</v>
      </c>
      <c r="AE37" s="37" t="n">
        <f aca="false">IF(E37="",0,IF(COUNTIFS($E$5:E37,E37,$AD$5:AD37,AD37)=1,1,0))</f>
        <v>1</v>
      </c>
    </row>
    <row r="38" customFormat="false" ht="45" hidden="false" customHeight="true" outlineLevel="0" collapsed="false">
      <c r="A38" s="8" t="n">
        <v>34</v>
      </c>
      <c r="B38" s="30" t="n">
        <v>46249</v>
      </c>
      <c r="C38" s="31" t="s">
        <v>129</v>
      </c>
      <c r="D38" s="31" t="s">
        <v>164</v>
      </c>
      <c r="E38" s="32" t="s">
        <v>142</v>
      </c>
      <c r="F38" s="32" t="s">
        <v>165</v>
      </c>
      <c r="G38" s="33" t="s">
        <v>166</v>
      </c>
      <c r="H38" s="31"/>
      <c r="I38" s="24" t="n">
        <f aca="false">IF(B38="","",YEAR(B38))</f>
        <v>2026</v>
      </c>
      <c r="J38" s="34" t="str">
        <f aca="false">IF(B38="","",IF(MONTH(B38)=1,"X",""))</f>
        <v/>
      </c>
      <c r="K38" s="34" t="str">
        <f aca="false">IF(B38="","",IF(MONTH(B38)=2,"X",""))</f>
        <v/>
      </c>
      <c r="L38" s="34" t="str">
        <f aca="false">IF(B38="","",IF(MONTH(B38)=3,"X",""))</f>
        <v/>
      </c>
      <c r="M38" s="34" t="str">
        <f aca="false">IF(B38="","",IF(MONTH(B38)=4,"X",""))</f>
        <v/>
      </c>
      <c r="N38" s="34" t="str">
        <f aca="false">IF(B38="","",IF(MONTH(B38)=5,"X",""))</f>
        <v/>
      </c>
      <c r="O38" s="34" t="str">
        <f aca="false">IF(B38="","",IF(MONTH(B38)=6,"X",""))</f>
        <v/>
      </c>
      <c r="P38" s="34" t="str">
        <f aca="false">IF(B38="","",IF(MONTH(B38)=7,"X",""))</f>
        <v/>
      </c>
      <c r="Q38" s="34" t="str">
        <f aca="false">IF(B38="","",IF(MONTH(B38)=8,"X",""))</f>
        <v>X</v>
      </c>
      <c r="R38" s="34" t="str">
        <f aca="false">IF(B38="","",IF(MONTH(B38)=9,"X",""))</f>
        <v/>
      </c>
      <c r="S38" s="34" t="str">
        <f aca="false">IF(B38="","",IF(MONTH(B38)=10,"X",""))</f>
        <v/>
      </c>
      <c r="T38" s="34" t="str">
        <f aca="false">IF(B38="","",IF(MONTH(B38)=11,"X",""))</f>
        <v/>
      </c>
      <c r="U38" s="34" t="str">
        <f aca="false">IF(B38="","",IF(MONTH(B38)=12,"X",""))</f>
        <v/>
      </c>
      <c r="V38" s="24" t="n">
        <f aca="false">IF(E38="","",COUNTIF($E$5:$E$1000,E38))</f>
        <v>5</v>
      </c>
      <c r="W38" s="35" t="str">
        <f aca="false">IF(E38="","",_xlfn.TEXTJOIN(" + ",TRUE(),IF(COUNTIFS($E$5:$E$1000,E38,$C$5:$C$1000,"Auditoría Interna")&gt;0,"Interna",""),IF(COUNTIFS($E$5:$E$1000,E38,$C$5:$C$1000,"Auditoría Externa")&gt;0,"Externa",""),IF(COUNTIFS($E$5:$E$1000,E38,$C$5:$C$1000,"SSF")&gt;0,"SSF",""),IF(COUNTIFS($E$5:$E$1000,E38,$C$5:$C$1000,"Comité de Supervisión")&gt;0,"Comité Sup.",""),IF(COUNTIFS($E$5:$E$1000,E38,$C$5:$C$1000,"Consejo de Administración")&gt;0,"Consejo",""),IF(COUNTIFS($E$5:$E$1000,E38,$C$5:$C$1000,"Otros")&gt;0,"Otros","")))</f>
        <v>Interna</v>
      </c>
      <c r="X38" s="24" t="n">
        <f aca="false">IF(E38="","",COUNTIFS($E$5:$E$1000,E38,$AB$5:$AB$1000,AB38,$C$5:$C$1000,"&lt;&gt;"&amp;C38))</f>
        <v>0</v>
      </c>
      <c r="Y38" s="20" t="s">
        <v>158</v>
      </c>
      <c r="Z38" s="8" t="n">
        <v>6</v>
      </c>
      <c r="AA38" s="36"/>
      <c r="AB38" s="37" t="n">
        <f aca="false">IF(B38="","",YEAR(B38)*100+MONTH(B38))</f>
        <v>202608</v>
      </c>
      <c r="AC38" s="37" t="str">
        <f aca="false">IF(AND(E38&lt;&gt;"",E38=Cruce!$C$5),COUNTIF($E$5:E38,E38),"")</f>
        <v/>
      </c>
      <c r="AD38" s="37" t="str">
        <f aca="false">IF(E38="","",C38&amp;"|"&amp;Y38&amp;"|"&amp;IF(B38="","s/f",TEXT(B38,"yyyymmdd")))</f>
        <v>Auditoría Interna|Auditoria interna 2|20260815</v>
      </c>
      <c r="AE38" s="37" t="n">
        <f aca="false">IF(E38="",0,IF(COUNTIFS($E$5:E38,E38,$AD$5:AD38,AD38)=1,1,0))</f>
        <v>0</v>
      </c>
    </row>
    <row r="39" customFormat="false" ht="45" hidden="false" customHeight="true" outlineLevel="0" collapsed="false">
      <c r="A39" s="8" t="n">
        <v>35</v>
      </c>
      <c r="B39" s="30" t="n">
        <v>46249</v>
      </c>
      <c r="C39" s="31" t="s">
        <v>129</v>
      </c>
      <c r="D39" s="31" t="s">
        <v>83</v>
      </c>
      <c r="E39" s="32" t="s">
        <v>162</v>
      </c>
      <c r="F39" s="32" t="s">
        <v>167</v>
      </c>
      <c r="G39" s="33" t="s">
        <v>157</v>
      </c>
      <c r="H39" s="31"/>
      <c r="I39" s="24" t="n">
        <f aca="false">IF(B39="","",YEAR(B39))</f>
        <v>2026</v>
      </c>
      <c r="J39" s="34" t="str">
        <f aca="false">IF(B39="","",IF(MONTH(B39)=1,"X",""))</f>
        <v/>
      </c>
      <c r="K39" s="34" t="str">
        <f aca="false">IF(B39="","",IF(MONTH(B39)=2,"X",""))</f>
        <v/>
      </c>
      <c r="L39" s="34" t="str">
        <f aca="false">IF(B39="","",IF(MONTH(B39)=3,"X",""))</f>
        <v/>
      </c>
      <c r="M39" s="34" t="str">
        <f aca="false">IF(B39="","",IF(MONTH(B39)=4,"X",""))</f>
        <v/>
      </c>
      <c r="N39" s="34" t="str">
        <f aca="false">IF(B39="","",IF(MONTH(B39)=5,"X",""))</f>
        <v/>
      </c>
      <c r="O39" s="34" t="str">
        <f aca="false">IF(B39="","",IF(MONTH(B39)=6,"X",""))</f>
        <v/>
      </c>
      <c r="P39" s="34" t="str">
        <f aca="false">IF(B39="","",IF(MONTH(B39)=7,"X",""))</f>
        <v/>
      </c>
      <c r="Q39" s="34" t="str">
        <f aca="false">IF(B39="","",IF(MONTH(B39)=8,"X",""))</f>
        <v>X</v>
      </c>
      <c r="R39" s="34" t="str">
        <f aca="false">IF(B39="","",IF(MONTH(B39)=9,"X",""))</f>
        <v/>
      </c>
      <c r="S39" s="34" t="str">
        <f aca="false">IF(B39="","",IF(MONTH(B39)=10,"X",""))</f>
        <v/>
      </c>
      <c r="T39" s="34" t="str">
        <f aca="false">IF(B39="","",IF(MONTH(B39)=11,"X",""))</f>
        <v/>
      </c>
      <c r="U39" s="34" t="str">
        <f aca="false">IF(B39="","",IF(MONTH(B39)=12,"X",""))</f>
        <v/>
      </c>
      <c r="V39" s="24" t="n">
        <f aca="false">IF(E39="","",COUNTIF($E$5:$E$1000,E39))</f>
        <v>2</v>
      </c>
      <c r="W39" s="35" t="str">
        <f aca="false">IF(E39="","",_xlfn.TEXTJOIN(" + ",TRUE(),IF(COUNTIFS($E$5:$E$1000,E39,$C$5:$C$1000,"Auditoría Interna")&gt;0,"Interna",""),IF(COUNTIFS($E$5:$E$1000,E39,$C$5:$C$1000,"Auditoría Externa")&gt;0,"Externa",""),IF(COUNTIFS($E$5:$E$1000,E39,$C$5:$C$1000,"SSF")&gt;0,"SSF",""),IF(COUNTIFS($E$5:$E$1000,E39,$C$5:$C$1000,"Comité de Supervisión")&gt;0,"Comité Sup.",""),IF(COUNTIFS($E$5:$E$1000,E39,$C$5:$C$1000,"Consejo de Administración")&gt;0,"Consejo",""),IF(COUNTIFS($E$5:$E$1000,E39,$C$5:$C$1000,"Otros")&gt;0,"Otros","")))</f>
        <v>Interna</v>
      </c>
      <c r="X39" s="24" t="n">
        <f aca="false">IF(E39="","",COUNTIFS($E$5:$E$1000,E39,$AB$5:$AB$1000,AB39,$C$5:$C$1000,"&lt;&gt;"&amp;C39))</f>
        <v>0</v>
      </c>
      <c r="Y39" s="20" t="s">
        <v>158</v>
      </c>
      <c r="Z39" s="8" t="n">
        <v>7</v>
      </c>
      <c r="AA39" s="36"/>
      <c r="AB39" s="37" t="n">
        <f aca="false">IF(B39="","",YEAR(B39)*100+MONTH(B39))</f>
        <v>202608</v>
      </c>
      <c r="AC39" s="37" t="str">
        <f aca="false">IF(AND(E39&lt;&gt;"",E39=Cruce!$C$5),COUNTIF($E$5:E39,E39),"")</f>
        <v/>
      </c>
      <c r="AD39" s="37" t="str">
        <f aca="false">IF(E39="","",C39&amp;"|"&amp;Y39&amp;"|"&amp;IF(B39="","s/f",TEXT(B39,"yyyymmdd")))</f>
        <v>Auditoría Interna|Auditoria interna 2|20260815</v>
      </c>
      <c r="AE39" s="37" t="n">
        <f aca="false">IF(E39="",0,IF(COUNTIFS($E$5:E39,E39,$AD$5:AD39,AD39)=1,1,0))</f>
        <v>0</v>
      </c>
    </row>
    <row r="40" customFormat="false" ht="45" hidden="false" customHeight="true" outlineLevel="0" collapsed="false">
      <c r="A40" s="8" t="n">
        <v>36</v>
      </c>
      <c r="B40" s="30" t="n">
        <v>46249</v>
      </c>
      <c r="C40" s="31" t="s">
        <v>129</v>
      </c>
      <c r="D40" s="31" t="s">
        <v>83</v>
      </c>
      <c r="E40" s="32" t="s">
        <v>168</v>
      </c>
      <c r="F40" s="32" t="s">
        <v>169</v>
      </c>
      <c r="G40" s="33" t="s">
        <v>157</v>
      </c>
      <c r="H40" s="31"/>
      <c r="I40" s="24" t="n">
        <f aca="false">IF(B40="","",YEAR(B40))</f>
        <v>2026</v>
      </c>
      <c r="J40" s="34" t="str">
        <f aca="false">IF(B40="","",IF(MONTH(B40)=1,"X",""))</f>
        <v/>
      </c>
      <c r="K40" s="34" t="str">
        <f aca="false">IF(B40="","",IF(MONTH(B40)=2,"X",""))</f>
        <v/>
      </c>
      <c r="L40" s="34" t="str">
        <f aca="false">IF(B40="","",IF(MONTH(B40)=3,"X",""))</f>
        <v/>
      </c>
      <c r="M40" s="34" t="str">
        <f aca="false">IF(B40="","",IF(MONTH(B40)=4,"X",""))</f>
        <v/>
      </c>
      <c r="N40" s="34" t="str">
        <f aca="false">IF(B40="","",IF(MONTH(B40)=5,"X",""))</f>
        <v/>
      </c>
      <c r="O40" s="34" t="str">
        <f aca="false">IF(B40="","",IF(MONTH(B40)=6,"X",""))</f>
        <v/>
      </c>
      <c r="P40" s="34" t="str">
        <f aca="false">IF(B40="","",IF(MONTH(B40)=7,"X",""))</f>
        <v/>
      </c>
      <c r="Q40" s="34" t="str">
        <f aca="false">IF(B40="","",IF(MONTH(B40)=8,"X",""))</f>
        <v>X</v>
      </c>
      <c r="R40" s="34" t="str">
        <f aca="false">IF(B40="","",IF(MONTH(B40)=9,"X",""))</f>
        <v/>
      </c>
      <c r="S40" s="34" t="str">
        <f aca="false">IF(B40="","",IF(MONTH(B40)=10,"X",""))</f>
        <v/>
      </c>
      <c r="T40" s="34" t="str">
        <f aca="false">IF(B40="","",IF(MONTH(B40)=11,"X",""))</f>
        <v/>
      </c>
      <c r="U40" s="34" t="str">
        <f aca="false">IF(B40="","",IF(MONTH(B40)=12,"X",""))</f>
        <v/>
      </c>
      <c r="V40" s="24" t="n">
        <f aca="false">IF(E40="","",COUNTIF($E$5:$E$1000,E40))</f>
        <v>1</v>
      </c>
      <c r="W40" s="35" t="str">
        <f aca="false">IF(E40="","",_xlfn.TEXTJOIN(" + ",TRUE(),IF(COUNTIFS($E$5:$E$1000,E40,$C$5:$C$1000,"Auditoría Interna")&gt;0,"Interna",""),IF(COUNTIFS($E$5:$E$1000,E40,$C$5:$C$1000,"Auditoría Externa")&gt;0,"Externa",""),IF(COUNTIFS($E$5:$E$1000,E40,$C$5:$C$1000,"SSF")&gt;0,"SSF",""),IF(COUNTIFS($E$5:$E$1000,E40,$C$5:$C$1000,"Comité de Supervisión")&gt;0,"Comité Sup.",""),IF(COUNTIFS($E$5:$E$1000,E40,$C$5:$C$1000,"Consejo de Administración")&gt;0,"Consejo",""),IF(COUNTIFS($E$5:$E$1000,E40,$C$5:$C$1000,"Otros")&gt;0,"Otros","")))</f>
        <v>Interna</v>
      </c>
      <c r="X40" s="24" t="n">
        <f aca="false">IF(E40="","",COUNTIFS($E$5:$E$1000,E40,$AB$5:$AB$1000,AB40,$C$5:$C$1000,"&lt;&gt;"&amp;C40))</f>
        <v>0</v>
      </c>
      <c r="Y40" s="20" t="s">
        <v>158</v>
      </c>
      <c r="Z40" s="8" t="n">
        <v>8</v>
      </c>
      <c r="AA40" s="36"/>
      <c r="AB40" s="37" t="n">
        <f aca="false">IF(B40="","",YEAR(B40)*100+MONTH(B40))</f>
        <v>202608</v>
      </c>
      <c r="AC40" s="37" t="str">
        <f aca="false">IF(AND(E40&lt;&gt;"",E40=Cruce!$C$5),COUNTIF($E$5:E40,E40),"")</f>
        <v/>
      </c>
      <c r="AD40" s="37" t="str">
        <f aca="false">IF(E40="","",C40&amp;"|"&amp;Y40&amp;"|"&amp;IF(B40="","s/f",TEXT(B40,"yyyymmdd")))</f>
        <v>Auditoría Interna|Auditoria interna 2|20260815</v>
      </c>
      <c r="AE40" s="37" t="n">
        <f aca="false">IF(E40="",0,IF(COUNTIFS($E$5:E40,E40,$AD$5:AD40,AD40)=1,1,0))</f>
        <v>1</v>
      </c>
    </row>
    <row r="41" customFormat="false" ht="45" hidden="false" customHeight="true" outlineLevel="0" collapsed="false">
      <c r="A41" s="8" t="n">
        <v>37</v>
      </c>
      <c r="B41" s="30" t="n">
        <v>46249</v>
      </c>
      <c r="C41" s="31" t="s">
        <v>129</v>
      </c>
      <c r="D41" s="31" t="s">
        <v>83</v>
      </c>
      <c r="E41" s="32" t="s">
        <v>142</v>
      </c>
      <c r="F41" s="32" t="s">
        <v>170</v>
      </c>
      <c r="G41" s="33" t="s">
        <v>152</v>
      </c>
      <c r="H41" s="31"/>
      <c r="I41" s="24" t="n">
        <f aca="false">IF(B41="","",YEAR(B41))</f>
        <v>2026</v>
      </c>
      <c r="J41" s="34" t="str">
        <f aca="false">IF(B41="","",IF(MONTH(B41)=1,"X",""))</f>
        <v/>
      </c>
      <c r="K41" s="34" t="str">
        <f aca="false">IF(B41="","",IF(MONTH(B41)=2,"X",""))</f>
        <v/>
      </c>
      <c r="L41" s="34" t="str">
        <f aca="false">IF(B41="","",IF(MONTH(B41)=3,"X",""))</f>
        <v/>
      </c>
      <c r="M41" s="34" t="str">
        <f aca="false">IF(B41="","",IF(MONTH(B41)=4,"X",""))</f>
        <v/>
      </c>
      <c r="N41" s="34" t="str">
        <f aca="false">IF(B41="","",IF(MONTH(B41)=5,"X",""))</f>
        <v/>
      </c>
      <c r="O41" s="34" t="str">
        <f aca="false">IF(B41="","",IF(MONTH(B41)=6,"X",""))</f>
        <v/>
      </c>
      <c r="P41" s="34" t="str">
        <f aca="false">IF(B41="","",IF(MONTH(B41)=7,"X",""))</f>
        <v/>
      </c>
      <c r="Q41" s="34" t="str">
        <f aca="false">IF(B41="","",IF(MONTH(B41)=8,"X",""))</f>
        <v>X</v>
      </c>
      <c r="R41" s="34" t="str">
        <f aca="false">IF(B41="","",IF(MONTH(B41)=9,"X",""))</f>
        <v/>
      </c>
      <c r="S41" s="34" t="str">
        <f aca="false">IF(B41="","",IF(MONTH(B41)=10,"X",""))</f>
        <v/>
      </c>
      <c r="T41" s="34" t="str">
        <f aca="false">IF(B41="","",IF(MONTH(B41)=11,"X",""))</f>
        <v/>
      </c>
      <c r="U41" s="34" t="str">
        <f aca="false">IF(B41="","",IF(MONTH(B41)=12,"X",""))</f>
        <v/>
      </c>
      <c r="V41" s="24" t="n">
        <f aca="false">IF(E41="","",COUNTIF($E$5:$E$1000,E41))</f>
        <v>5</v>
      </c>
      <c r="W41" s="35" t="str">
        <f aca="false">IF(E41="","",_xlfn.TEXTJOIN(" + ",TRUE(),IF(COUNTIFS($E$5:$E$1000,E41,$C$5:$C$1000,"Auditoría Interna")&gt;0,"Interna",""),IF(COUNTIFS($E$5:$E$1000,E41,$C$5:$C$1000,"Auditoría Externa")&gt;0,"Externa",""),IF(COUNTIFS($E$5:$E$1000,E41,$C$5:$C$1000,"SSF")&gt;0,"SSF",""),IF(COUNTIFS($E$5:$E$1000,E41,$C$5:$C$1000,"Comité de Supervisión")&gt;0,"Comité Sup.",""),IF(COUNTIFS($E$5:$E$1000,E41,$C$5:$C$1000,"Consejo de Administración")&gt;0,"Consejo",""),IF(COUNTIFS($E$5:$E$1000,E41,$C$5:$C$1000,"Otros")&gt;0,"Otros","")))</f>
        <v>Interna</v>
      </c>
      <c r="X41" s="24" t="n">
        <f aca="false">IF(E41="","",COUNTIFS($E$5:$E$1000,E41,$AB$5:$AB$1000,AB41,$C$5:$C$1000,"&lt;&gt;"&amp;C41))</f>
        <v>0</v>
      </c>
      <c r="Y41" s="20" t="s">
        <v>158</v>
      </c>
      <c r="Z41" s="8" t="n">
        <v>9</v>
      </c>
      <c r="AA41" s="36"/>
      <c r="AB41" s="37" t="n">
        <f aca="false">IF(B41="","",YEAR(B41)*100+MONTH(B41))</f>
        <v>202608</v>
      </c>
      <c r="AC41" s="37" t="str">
        <f aca="false">IF(AND(E41&lt;&gt;"",E41=Cruce!$C$5),COUNTIF($E$5:E41,E41),"")</f>
        <v/>
      </c>
      <c r="AD41" s="37" t="str">
        <f aca="false">IF(E41="","",C41&amp;"|"&amp;Y41&amp;"|"&amp;IF(B41="","s/f",TEXT(B41,"yyyymmdd")))</f>
        <v>Auditoría Interna|Auditoria interna 2|20260815</v>
      </c>
      <c r="AE41" s="37" t="n">
        <f aca="false">IF(E41="",0,IF(COUNTIFS($E$5:E41,E41,$AD$5:AD41,AD41)=1,1,0))</f>
        <v>0</v>
      </c>
    </row>
    <row r="42" customFormat="false" ht="45" hidden="false" customHeight="true" outlineLevel="0" collapsed="false">
      <c r="A42" s="8" t="n">
        <v>38</v>
      </c>
      <c r="B42" s="30" t="n">
        <v>46249</v>
      </c>
      <c r="C42" s="31" t="s">
        <v>129</v>
      </c>
      <c r="D42" s="31" t="s">
        <v>83</v>
      </c>
      <c r="E42" s="32" t="s">
        <v>142</v>
      </c>
      <c r="F42" s="32" t="s">
        <v>171</v>
      </c>
      <c r="G42" s="33" t="s">
        <v>152</v>
      </c>
      <c r="H42" s="31"/>
      <c r="I42" s="24" t="n">
        <f aca="false">IF(B42="","",YEAR(B42))</f>
        <v>2026</v>
      </c>
      <c r="J42" s="34" t="str">
        <f aca="false">IF(B42="","",IF(MONTH(B42)=1,"X",""))</f>
        <v/>
      </c>
      <c r="K42" s="34" t="str">
        <f aca="false">IF(B42="","",IF(MONTH(B42)=2,"X",""))</f>
        <v/>
      </c>
      <c r="L42" s="34" t="str">
        <f aca="false">IF(B42="","",IF(MONTH(B42)=3,"X",""))</f>
        <v/>
      </c>
      <c r="M42" s="34" t="str">
        <f aca="false">IF(B42="","",IF(MONTH(B42)=4,"X",""))</f>
        <v/>
      </c>
      <c r="N42" s="34" t="str">
        <f aca="false">IF(B42="","",IF(MONTH(B42)=5,"X",""))</f>
        <v/>
      </c>
      <c r="O42" s="34" t="str">
        <f aca="false">IF(B42="","",IF(MONTH(B42)=6,"X",""))</f>
        <v/>
      </c>
      <c r="P42" s="34" t="str">
        <f aca="false">IF(B42="","",IF(MONTH(B42)=7,"X",""))</f>
        <v/>
      </c>
      <c r="Q42" s="34" t="str">
        <f aca="false">IF(B42="","",IF(MONTH(B42)=8,"X",""))</f>
        <v>X</v>
      </c>
      <c r="R42" s="34" t="str">
        <f aca="false">IF(B42="","",IF(MONTH(B42)=9,"X",""))</f>
        <v/>
      </c>
      <c r="S42" s="34" t="str">
        <f aca="false">IF(B42="","",IF(MONTH(B42)=10,"X",""))</f>
        <v/>
      </c>
      <c r="T42" s="34" t="str">
        <f aca="false">IF(B42="","",IF(MONTH(B42)=11,"X",""))</f>
        <v/>
      </c>
      <c r="U42" s="34" t="str">
        <f aca="false">IF(B42="","",IF(MONTH(B42)=12,"X",""))</f>
        <v/>
      </c>
      <c r="V42" s="24" t="n">
        <f aca="false">IF(E42="","",COUNTIF($E$5:$E$1000,E42))</f>
        <v>5</v>
      </c>
      <c r="W42" s="35" t="str">
        <f aca="false">IF(E42="","",_xlfn.TEXTJOIN(" + ",TRUE(),IF(COUNTIFS($E$5:$E$1000,E42,$C$5:$C$1000,"Auditoría Interna")&gt;0,"Interna",""),IF(COUNTIFS($E$5:$E$1000,E42,$C$5:$C$1000,"Auditoría Externa")&gt;0,"Externa",""),IF(COUNTIFS($E$5:$E$1000,E42,$C$5:$C$1000,"SSF")&gt;0,"SSF",""),IF(COUNTIFS($E$5:$E$1000,E42,$C$5:$C$1000,"Comité de Supervisión")&gt;0,"Comité Sup.",""),IF(COUNTIFS($E$5:$E$1000,E42,$C$5:$C$1000,"Consejo de Administración")&gt;0,"Consejo",""),IF(COUNTIFS($E$5:$E$1000,E42,$C$5:$C$1000,"Otros")&gt;0,"Otros","")))</f>
        <v>Interna</v>
      </c>
      <c r="X42" s="24" t="n">
        <f aca="false">IF(E42="","",COUNTIFS($E$5:$E$1000,E42,$AB$5:$AB$1000,AB42,$C$5:$C$1000,"&lt;&gt;"&amp;C42))</f>
        <v>0</v>
      </c>
      <c r="Y42" s="20" t="s">
        <v>158</v>
      </c>
      <c r="Z42" s="8" t="n">
        <v>10</v>
      </c>
      <c r="AA42" s="36"/>
      <c r="AB42" s="37" t="n">
        <f aca="false">IF(B42="","",YEAR(B42)*100+MONTH(B42))</f>
        <v>202608</v>
      </c>
      <c r="AC42" s="37" t="str">
        <f aca="false">IF(AND(E42&lt;&gt;"",E42=Cruce!$C$5),COUNTIF($E$5:E42,E42),"")</f>
        <v/>
      </c>
      <c r="AD42" s="37" t="str">
        <f aca="false">IF(E42="","",C42&amp;"|"&amp;Y42&amp;"|"&amp;IF(B42="","s/f",TEXT(B42,"yyyymmdd")))</f>
        <v>Auditoría Interna|Auditoria interna 2|20260815</v>
      </c>
      <c r="AE42" s="37" t="n">
        <f aca="false">IF(E42="",0,IF(COUNTIFS($E$5:E42,E42,$AD$5:AD42,AD42)=1,1,0))</f>
        <v>0</v>
      </c>
    </row>
    <row r="43" customFormat="false" ht="45" hidden="false" customHeight="true" outlineLevel="0" collapsed="false">
      <c r="A43" s="8" t="n">
        <v>39</v>
      </c>
      <c r="B43" s="30" t="n">
        <v>46249</v>
      </c>
      <c r="C43" s="31" t="s">
        <v>129</v>
      </c>
      <c r="D43" s="31" t="s">
        <v>99</v>
      </c>
      <c r="E43" s="32" t="s">
        <v>100</v>
      </c>
      <c r="F43" s="32" t="s">
        <v>172</v>
      </c>
      <c r="G43" s="33" t="s">
        <v>157</v>
      </c>
      <c r="H43" s="31"/>
      <c r="I43" s="24" t="n">
        <f aca="false">IF(B43="","",YEAR(B43))</f>
        <v>2026</v>
      </c>
      <c r="J43" s="34" t="str">
        <f aca="false">IF(B43="","",IF(MONTH(B43)=1,"X",""))</f>
        <v/>
      </c>
      <c r="K43" s="34" t="str">
        <f aca="false">IF(B43="","",IF(MONTH(B43)=2,"X",""))</f>
        <v/>
      </c>
      <c r="L43" s="34" t="str">
        <f aca="false">IF(B43="","",IF(MONTH(B43)=3,"X",""))</f>
        <v/>
      </c>
      <c r="M43" s="34" t="str">
        <f aca="false">IF(B43="","",IF(MONTH(B43)=4,"X",""))</f>
        <v/>
      </c>
      <c r="N43" s="34" t="str">
        <f aca="false">IF(B43="","",IF(MONTH(B43)=5,"X",""))</f>
        <v/>
      </c>
      <c r="O43" s="34" t="str">
        <f aca="false">IF(B43="","",IF(MONTH(B43)=6,"X",""))</f>
        <v/>
      </c>
      <c r="P43" s="34" t="str">
        <f aca="false">IF(B43="","",IF(MONTH(B43)=7,"X",""))</f>
        <v/>
      </c>
      <c r="Q43" s="34" t="str">
        <f aca="false">IF(B43="","",IF(MONTH(B43)=8,"X",""))</f>
        <v>X</v>
      </c>
      <c r="R43" s="34" t="str">
        <f aca="false">IF(B43="","",IF(MONTH(B43)=9,"X",""))</f>
        <v/>
      </c>
      <c r="S43" s="34" t="str">
        <f aca="false">IF(B43="","",IF(MONTH(B43)=10,"X",""))</f>
        <v/>
      </c>
      <c r="T43" s="34" t="str">
        <f aca="false">IF(B43="","",IF(MONTH(B43)=11,"X",""))</f>
        <v/>
      </c>
      <c r="U43" s="34" t="str">
        <f aca="false">IF(B43="","",IF(MONTH(B43)=12,"X",""))</f>
        <v/>
      </c>
      <c r="V43" s="24" t="n">
        <f aca="false">IF(E43="","",COUNTIF($E$5:$E$1000,E43))</f>
        <v>8</v>
      </c>
      <c r="W43" s="35" t="str">
        <f aca="false">IF(E43="","",_xlfn.TEXTJOIN(" + ",TRUE(),IF(COUNTIFS($E$5:$E$1000,E43,$C$5:$C$1000,"Auditoría Interna")&gt;0,"Interna",""),IF(COUNTIFS($E$5:$E$1000,E43,$C$5:$C$1000,"Auditoría Externa")&gt;0,"Externa",""),IF(COUNTIFS($E$5:$E$1000,E43,$C$5:$C$1000,"SSF")&gt;0,"SSF",""),IF(COUNTIFS($E$5:$E$1000,E43,$C$5:$C$1000,"Comité de Supervisión")&gt;0,"Comité Sup.",""),IF(COUNTIFS($E$5:$E$1000,E43,$C$5:$C$1000,"Consejo de Administración")&gt;0,"Consejo",""),IF(COUNTIFS($E$5:$E$1000,E43,$C$5:$C$1000,"Otros")&gt;0,"Otros","")))</f>
        <v>Interna + SSF</v>
      </c>
      <c r="X43" s="24" t="n">
        <f aca="false">IF(E43="","",COUNTIFS($E$5:$E$1000,E43,$AB$5:$AB$1000,AB43,$C$5:$C$1000,"&lt;&gt;"&amp;C43))</f>
        <v>1</v>
      </c>
      <c r="Y43" s="20" t="s">
        <v>158</v>
      </c>
      <c r="Z43" s="8" t="n">
        <v>11</v>
      </c>
      <c r="AA43" s="36"/>
      <c r="AB43" s="37" t="n">
        <f aca="false">IF(B43="","",YEAR(B43)*100+MONTH(B43))</f>
        <v>202608</v>
      </c>
      <c r="AC43" s="37" t="n">
        <f aca="false">IF(AND(E43&lt;&gt;"",E43=Cruce!$C$5),COUNTIF($E$5:E43,E43),"")</f>
        <v>2</v>
      </c>
      <c r="AD43" s="37" t="str">
        <f aca="false">IF(E43="","",C43&amp;"|"&amp;Y43&amp;"|"&amp;IF(B43="","s/f",TEXT(B43,"yyyymmdd")))</f>
        <v>Auditoría Interna|Auditoria interna 2|20260815</v>
      </c>
      <c r="AE43" s="37" t="n">
        <f aca="false">IF(E43="",0,IF(COUNTIFS($E$5:E43,E43,$AD$5:AD43,AD43)=1,1,0))</f>
        <v>1</v>
      </c>
    </row>
    <row r="44" customFormat="false" ht="45" hidden="false" customHeight="true" outlineLevel="0" collapsed="false">
      <c r="A44" s="8" t="n">
        <v>40</v>
      </c>
      <c r="B44" s="30" t="n">
        <v>46249</v>
      </c>
      <c r="C44" s="31" t="s">
        <v>129</v>
      </c>
      <c r="D44" s="31" t="s">
        <v>99</v>
      </c>
      <c r="E44" s="32" t="s">
        <v>100</v>
      </c>
      <c r="F44" s="32" t="s">
        <v>173</v>
      </c>
      <c r="G44" s="33"/>
      <c r="H44" s="31"/>
      <c r="I44" s="24" t="n">
        <f aca="false">IF(B44="","",YEAR(B44))</f>
        <v>2026</v>
      </c>
      <c r="J44" s="34" t="str">
        <f aca="false">IF(B44="","",IF(MONTH(B44)=1,"X",""))</f>
        <v/>
      </c>
      <c r="K44" s="34" t="str">
        <f aca="false">IF(B44="","",IF(MONTH(B44)=2,"X",""))</f>
        <v/>
      </c>
      <c r="L44" s="34" t="str">
        <f aca="false">IF(B44="","",IF(MONTH(B44)=3,"X",""))</f>
        <v/>
      </c>
      <c r="M44" s="34" t="str">
        <f aca="false">IF(B44="","",IF(MONTH(B44)=4,"X",""))</f>
        <v/>
      </c>
      <c r="N44" s="34" t="str">
        <f aca="false">IF(B44="","",IF(MONTH(B44)=5,"X",""))</f>
        <v/>
      </c>
      <c r="O44" s="34" t="str">
        <f aca="false">IF(B44="","",IF(MONTH(B44)=6,"X",""))</f>
        <v/>
      </c>
      <c r="P44" s="34" t="str">
        <f aca="false">IF(B44="","",IF(MONTH(B44)=7,"X",""))</f>
        <v/>
      </c>
      <c r="Q44" s="34" t="str">
        <f aca="false">IF(B44="","",IF(MONTH(B44)=8,"X",""))</f>
        <v>X</v>
      </c>
      <c r="R44" s="34" t="str">
        <f aca="false">IF(B44="","",IF(MONTH(B44)=9,"X",""))</f>
        <v/>
      </c>
      <c r="S44" s="34" t="str">
        <f aca="false">IF(B44="","",IF(MONTH(B44)=10,"X",""))</f>
        <v/>
      </c>
      <c r="T44" s="34" t="str">
        <f aca="false">IF(B44="","",IF(MONTH(B44)=11,"X",""))</f>
        <v/>
      </c>
      <c r="U44" s="34" t="str">
        <f aca="false">IF(B44="","",IF(MONTH(B44)=12,"X",""))</f>
        <v/>
      </c>
      <c r="V44" s="24" t="n">
        <f aca="false">IF(E44="","",COUNTIF($E$5:$E$1000,E44))</f>
        <v>8</v>
      </c>
      <c r="W44" s="35" t="str">
        <f aca="false">IF(E44="","",_xlfn.TEXTJOIN(" + ",TRUE(),IF(COUNTIFS($E$5:$E$1000,E44,$C$5:$C$1000,"Auditoría Interna")&gt;0,"Interna",""),IF(COUNTIFS($E$5:$E$1000,E44,$C$5:$C$1000,"Auditoría Externa")&gt;0,"Externa",""),IF(COUNTIFS($E$5:$E$1000,E44,$C$5:$C$1000,"SSF")&gt;0,"SSF",""),IF(COUNTIFS($E$5:$E$1000,E44,$C$5:$C$1000,"Comité de Supervisión")&gt;0,"Comité Sup.",""),IF(COUNTIFS($E$5:$E$1000,E44,$C$5:$C$1000,"Consejo de Administración")&gt;0,"Consejo",""),IF(COUNTIFS($E$5:$E$1000,E44,$C$5:$C$1000,"Otros")&gt;0,"Otros","")))</f>
        <v>Interna + SSF</v>
      </c>
      <c r="X44" s="24" t="n">
        <f aca="false">IF(E44="","",COUNTIFS($E$5:$E$1000,E44,$AB$5:$AB$1000,AB44,$C$5:$C$1000,"&lt;&gt;"&amp;C44))</f>
        <v>1</v>
      </c>
      <c r="Y44" s="20" t="s">
        <v>158</v>
      </c>
      <c r="Z44" s="8" t="n">
        <v>12</v>
      </c>
      <c r="AA44" s="36"/>
      <c r="AB44" s="37" t="n">
        <f aca="false">IF(B44="","",YEAR(B44)*100+MONTH(B44))</f>
        <v>202608</v>
      </c>
      <c r="AC44" s="37" t="n">
        <f aca="false">IF(AND(E44&lt;&gt;"",E44=Cruce!$C$5),COUNTIF($E$5:E44,E44),"")</f>
        <v>3</v>
      </c>
      <c r="AD44" s="37" t="str">
        <f aca="false">IF(E44="","",C44&amp;"|"&amp;Y44&amp;"|"&amp;IF(B44="","s/f",TEXT(B44,"yyyymmdd")))</f>
        <v>Auditoría Interna|Auditoria interna 2|20260815</v>
      </c>
      <c r="AE44" s="37" t="n">
        <f aca="false">IF(E44="",0,IF(COUNTIFS($E$5:E44,E44,$AD$5:AD44,AD44)=1,1,0))</f>
        <v>0</v>
      </c>
    </row>
    <row r="45" customFormat="false" ht="45" hidden="false" customHeight="true" outlineLevel="0" collapsed="false">
      <c r="A45" s="8" t="n">
        <v>41</v>
      </c>
      <c r="B45" s="30" t="n">
        <v>46249</v>
      </c>
      <c r="C45" s="31" t="s">
        <v>129</v>
      </c>
      <c r="D45" s="31" t="s">
        <v>99</v>
      </c>
      <c r="E45" s="32" t="s">
        <v>100</v>
      </c>
      <c r="F45" s="32" t="s">
        <v>174</v>
      </c>
      <c r="G45" s="33" t="s">
        <v>157</v>
      </c>
      <c r="H45" s="31"/>
      <c r="I45" s="24" t="n">
        <f aca="false">IF(B45="","",YEAR(B45))</f>
        <v>2026</v>
      </c>
      <c r="J45" s="34" t="str">
        <f aca="false">IF(B45="","",IF(MONTH(B45)=1,"X",""))</f>
        <v/>
      </c>
      <c r="K45" s="34" t="str">
        <f aca="false">IF(B45="","",IF(MONTH(B45)=2,"X",""))</f>
        <v/>
      </c>
      <c r="L45" s="34" t="str">
        <f aca="false">IF(B45="","",IF(MONTH(B45)=3,"X",""))</f>
        <v/>
      </c>
      <c r="M45" s="34" t="str">
        <f aca="false">IF(B45="","",IF(MONTH(B45)=4,"X",""))</f>
        <v/>
      </c>
      <c r="N45" s="34" t="str">
        <f aca="false">IF(B45="","",IF(MONTH(B45)=5,"X",""))</f>
        <v/>
      </c>
      <c r="O45" s="34" t="str">
        <f aca="false">IF(B45="","",IF(MONTH(B45)=6,"X",""))</f>
        <v/>
      </c>
      <c r="P45" s="34" t="str">
        <f aca="false">IF(B45="","",IF(MONTH(B45)=7,"X",""))</f>
        <v/>
      </c>
      <c r="Q45" s="34" t="str">
        <f aca="false">IF(B45="","",IF(MONTH(B45)=8,"X",""))</f>
        <v>X</v>
      </c>
      <c r="R45" s="34" t="str">
        <f aca="false">IF(B45="","",IF(MONTH(B45)=9,"X",""))</f>
        <v/>
      </c>
      <c r="S45" s="34" t="str">
        <f aca="false">IF(B45="","",IF(MONTH(B45)=10,"X",""))</f>
        <v/>
      </c>
      <c r="T45" s="34" t="str">
        <f aca="false">IF(B45="","",IF(MONTH(B45)=11,"X",""))</f>
        <v/>
      </c>
      <c r="U45" s="34" t="str">
        <f aca="false">IF(B45="","",IF(MONTH(B45)=12,"X",""))</f>
        <v/>
      </c>
      <c r="V45" s="24" t="n">
        <f aca="false">IF(E45="","",COUNTIF($E$5:$E$1000,E45))</f>
        <v>8</v>
      </c>
      <c r="W45" s="35" t="str">
        <f aca="false">IF(E45="","",_xlfn.TEXTJOIN(" + ",TRUE(),IF(COUNTIFS($E$5:$E$1000,E45,$C$5:$C$1000,"Auditoría Interna")&gt;0,"Interna",""),IF(COUNTIFS($E$5:$E$1000,E45,$C$5:$C$1000,"Auditoría Externa")&gt;0,"Externa",""),IF(COUNTIFS($E$5:$E$1000,E45,$C$5:$C$1000,"SSF")&gt;0,"SSF",""),IF(COUNTIFS($E$5:$E$1000,E45,$C$5:$C$1000,"Comité de Supervisión")&gt;0,"Comité Sup.",""),IF(COUNTIFS($E$5:$E$1000,E45,$C$5:$C$1000,"Consejo de Administración")&gt;0,"Consejo",""),IF(COUNTIFS($E$5:$E$1000,E45,$C$5:$C$1000,"Otros")&gt;0,"Otros","")))</f>
        <v>Interna + SSF</v>
      </c>
      <c r="X45" s="24" t="n">
        <f aca="false">IF(E45="","",COUNTIFS($E$5:$E$1000,E45,$AB$5:$AB$1000,AB45,$C$5:$C$1000,"&lt;&gt;"&amp;C45))</f>
        <v>1</v>
      </c>
      <c r="Y45" s="20" t="s">
        <v>158</v>
      </c>
      <c r="Z45" s="8" t="n">
        <v>13</v>
      </c>
      <c r="AA45" s="36"/>
      <c r="AB45" s="37" t="n">
        <f aca="false">IF(B45="","",YEAR(B45)*100+MONTH(B45))</f>
        <v>202608</v>
      </c>
      <c r="AC45" s="37" t="n">
        <f aca="false">IF(AND(E45&lt;&gt;"",E45=Cruce!$C$5),COUNTIF($E$5:E45,E45),"")</f>
        <v>4</v>
      </c>
      <c r="AD45" s="37" t="str">
        <f aca="false">IF(E45="","",C45&amp;"|"&amp;Y45&amp;"|"&amp;IF(B45="","s/f",TEXT(B45,"yyyymmdd")))</f>
        <v>Auditoría Interna|Auditoria interna 2|20260815</v>
      </c>
      <c r="AE45" s="37" t="n">
        <f aca="false">IF(E45="",0,IF(COUNTIFS($E$5:E45,E45,$AD$5:AD45,AD45)=1,1,0))</f>
        <v>0</v>
      </c>
    </row>
    <row r="46" customFormat="false" ht="45" hidden="false" customHeight="true" outlineLevel="0" collapsed="false">
      <c r="A46" s="8" t="n">
        <v>42</v>
      </c>
      <c r="B46" s="30" t="n">
        <v>46249</v>
      </c>
      <c r="C46" s="31" t="s">
        <v>129</v>
      </c>
      <c r="D46" s="31" t="s">
        <v>99</v>
      </c>
      <c r="E46" s="32" t="s">
        <v>100</v>
      </c>
      <c r="F46" s="32" t="s">
        <v>175</v>
      </c>
      <c r="G46" s="33" t="s">
        <v>157</v>
      </c>
      <c r="H46" s="31"/>
      <c r="I46" s="24" t="n">
        <f aca="false">IF(B46="","",YEAR(B46))</f>
        <v>2026</v>
      </c>
      <c r="J46" s="34" t="str">
        <f aca="false">IF(B46="","",IF(MONTH(B46)=1,"X",""))</f>
        <v/>
      </c>
      <c r="K46" s="34" t="str">
        <f aca="false">IF(B46="","",IF(MONTH(B46)=2,"X",""))</f>
        <v/>
      </c>
      <c r="L46" s="34" t="str">
        <f aca="false">IF(B46="","",IF(MONTH(B46)=3,"X",""))</f>
        <v/>
      </c>
      <c r="M46" s="34" t="str">
        <f aca="false">IF(B46="","",IF(MONTH(B46)=4,"X",""))</f>
        <v/>
      </c>
      <c r="N46" s="34" t="str">
        <f aca="false">IF(B46="","",IF(MONTH(B46)=5,"X",""))</f>
        <v/>
      </c>
      <c r="O46" s="34" t="str">
        <f aca="false">IF(B46="","",IF(MONTH(B46)=6,"X",""))</f>
        <v/>
      </c>
      <c r="P46" s="34" t="str">
        <f aca="false">IF(B46="","",IF(MONTH(B46)=7,"X",""))</f>
        <v/>
      </c>
      <c r="Q46" s="34" t="str">
        <f aca="false">IF(B46="","",IF(MONTH(B46)=8,"X",""))</f>
        <v>X</v>
      </c>
      <c r="R46" s="34" t="str">
        <f aca="false">IF(B46="","",IF(MONTH(B46)=9,"X",""))</f>
        <v/>
      </c>
      <c r="S46" s="34" t="str">
        <f aca="false">IF(B46="","",IF(MONTH(B46)=10,"X",""))</f>
        <v/>
      </c>
      <c r="T46" s="34" t="str">
        <f aca="false">IF(B46="","",IF(MONTH(B46)=11,"X",""))</f>
        <v/>
      </c>
      <c r="U46" s="34" t="str">
        <f aca="false">IF(B46="","",IF(MONTH(B46)=12,"X",""))</f>
        <v/>
      </c>
      <c r="V46" s="24" t="n">
        <f aca="false">IF(E46="","",COUNTIF($E$5:$E$1000,E46))</f>
        <v>8</v>
      </c>
      <c r="W46" s="35" t="str">
        <f aca="false">IF(E46="","",_xlfn.TEXTJOIN(" + ",TRUE(),IF(COUNTIFS($E$5:$E$1000,E46,$C$5:$C$1000,"Auditoría Interna")&gt;0,"Interna",""),IF(COUNTIFS($E$5:$E$1000,E46,$C$5:$C$1000,"Auditoría Externa")&gt;0,"Externa",""),IF(COUNTIFS($E$5:$E$1000,E46,$C$5:$C$1000,"SSF")&gt;0,"SSF",""),IF(COUNTIFS($E$5:$E$1000,E46,$C$5:$C$1000,"Comité de Supervisión")&gt;0,"Comité Sup.",""),IF(COUNTIFS($E$5:$E$1000,E46,$C$5:$C$1000,"Consejo de Administración")&gt;0,"Consejo",""),IF(COUNTIFS($E$5:$E$1000,E46,$C$5:$C$1000,"Otros")&gt;0,"Otros","")))</f>
        <v>Interna + SSF</v>
      </c>
      <c r="X46" s="24" t="n">
        <f aca="false">IF(E46="","",COUNTIFS($E$5:$E$1000,E46,$AB$5:$AB$1000,AB46,$C$5:$C$1000,"&lt;&gt;"&amp;C46))</f>
        <v>1</v>
      </c>
      <c r="Y46" s="20" t="s">
        <v>158</v>
      </c>
      <c r="Z46" s="8" t="n">
        <v>14</v>
      </c>
      <c r="AA46" s="36"/>
      <c r="AB46" s="37" t="n">
        <f aca="false">IF(B46="","",YEAR(B46)*100+MONTH(B46))</f>
        <v>202608</v>
      </c>
      <c r="AC46" s="37" t="n">
        <f aca="false">IF(AND(E46&lt;&gt;"",E46=Cruce!$C$5),COUNTIF($E$5:E46,E46),"")</f>
        <v>5</v>
      </c>
      <c r="AD46" s="37" t="str">
        <f aca="false">IF(E46="","",C46&amp;"|"&amp;Y46&amp;"|"&amp;IF(B46="","s/f",TEXT(B46,"yyyymmdd")))</f>
        <v>Auditoría Interna|Auditoria interna 2|20260815</v>
      </c>
      <c r="AE46" s="37" t="n">
        <f aca="false">IF(E46="",0,IF(COUNTIFS($E$5:E46,E46,$AD$5:AD46,AD46)=1,1,0))</f>
        <v>0</v>
      </c>
    </row>
    <row r="47" customFormat="false" ht="45" hidden="false" customHeight="true" outlineLevel="0" collapsed="false">
      <c r="A47" s="8" t="n">
        <v>43</v>
      </c>
      <c r="B47" s="30" t="n">
        <v>46249</v>
      </c>
      <c r="C47" s="31" t="s">
        <v>129</v>
      </c>
      <c r="D47" s="31" t="s">
        <v>99</v>
      </c>
      <c r="E47" s="32" t="s">
        <v>100</v>
      </c>
      <c r="F47" s="32" t="s">
        <v>176</v>
      </c>
      <c r="G47" s="33" t="s">
        <v>157</v>
      </c>
      <c r="H47" s="31"/>
      <c r="I47" s="24" t="n">
        <f aca="false">IF(B47="","",YEAR(B47))</f>
        <v>2026</v>
      </c>
      <c r="J47" s="34" t="str">
        <f aca="false">IF(B47="","",IF(MONTH(B47)=1,"X",""))</f>
        <v/>
      </c>
      <c r="K47" s="34" t="str">
        <f aca="false">IF(B47="","",IF(MONTH(B47)=2,"X",""))</f>
        <v/>
      </c>
      <c r="L47" s="34" t="str">
        <f aca="false">IF(B47="","",IF(MONTH(B47)=3,"X",""))</f>
        <v/>
      </c>
      <c r="M47" s="34" t="str">
        <f aca="false">IF(B47="","",IF(MONTH(B47)=4,"X",""))</f>
        <v/>
      </c>
      <c r="N47" s="34" t="str">
        <f aca="false">IF(B47="","",IF(MONTH(B47)=5,"X",""))</f>
        <v/>
      </c>
      <c r="O47" s="34" t="str">
        <f aca="false">IF(B47="","",IF(MONTH(B47)=6,"X",""))</f>
        <v/>
      </c>
      <c r="P47" s="34" t="str">
        <f aca="false">IF(B47="","",IF(MONTH(B47)=7,"X",""))</f>
        <v/>
      </c>
      <c r="Q47" s="34" t="str">
        <f aca="false">IF(B47="","",IF(MONTH(B47)=8,"X",""))</f>
        <v>X</v>
      </c>
      <c r="R47" s="34" t="str">
        <f aca="false">IF(B47="","",IF(MONTH(B47)=9,"X",""))</f>
        <v/>
      </c>
      <c r="S47" s="34" t="str">
        <f aca="false">IF(B47="","",IF(MONTH(B47)=10,"X",""))</f>
        <v/>
      </c>
      <c r="T47" s="34" t="str">
        <f aca="false">IF(B47="","",IF(MONTH(B47)=11,"X",""))</f>
        <v/>
      </c>
      <c r="U47" s="34" t="str">
        <f aca="false">IF(B47="","",IF(MONTH(B47)=12,"X",""))</f>
        <v/>
      </c>
      <c r="V47" s="24" t="n">
        <f aca="false">IF(E47="","",COUNTIF($E$5:$E$1000,E47))</f>
        <v>8</v>
      </c>
      <c r="W47" s="35" t="str">
        <f aca="false">IF(E47="","",_xlfn.TEXTJOIN(" + ",TRUE(),IF(COUNTIFS($E$5:$E$1000,E47,$C$5:$C$1000,"Auditoría Interna")&gt;0,"Interna",""),IF(COUNTIFS($E$5:$E$1000,E47,$C$5:$C$1000,"Auditoría Externa")&gt;0,"Externa",""),IF(COUNTIFS($E$5:$E$1000,E47,$C$5:$C$1000,"SSF")&gt;0,"SSF",""),IF(COUNTIFS($E$5:$E$1000,E47,$C$5:$C$1000,"Comité de Supervisión")&gt;0,"Comité Sup.",""),IF(COUNTIFS($E$5:$E$1000,E47,$C$5:$C$1000,"Consejo de Administración")&gt;0,"Consejo",""),IF(COUNTIFS($E$5:$E$1000,E47,$C$5:$C$1000,"Otros")&gt;0,"Otros","")))</f>
        <v>Interna + SSF</v>
      </c>
      <c r="X47" s="24" t="n">
        <f aca="false">IF(E47="","",COUNTIFS($E$5:$E$1000,E47,$AB$5:$AB$1000,AB47,$C$5:$C$1000,"&lt;&gt;"&amp;C47))</f>
        <v>1</v>
      </c>
      <c r="Y47" s="20" t="s">
        <v>158</v>
      </c>
      <c r="Z47" s="8" t="n">
        <v>15</v>
      </c>
      <c r="AA47" s="36"/>
      <c r="AB47" s="37" t="n">
        <f aca="false">IF(B47="","",YEAR(B47)*100+MONTH(B47))</f>
        <v>202608</v>
      </c>
      <c r="AC47" s="37" t="n">
        <f aca="false">IF(AND(E47&lt;&gt;"",E47=Cruce!$C$5),COUNTIF($E$5:E47,E47),"")</f>
        <v>6</v>
      </c>
      <c r="AD47" s="37" t="str">
        <f aca="false">IF(E47="","",C47&amp;"|"&amp;Y47&amp;"|"&amp;IF(B47="","s/f",TEXT(B47,"yyyymmdd")))</f>
        <v>Auditoría Interna|Auditoria interna 2|20260815</v>
      </c>
      <c r="AE47" s="37" t="n">
        <f aca="false">IF(E47="",0,IF(COUNTIFS($E$5:E47,E47,$AD$5:AD47,AD47)=1,1,0))</f>
        <v>0</v>
      </c>
    </row>
    <row r="48" customFormat="false" ht="45" hidden="false" customHeight="true" outlineLevel="0" collapsed="false">
      <c r="A48" s="8" t="n">
        <v>44</v>
      </c>
      <c r="B48" s="30" t="n">
        <v>46249</v>
      </c>
      <c r="C48" s="31" t="s">
        <v>129</v>
      </c>
      <c r="D48" s="31" t="s">
        <v>91</v>
      </c>
      <c r="E48" s="32" t="s">
        <v>92</v>
      </c>
      <c r="F48" s="32" t="s">
        <v>177</v>
      </c>
      <c r="G48" s="33" t="s">
        <v>136</v>
      </c>
      <c r="H48" s="31"/>
      <c r="I48" s="24" t="n">
        <f aca="false">IF(B48="","",YEAR(B48))</f>
        <v>2026</v>
      </c>
      <c r="J48" s="34" t="str">
        <f aca="false">IF(B48="","",IF(MONTH(B48)=1,"X",""))</f>
        <v/>
      </c>
      <c r="K48" s="34" t="str">
        <f aca="false">IF(B48="","",IF(MONTH(B48)=2,"X",""))</f>
        <v/>
      </c>
      <c r="L48" s="34" t="str">
        <f aca="false">IF(B48="","",IF(MONTH(B48)=3,"X",""))</f>
        <v/>
      </c>
      <c r="M48" s="34" t="str">
        <f aca="false">IF(B48="","",IF(MONTH(B48)=4,"X",""))</f>
        <v/>
      </c>
      <c r="N48" s="34" t="str">
        <f aca="false">IF(B48="","",IF(MONTH(B48)=5,"X",""))</f>
        <v/>
      </c>
      <c r="O48" s="34" t="str">
        <f aca="false">IF(B48="","",IF(MONTH(B48)=6,"X",""))</f>
        <v/>
      </c>
      <c r="P48" s="34" t="str">
        <f aca="false">IF(B48="","",IF(MONTH(B48)=7,"X",""))</f>
        <v/>
      </c>
      <c r="Q48" s="34" t="str">
        <f aca="false">IF(B48="","",IF(MONTH(B48)=8,"X",""))</f>
        <v>X</v>
      </c>
      <c r="R48" s="34" t="str">
        <f aca="false">IF(B48="","",IF(MONTH(B48)=9,"X",""))</f>
        <v/>
      </c>
      <c r="S48" s="34" t="str">
        <f aca="false">IF(B48="","",IF(MONTH(B48)=10,"X",""))</f>
        <v/>
      </c>
      <c r="T48" s="34" t="str">
        <f aca="false">IF(B48="","",IF(MONTH(B48)=11,"X",""))</f>
        <v/>
      </c>
      <c r="U48" s="34" t="str">
        <f aca="false">IF(B48="","",IF(MONTH(B48)=12,"X",""))</f>
        <v/>
      </c>
      <c r="V48" s="24" t="n">
        <f aca="false">IF(E48="","",COUNTIF($E$5:$E$1000,E48))</f>
        <v>3</v>
      </c>
      <c r="W48" s="35" t="str">
        <f aca="false">IF(E48="","",_xlfn.TEXTJOIN(" + ",TRUE(),IF(COUNTIFS($E$5:$E$1000,E48,$C$5:$C$1000,"Auditoría Interna")&gt;0,"Interna",""),IF(COUNTIFS($E$5:$E$1000,E48,$C$5:$C$1000,"Auditoría Externa")&gt;0,"Externa",""),IF(COUNTIFS($E$5:$E$1000,E48,$C$5:$C$1000,"SSF")&gt;0,"SSF",""),IF(COUNTIFS($E$5:$E$1000,E48,$C$5:$C$1000,"Comité de Supervisión")&gt;0,"Comité Sup.",""),IF(COUNTIFS($E$5:$E$1000,E48,$C$5:$C$1000,"Consejo de Administración")&gt;0,"Consejo",""),IF(COUNTIFS($E$5:$E$1000,E48,$C$5:$C$1000,"Otros")&gt;0,"Otros","")))</f>
        <v>Interna + SSF</v>
      </c>
      <c r="X48" s="24" t="n">
        <f aca="false">IF(E48="","",COUNTIFS($E$5:$E$1000,E48,$AB$5:$AB$1000,AB48,$C$5:$C$1000,"&lt;&gt;"&amp;C48))</f>
        <v>0</v>
      </c>
      <c r="Y48" s="20" t="s">
        <v>158</v>
      </c>
      <c r="Z48" s="8" t="n">
        <v>16</v>
      </c>
      <c r="AA48" s="36"/>
      <c r="AB48" s="37" t="n">
        <f aca="false">IF(B48="","",YEAR(B48)*100+MONTH(B48))</f>
        <v>202608</v>
      </c>
      <c r="AC48" s="37" t="str">
        <f aca="false">IF(AND(E48&lt;&gt;"",E48=Cruce!$C$5),COUNTIF($E$5:E48,E48),"")</f>
        <v/>
      </c>
      <c r="AD48" s="37" t="str">
        <f aca="false">IF(E48="","",C48&amp;"|"&amp;Y48&amp;"|"&amp;IF(B48="","s/f",TEXT(B48,"yyyymmdd")))</f>
        <v>Auditoría Interna|Auditoria interna 2|20260815</v>
      </c>
      <c r="AE48" s="37" t="n">
        <f aca="false">IF(E48="",0,IF(COUNTIFS($E$5:E48,E48,$AD$5:AD48,AD48)=1,1,0))</f>
        <v>1</v>
      </c>
    </row>
    <row r="49" customFormat="false" ht="45" hidden="false" customHeight="true" outlineLevel="0" collapsed="false">
      <c r="A49" s="8" t="n">
        <v>45</v>
      </c>
      <c r="B49" s="30" t="n">
        <v>46249</v>
      </c>
      <c r="C49" s="31" t="s">
        <v>129</v>
      </c>
      <c r="D49" s="31" t="s">
        <v>91</v>
      </c>
      <c r="E49" s="32" t="s">
        <v>92</v>
      </c>
      <c r="F49" s="32" t="s">
        <v>178</v>
      </c>
      <c r="G49" s="33"/>
      <c r="H49" s="31"/>
      <c r="I49" s="24" t="n">
        <f aca="false">IF(B49="","",YEAR(B49))</f>
        <v>2026</v>
      </c>
      <c r="J49" s="34" t="str">
        <f aca="false">IF(B49="","",IF(MONTH(B49)=1,"X",""))</f>
        <v/>
      </c>
      <c r="K49" s="34" t="str">
        <f aca="false">IF(B49="","",IF(MONTH(B49)=2,"X",""))</f>
        <v/>
      </c>
      <c r="L49" s="34" t="str">
        <f aca="false">IF(B49="","",IF(MONTH(B49)=3,"X",""))</f>
        <v/>
      </c>
      <c r="M49" s="34" t="str">
        <f aca="false">IF(B49="","",IF(MONTH(B49)=4,"X",""))</f>
        <v/>
      </c>
      <c r="N49" s="34" t="str">
        <f aca="false">IF(B49="","",IF(MONTH(B49)=5,"X",""))</f>
        <v/>
      </c>
      <c r="O49" s="34" t="str">
        <f aca="false">IF(B49="","",IF(MONTH(B49)=6,"X",""))</f>
        <v/>
      </c>
      <c r="P49" s="34" t="str">
        <f aca="false">IF(B49="","",IF(MONTH(B49)=7,"X",""))</f>
        <v/>
      </c>
      <c r="Q49" s="34" t="str">
        <f aca="false">IF(B49="","",IF(MONTH(B49)=8,"X",""))</f>
        <v>X</v>
      </c>
      <c r="R49" s="34" t="str">
        <f aca="false">IF(B49="","",IF(MONTH(B49)=9,"X",""))</f>
        <v/>
      </c>
      <c r="S49" s="34" t="str">
        <f aca="false">IF(B49="","",IF(MONTH(B49)=10,"X",""))</f>
        <v/>
      </c>
      <c r="T49" s="34" t="str">
        <f aca="false">IF(B49="","",IF(MONTH(B49)=11,"X",""))</f>
        <v/>
      </c>
      <c r="U49" s="34" t="str">
        <f aca="false">IF(B49="","",IF(MONTH(B49)=12,"X",""))</f>
        <v/>
      </c>
      <c r="V49" s="24" t="n">
        <f aca="false">IF(E49="","",COUNTIF($E$5:$E$1000,E49))</f>
        <v>3</v>
      </c>
      <c r="W49" s="35" t="str">
        <f aca="false">IF(E49="","",_xlfn.TEXTJOIN(" + ",TRUE(),IF(COUNTIFS($E$5:$E$1000,E49,$C$5:$C$1000,"Auditoría Interna")&gt;0,"Interna",""),IF(COUNTIFS($E$5:$E$1000,E49,$C$5:$C$1000,"Auditoría Externa")&gt;0,"Externa",""),IF(COUNTIFS($E$5:$E$1000,E49,$C$5:$C$1000,"SSF")&gt;0,"SSF",""),IF(COUNTIFS($E$5:$E$1000,E49,$C$5:$C$1000,"Comité de Supervisión")&gt;0,"Comité Sup.",""),IF(COUNTIFS($E$5:$E$1000,E49,$C$5:$C$1000,"Consejo de Administración")&gt;0,"Consejo",""),IF(COUNTIFS($E$5:$E$1000,E49,$C$5:$C$1000,"Otros")&gt;0,"Otros","")))</f>
        <v>Interna + SSF</v>
      </c>
      <c r="X49" s="24" t="n">
        <f aca="false">IF(E49="","",COUNTIFS($E$5:$E$1000,E49,$AB$5:$AB$1000,AB49,$C$5:$C$1000,"&lt;&gt;"&amp;C49))</f>
        <v>0</v>
      </c>
      <c r="Y49" s="20" t="s">
        <v>158</v>
      </c>
      <c r="Z49" s="8" t="n">
        <v>17</v>
      </c>
      <c r="AA49" s="36"/>
      <c r="AB49" s="37" t="n">
        <f aca="false">IF(B49="","",YEAR(B49)*100+MONTH(B49))</f>
        <v>202608</v>
      </c>
      <c r="AC49" s="37" t="str">
        <f aca="false">IF(AND(E49&lt;&gt;"",E49=Cruce!$C$5),COUNTIF($E$5:E49,E49),"")</f>
        <v/>
      </c>
      <c r="AD49" s="37" t="str">
        <f aca="false">IF(E49="","",C49&amp;"|"&amp;Y49&amp;"|"&amp;IF(B49="","s/f",TEXT(B49,"yyyymmdd")))</f>
        <v>Auditoría Interna|Auditoria interna 2|20260815</v>
      </c>
      <c r="AE49" s="37" t="n">
        <f aca="false">IF(E49="",0,IF(COUNTIFS($E$5:E49,E49,$AD$5:AD49,AD49)=1,1,0))</f>
        <v>0</v>
      </c>
    </row>
    <row r="50" customFormat="false" ht="45" hidden="false" customHeight="true" outlineLevel="0" collapsed="false">
      <c r="A50" s="8" t="n">
        <v>46</v>
      </c>
      <c r="B50" s="30" t="n">
        <v>46249</v>
      </c>
      <c r="C50" s="31" t="s">
        <v>129</v>
      </c>
      <c r="D50" s="31" t="s">
        <v>83</v>
      </c>
      <c r="E50" s="32" t="s">
        <v>130</v>
      </c>
      <c r="F50" s="32" t="s">
        <v>179</v>
      </c>
      <c r="G50" s="33" t="s">
        <v>157</v>
      </c>
      <c r="H50" s="31"/>
      <c r="I50" s="24" t="n">
        <f aca="false">IF(B50="","",YEAR(B50))</f>
        <v>2026</v>
      </c>
      <c r="J50" s="34" t="str">
        <f aca="false">IF(B50="","",IF(MONTH(B50)=1,"X",""))</f>
        <v/>
      </c>
      <c r="K50" s="34" t="str">
        <f aca="false">IF(B50="","",IF(MONTH(B50)=2,"X",""))</f>
        <v/>
      </c>
      <c r="L50" s="34" t="str">
        <f aca="false">IF(B50="","",IF(MONTH(B50)=3,"X",""))</f>
        <v/>
      </c>
      <c r="M50" s="34" t="str">
        <f aca="false">IF(B50="","",IF(MONTH(B50)=4,"X",""))</f>
        <v/>
      </c>
      <c r="N50" s="34" t="str">
        <f aca="false">IF(B50="","",IF(MONTH(B50)=5,"X",""))</f>
        <v/>
      </c>
      <c r="O50" s="34" t="str">
        <f aca="false">IF(B50="","",IF(MONTH(B50)=6,"X",""))</f>
        <v/>
      </c>
      <c r="P50" s="34" t="str">
        <f aca="false">IF(B50="","",IF(MONTH(B50)=7,"X",""))</f>
        <v/>
      </c>
      <c r="Q50" s="34" t="str">
        <f aca="false">IF(B50="","",IF(MONTH(B50)=8,"X",""))</f>
        <v>X</v>
      </c>
      <c r="R50" s="34" t="str">
        <f aca="false">IF(B50="","",IF(MONTH(B50)=9,"X",""))</f>
        <v/>
      </c>
      <c r="S50" s="34" t="str">
        <f aca="false">IF(B50="","",IF(MONTH(B50)=10,"X",""))</f>
        <v/>
      </c>
      <c r="T50" s="34" t="str">
        <f aca="false">IF(B50="","",IF(MONTH(B50)=11,"X",""))</f>
        <v/>
      </c>
      <c r="U50" s="34" t="str">
        <f aca="false">IF(B50="","",IF(MONTH(B50)=12,"X",""))</f>
        <v/>
      </c>
      <c r="V50" s="24" t="n">
        <f aca="false">IF(E50="","",COUNTIF($E$5:$E$1000,E50))</f>
        <v>7</v>
      </c>
      <c r="W50" s="35" t="str">
        <f aca="false">IF(E50="","",_xlfn.TEXTJOIN(" + ",TRUE(),IF(COUNTIFS($E$5:$E$1000,E50,$C$5:$C$1000,"Auditoría Interna")&gt;0,"Interna",""),IF(COUNTIFS($E$5:$E$1000,E50,$C$5:$C$1000,"Auditoría Externa")&gt;0,"Externa",""),IF(COUNTIFS($E$5:$E$1000,E50,$C$5:$C$1000,"SSF")&gt;0,"SSF",""),IF(COUNTIFS($E$5:$E$1000,E50,$C$5:$C$1000,"Comité de Supervisión")&gt;0,"Comité Sup.",""),IF(COUNTIFS($E$5:$E$1000,E50,$C$5:$C$1000,"Consejo de Administración")&gt;0,"Consejo",""),IF(COUNTIFS($E$5:$E$1000,E50,$C$5:$C$1000,"Otros")&gt;0,"Otros","")))</f>
        <v>Interna</v>
      </c>
      <c r="X50" s="24" t="n">
        <f aca="false">IF(E50="","",COUNTIFS($E$5:$E$1000,E50,$AB$5:$AB$1000,AB50,$C$5:$C$1000,"&lt;&gt;"&amp;C50))</f>
        <v>0</v>
      </c>
      <c r="Y50" s="20" t="s">
        <v>158</v>
      </c>
      <c r="Z50" s="8" t="n">
        <v>18</v>
      </c>
      <c r="AA50" s="36"/>
      <c r="AB50" s="37" t="n">
        <f aca="false">IF(B50="","",YEAR(B50)*100+MONTH(B50))</f>
        <v>202608</v>
      </c>
      <c r="AC50" s="37" t="str">
        <f aca="false">IF(AND(E50&lt;&gt;"",E50=Cruce!$C$5),COUNTIF($E$5:E50,E50),"")</f>
        <v/>
      </c>
      <c r="AD50" s="37" t="str">
        <f aca="false">IF(E50="","",C50&amp;"|"&amp;Y50&amp;"|"&amp;IF(B50="","s/f",TEXT(B50,"yyyymmdd")))</f>
        <v>Auditoría Interna|Auditoria interna 2|20260815</v>
      </c>
      <c r="AE50" s="37" t="n">
        <f aca="false">IF(E50="",0,IF(COUNTIFS($E$5:E50,E50,$AD$5:AD50,AD50)=1,1,0))</f>
        <v>0</v>
      </c>
    </row>
    <row r="51" customFormat="false" ht="45" hidden="false" customHeight="true" outlineLevel="0" collapsed="false">
      <c r="A51" s="8" t="n">
        <v>47</v>
      </c>
      <c r="B51" s="30" t="n">
        <v>46249</v>
      </c>
      <c r="C51" s="31" t="s">
        <v>129</v>
      </c>
      <c r="D51" s="31" t="s">
        <v>83</v>
      </c>
      <c r="E51" s="32" t="s">
        <v>130</v>
      </c>
      <c r="F51" s="32" t="s">
        <v>180</v>
      </c>
      <c r="G51" s="33" t="s">
        <v>157</v>
      </c>
      <c r="H51" s="31"/>
      <c r="I51" s="24" t="n">
        <f aca="false">IF(B51="","",YEAR(B51))</f>
        <v>2026</v>
      </c>
      <c r="J51" s="34" t="str">
        <f aca="false">IF(B51="","",IF(MONTH(B51)=1,"X",""))</f>
        <v/>
      </c>
      <c r="K51" s="34" t="str">
        <f aca="false">IF(B51="","",IF(MONTH(B51)=2,"X",""))</f>
        <v/>
      </c>
      <c r="L51" s="34" t="str">
        <f aca="false">IF(B51="","",IF(MONTH(B51)=3,"X",""))</f>
        <v/>
      </c>
      <c r="M51" s="34" t="str">
        <f aca="false">IF(B51="","",IF(MONTH(B51)=4,"X",""))</f>
        <v/>
      </c>
      <c r="N51" s="34" t="str">
        <f aca="false">IF(B51="","",IF(MONTH(B51)=5,"X",""))</f>
        <v/>
      </c>
      <c r="O51" s="34" t="str">
        <f aca="false">IF(B51="","",IF(MONTH(B51)=6,"X",""))</f>
        <v/>
      </c>
      <c r="P51" s="34" t="str">
        <f aca="false">IF(B51="","",IF(MONTH(B51)=7,"X",""))</f>
        <v/>
      </c>
      <c r="Q51" s="34" t="str">
        <f aca="false">IF(B51="","",IF(MONTH(B51)=8,"X",""))</f>
        <v>X</v>
      </c>
      <c r="R51" s="34" t="str">
        <f aca="false">IF(B51="","",IF(MONTH(B51)=9,"X",""))</f>
        <v/>
      </c>
      <c r="S51" s="34" t="str">
        <f aca="false">IF(B51="","",IF(MONTH(B51)=10,"X",""))</f>
        <v/>
      </c>
      <c r="T51" s="34" t="str">
        <f aca="false">IF(B51="","",IF(MONTH(B51)=11,"X",""))</f>
        <v/>
      </c>
      <c r="U51" s="34" t="str">
        <f aca="false">IF(B51="","",IF(MONTH(B51)=12,"X",""))</f>
        <v/>
      </c>
      <c r="V51" s="24" t="n">
        <f aca="false">IF(E51="","",COUNTIF($E$5:$E$1000,E51))</f>
        <v>7</v>
      </c>
      <c r="W51" s="35" t="str">
        <f aca="false">IF(E51="","",_xlfn.TEXTJOIN(" + ",TRUE(),IF(COUNTIFS($E$5:$E$1000,E51,$C$5:$C$1000,"Auditoría Interna")&gt;0,"Interna",""),IF(COUNTIFS($E$5:$E$1000,E51,$C$5:$C$1000,"Auditoría Externa")&gt;0,"Externa",""),IF(COUNTIFS($E$5:$E$1000,E51,$C$5:$C$1000,"SSF")&gt;0,"SSF",""),IF(COUNTIFS($E$5:$E$1000,E51,$C$5:$C$1000,"Comité de Supervisión")&gt;0,"Comité Sup.",""),IF(COUNTIFS($E$5:$E$1000,E51,$C$5:$C$1000,"Consejo de Administración")&gt;0,"Consejo",""),IF(COUNTIFS($E$5:$E$1000,E51,$C$5:$C$1000,"Otros")&gt;0,"Otros","")))</f>
        <v>Interna</v>
      </c>
      <c r="X51" s="24" t="n">
        <f aca="false">IF(E51="","",COUNTIFS($E$5:$E$1000,E51,$AB$5:$AB$1000,AB51,$C$5:$C$1000,"&lt;&gt;"&amp;C51))</f>
        <v>0</v>
      </c>
      <c r="Y51" s="20" t="s">
        <v>158</v>
      </c>
      <c r="Z51" s="8" t="n">
        <v>19</v>
      </c>
      <c r="AA51" s="36"/>
      <c r="AB51" s="37" t="n">
        <f aca="false">IF(B51="","",YEAR(B51)*100+MONTH(B51))</f>
        <v>202608</v>
      </c>
      <c r="AC51" s="37" t="str">
        <f aca="false">IF(AND(E51&lt;&gt;"",E51=Cruce!$C$5),COUNTIF($E$5:E51,E51),"")</f>
        <v/>
      </c>
      <c r="AD51" s="37" t="str">
        <f aca="false">IF(E51="","",C51&amp;"|"&amp;Y51&amp;"|"&amp;IF(B51="","s/f",TEXT(B51,"yyyymmdd")))</f>
        <v>Auditoría Interna|Auditoria interna 2|20260815</v>
      </c>
      <c r="AE51" s="37" t="n">
        <f aca="false">IF(E51="",0,IF(COUNTIFS($E$5:E51,E51,$AD$5:AD51,AD51)=1,1,0))</f>
        <v>0</v>
      </c>
    </row>
    <row r="52" customFormat="false" ht="45" hidden="false" customHeight="true" outlineLevel="0" collapsed="false">
      <c r="A52" s="8" t="n">
        <v>48</v>
      </c>
      <c r="B52" s="30" t="n">
        <v>46249</v>
      </c>
      <c r="C52" s="31" t="s">
        <v>129</v>
      </c>
      <c r="D52" s="31" t="s">
        <v>83</v>
      </c>
      <c r="E52" s="32" t="s">
        <v>130</v>
      </c>
      <c r="F52" s="32" t="s">
        <v>181</v>
      </c>
      <c r="G52" s="33" t="s">
        <v>157</v>
      </c>
      <c r="H52" s="31"/>
      <c r="I52" s="24" t="n">
        <f aca="false">IF(B52="","",YEAR(B52))</f>
        <v>2026</v>
      </c>
      <c r="J52" s="34" t="str">
        <f aca="false">IF(B52="","",IF(MONTH(B52)=1,"X",""))</f>
        <v/>
      </c>
      <c r="K52" s="34" t="str">
        <f aca="false">IF(B52="","",IF(MONTH(B52)=2,"X",""))</f>
        <v/>
      </c>
      <c r="L52" s="34" t="str">
        <f aca="false">IF(B52="","",IF(MONTH(B52)=3,"X",""))</f>
        <v/>
      </c>
      <c r="M52" s="34" t="str">
        <f aca="false">IF(B52="","",IF(MONTH(B52)=4,"X",""))</f>
        <v/>
      </c>
      <c r="N52" s="34" t="str">
        <f aca="false">IF(B52="","",IF(MONTH(B52)=5,"X",""))</f>
        <v/>
      </c>
      <c r="O52" s="34" t="str">
        <f aca="false">IF(B52="","",IF(MONTH(B52)=6,"X",""))</f>
        <v/>
      </c>
      <c r="P52" s="34" t="str">
        <f aca="false">IF(B52="","",IF(MONTH(B52)=7,"X",""))</f>
        <v/>
      </c>
      <c r="Q52" s="34" t="str">
        <f aca="false">IF(B52="","",IF(MONTH(B52)=8,"X",""))</f>
        <v>X</v>
      </c>
      <c r="R52" s="34" t="str">
        <f aca="false">IF(B52="","",IF(MONTH(B52)=9,"X",""))</f>
        <v/>
      </c>
      <c r="S52" s="34" t="str">
        <f aca="false">IF(B52="","",IF(MONTH(B52)=10,"X",""))</f>
        <v/>
      </c>
      <c r="T52" s="34" t="str">
        <f aca="false">IF(B52="","",IF(MONTH(B52)=11,"X",""))</f>
        <v/>
      </c>
      <c r="U52" s="34" t="str">
        <f aca="false">IF(B52="","",IF(MONTH(B52)=12,"X",""))</f>
        <v/>
      </c>
      <c r="V52" s="24" t="n">
        <f aca="false">IF(E52="","",COUNTIF($E$5:$E$1000,E52))</f>
        <v>7</v>
      </c>
      <c r="W52" s="35" t="str">
        <f aca="false">IF(E52="","",_xlfn.TEXTJOIN(" + ",TRUE(),IF(COUNTIFS($E$5:$E$1000,E52,$C$5:$C$1000,"Auditoría Interna")&gt;0,"Interna",""),IF(COUNTIFS($E$5:$E$1000,E52,$C$5:$C$1000,"Auditoría Externa")&gt;0,"Externa",""),IF(COUNTIFS($E$5:$E$1000,E52,$C$5:$C$1000,"SSF")&gt;0,"SSF",""),IF(COUNTIFS($E$5:$E$1000,E52,$C$5:$C$1000,"Comité de Supervisión")&gt;0,"Comité Sup.",""),IF(COUNTIFS($E$5:$E$1000,E52,$C$5:$C$1000,"Consejo de Administración")&gt;0,"Consejo",""),IF(COUNTIFS($E$5:$E$1000,E52,$C$5:$C$1000,"Otros")&gt;0,"Otros","")))</f>
        <v>Interna</v>
      </c>
      <c r="X52" s="24" t="n">
        <f aca="false">IF(E52="","",COUNTIFS($E$5:$E$1000,E52,$AB$5:$AB$1000,AB52,$C$5:$C$1000,"&lt;&gt;"&amp;C52))</f>
        <v>0</v>
      </c>
      <c r="Y52" s="20" t="s">
        <v>158</v>
      </c>
      <c r="Z52" s="8" t="n">
        <v>20</v>
      </c>
      <c r="AA52" s="36"/>
      <c r="AB52" s="37" t="n">
        <f aca="false">IF(B52="","",YEAR(B52)*100+MONTH(B52))</f>
        <v>202608</v>
      </c>
      <c r="AC52" s="37" t="str">
        <f aca="false">IF(AND(E52&lt;&gt;"",E52=Cruce!$C$5),COUNTIF($E$5:E52,E52),"")</f>
        <v/>
      </c>
      <c r="AD52" s="37" t="str">
        <f aca="false">IF(E52="","",C52&amp;"|"&amp;Y52&amp;"|"&amp;IF(B52="","s/f",TEXT(B52,"yyyymmdd")))</f>
        <v>Auditoría Interna|Auditoria interna 2|20260815</v>
      </c>
      <c r="AE52" s="37" t="n">
        <f aca="false">IF(E52="",0,IF(COUNTIFS($E$5:E52,E52,$AD$5:AD52,AD52)=1,1,0))</f>
        <v>0</v>
      </c>
    </row>
    <row r="53" customFormat="false" ht="45" hidden="false" customHeight="true" outlineLevel="0" collapsed="false">
      <c r="A53" s="8" t="n">
        <v>49</v>
      </c>
      <c r="B53" s="30" t="n">
        <v>46249</v>
      </c>
      <c r="C53" s="31" t="s">
        <v>129</v>
      </c>
      <c r="D53" s="31" t="s">
        <v>83</v>
      </c>
      <c r="E53" s="32" t="s">
        <v>130</v>
      </c>
      <c r="F53" s="32" t="s">
        <v>182</v>
      </c>
      <c r="G53" s="33" t="s">
        <v>157</v>
      </c>
      <c r="H53" s="31"/>
      <c r="I53" s="24" t="n">
        <f aca="false">IF(B53="","",YEAR(B53))</f>
        <v>2026</v>
      </c>
      <c r="J53" s="34" t="str">
        <f aca="false">IF(B53="","",IF(MONTH(B53)=1,"X",""))</f>
        <v/>
      </c>
      <c r="K53" s="34" t="str">
        <f aca="false">IF(B53="","",IF(MONTH(B53)=2,"X",""))</f>
        <v/>
      </c>
      <c r="L53" s="34" t="str">
        <f aca="false">IF(B53="","",IF(MONTH(B53)=3,"X",""))</f>
        <v/>
      </c>
      <c r="M53" s="34" t="str">
        <f aca="false">IF(B53="","",IF(MONTH(B53)=4,"X",""))</f>
        <v/>
      </c>
      <c r="N53" s="34" t="str">
        <f aca="false">IF(B53="","",IF(MONTH(B53)=5,"X",""))</f>
        <v/>
      </c>
      <c r="O53" s="34" t="str">
        <f aca="false">IF(B53="","",IF(MONTH(B53)=6,"X",""))</f>
        <v/>
      </c>
      <c r="P53" s="34" t="str">
        <f aca="false">IF(B53="","",IF(MONTH(B53)=7,"X",""))</f>
        <v/>
      </c>
      <c r="Q53" s="34" t="str">
        <f aca="false">IF(B53="","",IF(MONTH(B53)=8,"X",""))</f>
        <v>X</v>
      </c>
      <c r="R53" s="34" t="str">
        <f aca="false">IF(B53="","",IF(MONTH(B53)=9,"X",""))</f>
        <v/>
      </c>
      <c r="S53" s="34" t="str">
        <f aca="false">IF(B53="","",IF(MONTH(B53)=10,"X",""))</f>
        <v/>
      </c>
      <c r="T53" s="34" t="str">
        <f aca="false">IF(B53="","",IF(MONTH(B53)=11,"X",""))</f>
        <v/>
      </c>
      <c r="U53" s="34" t="str">
        <f aca="false">IF(B53="","",IF(MONTH(B53)=12,"X",""))</f>
        <v/>
      </c>
      <c r="V53" s="24" t="n">
        <f aca="false">IF(E53="","",COUNTIF($E$5:$E$1000,E53))</f>
        <v>7</v>
      </c>
      <c r="W53" s="35" t="str">
        <f aca="false">IF(E53="","",_xlfn.TEXTJOIN(" + ",TRUE(),IF(COUNTIFS($E$5:$E$1000,E53,$C$5:$C$1000,"Auditoría Interna")&gt;0,"Interna",""),IF(COUNTIFS($E$5:$E$1000,E53,$C$5:$C$1000,"Auditoría Externa")&gt;0,"Externa",""),IF(COUNTIFS($E$5:$E$1000,E53,$C$5:$C$1000,"SSF")&gt;0,"SSF",""),IF(COUNTIFS($E$5:$E$1000,E53,$C$5:$C$1000,"Comité de Supervisión")&gt;0,"Comité Sup.",""),IF(COUNTIFS($E$5:$E$1000,E53,$C$5:$C$1000,"Consejo de Administración")&gt;0,"Consejo",""),IF(COUNTIFS($E$5:$E$1000,E53,$C$5:$C$1000,"Otros")&gt;0,"Otros","")))</f>
        <v>Interna</v>
      </c>
      <c r="X53" s="24" t="n">
        <f aca="false">IF(E53="","",COUNTIFS($E$5:$E$1000,E53,$AB$5:$AB$1000,AB53,$C$5:$C$1000,"&lt;&gt;"&amp;C53))</f>
        <v>0</v>
      </c>
      <c r="Y53" s="20" t="s">
        <v>158</v>
      </c>
      <c r="Z53" s="8" t="n">
        <v>21</v>
      </c>
      <c r="AA53" s="36"/>
      <c r="AB53" s="37" t="n">
        <f aca="false">IF(B53="","",YEAR(B53)*100+MONTH(B53))</f>
        <v>202608</v>
      </c>
      <c r="AC53" s="37" t="str">
        <f aca="false">IF(AND(E53&lt;&gt;"",E53=Cruce!$C$5),COUNTIF($E$5:E53,E53),"")</f>
        <v/>
      </c>
      <c r="AD53" s="37" t="str">
        <f aca="false">IF(E53="","",C53&amp;"|"&amp;Y53&amp;"|"&amp;IF(B53="","s/f",TEXT(B53,"yyyymmdd")))</f>
        <v>Auditoría Interna|Auditoria interna 2|20260815</v>
      </c>
      <c r="AE53" s="37" t="n">
        <f aca="false">IF(E53="",0,IF(COUNTIFS($E$5:E53,E53,$AD$5:AD53,AD53)=1,1,0))</f>
        <v>0</v>
      </c>
    </row>
    <row r="54" customFormat="false" ht="45" hidden="false" customHeight="true" outlineLevel="0" collapsed="false">
      <c r="A54" s="8" t="n">
        <v>50</v>
      </c>
      <c r="B54" s="30" t="n">
        <v>46249</v>
      </c>
      <c r="C54" s="31" t="s">
        <v>129</v>
      </c>
      <c r="D54" s="31" t="s">
        <v>83</v>
      </c>
      <c r="E54" s="32" t="s">
        <v>130</v>
      </c>
      <c r="F54" s="32" t="s">
        <v>183</v>
      </c>
      <c r="G54" s="33"/>
      <c r="H54" s="31"/>
      <c r="I54" s="24" t="n">
        <f aca="false">IF(B54="","",YEAR(B54))</f>
        <v>2026</v>
      </c>
      <c r="J54" s="34" t="str">
        <f aca="false">IF(B54="","",IF(MONTH(B54)=1,"X",""))</f>
        <v/>
      </c>
      <c r="K54" s="34" t="str">
        <f aca="false">IF(B54="","",IF(MONTH(B54)=2,"X",""))</f>
        <v/>
      </c>
      <c r="L54" s="34" t="str">
        <f aca="false">IF(B54="","",IF(MONTH(B54)=3,"X",""))</f>
        <v/>
      </c>
      <c r="M54" s="34" t="str">
        <f aca="false">IF(B54="","",IF(MONTH(B54)=4,"X",""))</f>
        <v/>
      </c>
      <c r="N54" s="34" t="str">
        <f aca="false">IF(B54="","",IF(MONTH(B54)=5,"X",""))</f>
        <v/>
      </c>
      <c r="O54" s="34" t="str">
        <f aca="false">IF(B54="","",IF(MONTH(B54)=6,"X",""))</f>
        <v/>
      </c>
      <c r="P54" s="34" t="str">
        <f aca="false">IF(B54="","",IF(MONTH(B54)=7,"X",""))</f>
        <v/>
      </c>
      <c r="Q54" s="34" t="str">
        <f aca="false">IF(B54="","",IF(MONTH(B54)=8,"X",""))</f>
        <v>X</v>
      </c>
      <c r="R54" s="34" t="str">
        <f aca="false">IF(B54="","",IF(MONTH(B54)=9,"X",""))</f>
        <v/>
      </c>
      <c r="S54" s="34" t="str">
        <f aca="false">IF(B54="","",IF(MONTH(B54)=10,"X",""))</f>
        <v/>
      </c>
      <c r="T54" s="34" t="str">
        <f aca="false">IF(B54="","",IF(MONTH(B54)=11,"X",""))</f>
        <v/>
      </c>
      <c r="U54" s="34" t="str">
        <f aca="false">IF(B54="","",IF(MONTH(B54)=12,"X",""))</f>
        <v/>
      </c>
      <c r="V54" s="24" t="n">
        <f aca="false">IF(E54="","",COUNTIF($E$5:$E$1000,E54))</f>
        <v>7</v>
      </c>
      <c r="W54" s="35" t="str">
        <f aca="false">IF(E54="","",_xlfn.TEXTJOIN(" + ",TRUE(),IF(COUNTIFS($E$5:$E$1000,E54,$C$5:$C$1000,"Auditoría Interna")&gt;0,"Interna",""),IF(COUNTIFS($E$5:$E$1000,E54,$C$5:$C$1000,"Auditoría Externa")&gt;0,"Externa",""),IF(COUNTIFS($E$5:$E$1000,E54,$C$5:$C$1000,"SSF")&gt;0,"SSF",""),IF(COUNTIFS($E$5:$E$1000,E54,$C$5:$C$1000,"Comité de Supervisión")&gt;0,"Comité Sup.",""),IF(COUNTIFS($E$5:$E$1000,E54,$C$5:$C$1000,"Consejo de Administración")&gt;0,"Consejo",""),IF(COUNTIFS($E$5:$E$1000,E54,$C$5:$C$1000,"Otros")&gt;0,"Otros","")))</f>
        <v>Interna</v>
      </c>
      <c r="X54" s="24" t="n">
        <f aca="false">IF(E54="","",COUNTIFS($E$5:$E$1000,E54,$AB$5:$AB$1000,AB54,$C$5:$C$1000,"&lt;&gt;"&amp;C54))</f>
        <v>0</v>
      </c>
      <c r="Y54" s="20" t="s">
        <v>158</v>
      </c>
      <c r="Z54" s="8" t="n">
        <v>22</v>
      </c>
      <c r="AA54" s="36"/>
      <c r="AB54" s="37" t="n">
        <f aca="false">IF(B54="","",YEAR(B54)*100+MONTH(B54))</f>
        <v>202608</v>
      </c>
      <c r="AC54" s="37" t="str">
        <f aca="false">IF(AND(E54&lt;&gt;"",E54=Cruce!$C$5),COUNTIF($E$5:E54,E54),"")</f>
        <v/>
      </c>
      <c r="AD54" s="37" t="str">
        <f aca="false">IF(E54="","",C54&amp;"|"&amp;Y54&amp;"|"&amp;IF(B54="","s/f",TEXT(B54,"yyyymmdd")))</f>
        <v>Auditoría Interna|Auditoria interna 2|20260815</v>
      </c>
      <c r="AE54" s="37" t="n">
        <f aca="false">IF(E54="",0,IF(COUNTIFS($E$5:E54,E54,$AD$5:AD54,AD54)=1,1,0))</f>
        <v>0</v>
      </c>
    </row>
    <row r="55" customFormat="false" ht="45" hidden="false" customHeight="true" outlineLevel="0" collapsed="false">
      <c r="A55" s="8" t="n">
        <v>51</v>
      </c>
      <c r="B55" s="30" t="n">
        <v>46249</v>
      </c>
      <c r="C55" s="31" t="s">
        <v>129</v>
      </c>
      <c r="D55" s="31" t="s">
        <v>99</v>
      </c>
      <c r="E55" s="32" t="s">
        <v>100</v>
      </c>
      <c r="F55" s="32" t="s">
        <v>184</v>
      </c>
      <c r="G55" s="33" t="s">
        <v>152</v>
      </c>
      <c r="H55" s="31"/>
      <c r="I55" s="24" t="n">
        <f aca="false">IF(B55="","",YEAR(B55))</f>
        <v>2026</v>
      </c>
      <c r="J55" s="34" t="str">
        <f aca="false">IF(B55="","",IF(MONTH(B55)=1,"X",""))</f>
        <v/>
      </c>
      <c r="K55" s="34" t="str">
        <f aca="false">IF(B55="","",IF(MONTH(B55)=2,"X",""))</f>
        <v/>
      </c>
      <c r="L55" s="34" t="str">
        <f aca="false">IF(B55="","",IF(MONTH(B55)=3,"X",""))</f>
        <v/>
      </c>
      <c r="M55" s="34" t="str">
        <f aca="false">IF(B55="","",IF(MONTH(B55)=4,"X",""))</f>
        <v/>
      </c>
      <c r="N55" s="34" t="str">
        <f aca="false">IF(B55="","",IF(MONTH(B55)=5,"X",""))</f>
        <v/>
      </c>
      <c r="O55" s="34" t="str">
        <f aca="false">IF(B55="","",IF(MONTH(B55)=6,"X",""))</f>
        <v/>
      </c>
      <c r="P55" s="34" t="str">
        <f aca="false">IF(B55="","",IF(MONTH(B55)=7,"X",""))</f>
        <v/>
      </c>
      <c r="Q55" s="34" t="str">
        <f aca="false">IF(B55="","",IF(MONTH(B55)=8,"X",""))</f>
        <v>X</v>
      </c>
      <c r="R55" s="34" t="str">
        <f aca="false">IF(B55="","",IF(MONTH(B55)=9,"X",""))</f>
        <v/>
      </c>
      <c r="S55" s="34" t="str">
        <f aca="false">IF(B55="","",IF(MONTH(B55)=10,"X",""))</f>
        <v/>
      </c>
      <c r="T55" s="34" t="str">
        <f aca="false">IF(B55="","",IF(MONTH(B55)=11,"X",""))</f>
        <v/>
      </c>
      <c r="U55" s="34" t="str">
        <f aca="false">IF(B55="","",IF(MONTH(B55)=12,"X",""))</f>
        <v/>
      </c>
      <c r="V55" s="24" t="n">
        <f aca="false">IF(E55="","",COUNTIF($E$5:$E$1000,E55))</f>
        <v>8</v>
      </c>
      <c r="W55" s="35" t="str">
        <f aca="false">IF(E55="","",_xlfn.TEXTJOIN(" + ",TRUE(),IF(COUNTIFS($E$5:$E$1000,E55,$C$5:$C$1000,"Auditoría Interna")&gt;0,"Interna",""),IF(COUNTIFS($E$5:$E$1000,E55,$C$5:$C$1000,"Auditoría Externa")&gt;0,"Externa",""),IF(COUNTIFS($E$5:$E$1000,E55,$C$5:$C$1000,"SSF")&gt;0,"SSF",""),IF(COUNTIFS($E$5:$E$1000,E55,$C$5:$C$1000,"Comité de Supervisión")&gt;0,"Comité Sup.",""),IF(COUNTIFS($E$5:$E$1000,E55,$C$5:$C$1000,"Consejo de Administración")&gt;0,"Consejo",""),IF(COUNTIFS($E$5:$E$1000,E55,$C$5:$C$1000,"Otros")&gt;0,"Otros","")))</f>
        <v>Interna + SSF</v>
      </c>
      <c r="X55" s="24" t="n">
        <f aca="false">IF(E55="","",COUNTIFS($E$5:$E$1000,E55,$AB$5:$AB$1000,AB55,$C$5:$C$1000,"&lt;&gt;"&amp;C55))</f>
        <v>1</v>
      </c>
      <c r="Y55" s="20" t="s">
        <v>158</v>
      </c>
      <c r="Z55" s="8" t="n">
        <v>23</v>
      </c>
      <c r="AA55" s="36"/>
      <c r="AB55" s="37" t="n">
        <f aca="false">IF(B55="","",YEAR(B55)*100+MONTH(B55))</f>
        <v>202608</v>
      </c>
      <c r="AC55" s="37" t="n">
        <f aca="false">IF(AND(E55&lt;&gt;"",E55=Cruce!$C$5),COUNTIF($E$5:E55,E55),"")</f>
        <v>7</v>
      </c>
      <c r="AD55" s="37" t="str">
        <f aca="false">IF(E55="","",C55&amp;"|"&amp;Y55&amp;"|"&amp;IF(B55="","s/f",TEXT(B55,"yyyymmdd")))</f>
        <v>Auditoría Interna|Auditoria interna 2|20260815</v>
      </c>
      <c r="AE55" s="37" t="n">
        <f aca="false">IF(E55="",0,IF(COUNTIFS($E$5:E55,E55,$AD$5:AD55,AD55)=1,1,0))</f>
        <v>0</v>
      </c>
    </row>
    <row r="56" customFormat="false" ht="45" hidden="false" customHeight="true" outlineLevel="0" collapsed="false">
      <c r="A56" s="8" t="n">
        <v>52</v>
      </c>
      <c r="B56" s="30" t="n">
        <v>46255</v>
      </c>
      <c r="C56" s="31" t="s">
        <v>9</v>
      </c>
      <c r="D56" s="31" t="s">
        <v>185</v>
      </c>
      <c r="E56" s="32" t="s">
        <v>186</v>
      </c>
      <c r="F56" s="32" t="s">
        <v>187</v>
      </c>
      <c r="G56" s="33"/>
      <c r="H56" s="31"/>
      <c r="I56" s="24" t="n">
        <f aca="false">IF(B56="","",YEAR(B56))</f>
        <v>2026</v>
      </c>
      <c r="J56" s="34" t="str">
        <f aca="false">IF(B56="","",IF(MONTH(B56)=1,"X",""))</f>
        <v/>
      </c>
      <c r="K56" s="34" t="str">
        <f aca="false">IF(B56="","",IF(MONTH(B56)=2,"X",""))</f>
        <v/>
      </c>
      <c r="L56" s="34" t="str">
        <f aca="false">IF(B56="","",IF(MONTH(B56)=3,"X",""))</f>
        <v/>
      </c>
      <c r="M56" s="34" t="str">
        <f aca="false">IF(B56="","",IF(MONTH(B56)=4,"X",""))</f>
        <v/>
      </c>
      <c r="N56" s="34" t="str">
        <f aca="false">IF(B56="","",IF(MONTH(B56)=5,"X",""))</f>
        <v/>
      </c>
      <c r="O56" s="34" t="str">
        <f aca="false">IF(B56="","",IF(MONTH(B56)=6,"X",""))</f>
        <v/>
      </c>
      <c r="P56" s="34" t="str">
        <f aca="false">IF(B56="","",IF(MONTH(B56)=7,"X",""))</f>
        <v/>
      </c>
      <c r="Q56" s="34" t="str">
        <f aca="false">IF(B56="","",IF(MONTH(B56)=8,"X",""))</f>
        <v>X</v>
      </c>
      <c r="R56" s="34" t="str">
        <f aca="false">IF(B56="","",IF(MONTH(B56)=9,"X",""))</f>
        <v/>
      </c>
      <c r="S56" s="34" t="str">
        <f aca="false">IF(B56="","",IF(MONTH(B56)=10,"X",""))</f>
        <v/>
      </c>
      <c r="T56" s="34" t="str">
        <f aca="false">IF(B56="","",IF(MONTH(B56)=11,"X",""))</f>
        <v/>
      </c>
      <c r="U56" s="34" t="str">
        <f aca="false">IF(B56="","",IF(MONTH(B56)=12,"X",""))</f>
        <v/>
      </c>
      <c r="V56" s="24" t="n">
        <f aca="false">IF(E56="","",COUNTIF($E$5:$E$1000,E56))</f>
        <v>1</v>
      </c>
      <c r="W56" s="35" t="str">
        <f aca="false">IF(E56="","",_xlfn.TEXTJOIN(" + ",TRUE(),IF(COUNTIFS($E$5:$E$1000,E56,$C$5:$C$1000,"Auditoría Interna")&gt;0,"Interna",""),IF(COUNTIFS($E$5:$E$1000,E56,$C$5:$C$1000,"Auditoría Externa")&gt;0,"Externa",""),IF(COUNTIFS($E$5:$E$1000,E56,$C$5:$C$1000,"SSF")&gt;0,"SSF",""),IF(COUNTIFS($E$5:$E$1000,E56,$C$5:$C$1000,"Comité de Supervisión")&gt;0,"Comité Sup.",""),IF(COUNTIFS($E$5:$E$1000,E56,$C$5:$C$1000,"Consejo de Administración")&gt;0,"Consejo",""),IF(COUNTIFS($E$5:$E$1000,E56,$C$5:$C$1000,"Otros")&gt;0,"Otros","")))</f>
        <v>SSF</v>
      </c>
      <c r="X56" s="24" t="n">
        <f aca="false">IF(E56="","",COUNTIFS($E$5:$E$1000,E56,$AB$5:$AB$1000,AB56,$C$5:$C$1000,"&lt;&gt;"&amp;C56))</f>
        <v>0</v>
      </c>
      <c r="Y56" s="20" t="s">
        <v>73</v>
      </c>
      <c r="Z56" s="8" t="n">
        <v>24</v>
      </c>
      <c r="AA56" s="36" t="s">
        <v>188</v>
      </c>
      <c r="AB56" s="37" t="n">
        <f aca="false">IF(B56="","",YEAR(B56)*100+MONTH(B56))</f>
        <v>202608</v>
      </c>
      <c r="AC56" s="37" t="str">
        <f aca="false">IF(AND(E56&lt;&gt;"",E56=Cruce!$C$5),COUNTIF($E$5:E56,E56),"")</f>
        <v/>
      </c>
      <c r="AD56" s="37" t="str">
        <f aca="false">IF(E56="","",C56&amp;"|"&amp;Y56&amp;"|"&amp;IF(B56="","s/f",TEXT(B56,"yyyymmdd")))</f>
        <v>SSF|Resumen visita presencialSSF|20260821</v>
      </c>
      <c r="AE56" s="37" t="n">
        <f aca="false">IF(E56="",0,IF(COUNTIFS($E$5:E56,E56,$AD$5:AD56,AD56)=1,1,0))</f>
        <v>1</v>
      </c>
    </row>
    <row r="57" customFormat="false" ht="45" hidden="false" customHeight="true" outlineLevel="0" collapsed="false">
      <c r="A57" s="8" t="n">
        <v>53</v>
      </c>
      <c r="B57" s="30" t="n">
        <v>46255</v>
      </c>
      <c r="C57" s="31" t="s">
        <v>9</v>
      </c>
      <c r="D57" s="31" t="s">
        <v>99</v>
      </c>
      <c r="E57" s="32" t="s">
        <v>100</v>
      </c>
      <c r="F57" s="32" t="s">
        <v>189</v>
      </c>
      <c r="G57" s="33"/>
      <c r="H57" s="31"/>
      <c r="I57" s="24" t="n">
        <f aca="false">IF(B57="","",YEAR(B57))</f>
        <v>2026</v>
      </c>
      <c r="J57" s="34" t="str">
        <f aca="false">IF(B57="","",IF(MONTH(B57)=1,"X",""))</f>
        <v/>
      </c>
      <c r="K57" s="34" t="str">
        <f aca="false">IF(B57="","",IF(MONTH(B57)=2,"X",""))</f>
        <v/>
      </c>
      <c r="L57" s="34" t="str">
        <f aca="false">IF(B57="","",IF(MONTH(B57)=3,"X",""))</f>
        <v/>
      </c>
      <c r="M57" s="34" t="str">
        <f aca="false">IF(B57="","",IF(MONTH(B57)=4,"X",""))</f>
        <v/>
      </c>
      <c r="N57" s="34" t="str">
        <f aca="false">IF(B57="","",IF(MONTH(B57)=5,"X",""))</f>
        <v/>
      </c>
      <c r="O57" s="34" t="str">
        <f aca="false">IF(B57="","",IF(MONTH(B57)=6,"X",""))</f>
        <v/>
      </c>
      <c r="P57" s="34" t="str">
        <f aca="false">IF(B57="","",IF(MONTH(B57)=7,"X",""))</f>
        <v/>
      </c>
      <c r="Q57" s="34" t="str">
        <f aca="false">IF(B57="","",IF(MONTH(B57)=8,"X",""))</f>
        <v>X</v>
      </c>
      <c r="R57" s="34" t="str">
        <f aca="false">IF(B57="","",IF(MONTH(B57)=9,"X",""))</f>
        <v/>
      </c>
      <c r="S57" s="34" t="str">
        <f aca="false">IF(B57="","",IF(MONTH(B57)=10,"X",""))</f>
        <v/>
      </c>
      <c r="T57" s="34" t="str">
        <f aca="false">IF(B57="","",IF(MONTH(B57)=11,"X",""))</f>
        <v/>
      </c>
      <c r="U57" s="34" t="str">
        <f aca="false">IF(B57="","",IF(MONTH(B57)=12,"X",""))</f>
        <v/>
      </c>
      <c r="V57" s="24" t="n">
        <f aca="false">IF(E57="","",COUNTIF($E$5:$E$1000,E57))</f>
        <v>8</v>
      </c>
      <c r="W57" s="35" t="str">
        <f aca="false">IF(E57="","",_xlfn.TEXTJOIN(" + ",TRUE(),IF(COUNTIFS($E$5:$E$1000,E57,$C$5:$C$1000,"Auditoría Interna")&gt;0,"Interna",""),IF(COUNTIFS($E$5:$E$1000,E57,$C$5:$C$1000,"Auditoría Externa")&gt;0,"Externa",""),IF(COUNTIFS($E$5:$E$1000,E57,$C$5:$C$1000,"SSF")&gt;0,"SSF",""),IF(COUNTIFS($E$5:$E$1000,E57,$C$5:$C$1000,"Comité de Supervisión")&gt;0,"Comité Sup.",""),IF(COUNTIFS($E$5:$E$1000,E57,$C$5:$C$1000,"Consejo de Administración")&gt;0,"Consejo",""),IF(COUNTIFS($E$5:$E$1000,E57,$C$5:$C$1000,"Otros")&gt;0,"Otros","")))</f>
        <v>Interna + SSF</v>
      </c>
      <c r="X57" s="24" t="n">
        <f aca="false">IF(E57="","",COUNTIFS($E$5:$E$1000,E57,$AB$5:$AB$1000,AB57,$C$5:$C$1000,"&lt;&gt;"&amp;C57))</f>
        <v>6</v>
      </c>
      <c r="Y57" s="20" t="s">
        <v>73</v>
      </c>
      <c r="Z57" s="8" t="n">
        <v>25</v>
      </c>
      <c r="AA57" s="36" t="s">
        <v>190</v>
      </c>
      <c r="AB57" s="37" t="n">
        <f aca="false">IF(B57="","",YEAR(B57)*100+MONTH(B57))</f>
        <v>202608</v>
      </c>
      <c r="AC57" s="37" t="n">
        <f aca="false">IF(AND(E57&lt;&gt;"",E57=Cruce!$C$5),COUNTIF($E$5:E57,E57),"")</f>
        <v>8</v>
      </c>
      <c r="AD57" s="37" t="str">
        <f aca="false">IF(E57="","",C57&amp;"|"&amp;Y57&amp;"|"&amp;IF(B57="","s/f",TEXT(B57,"yyyymmdd")))</f>
        <v>SSF|Resumen visita presencialSSF|20260821</v>
      </c>
      <c r="AE57" s="37" t="n">
        <f aca="false">IF(E57="",0,IF(COUNTIFS($E$5:E57,E57,$AD$5:AD57,AD57)=1,1,0))</f>
        <v>1</v>
      </c>
    </row>
    <row r="58" customFormat="false" ht="45" hidden="false" customHeight="true" outlineLevel="0" collapsed="false">
      <c r="A58" s="8" t="n">
        <v>54</v>
      </c>
      <c r="B58" s="30" t="n">
        <v>46272</v>
      </c>
      <c r="C58" s="31" t="s">
        <v>9</v>
      </c>
      <c r="D58" s="31" t="s">
        <v>123</v>
      </c>
      <c r="E58" s="32" t="s">
        <v>124</v>
      </c>
      <c r="F58" s="32" t="s">
        <v>191</v>
      </c>
      <c r="G58" s="33"/>
      <c r="H58" s="31"/>
      <c r="I58" s="24" t="n">
        <f aca="false">IF(B58="","",YEAR(B58))</f>
        <v>2026</v>
      </c>
      <c r="J58" s="34" t="str">
        <f aca="false">IF(B58="","",IF(MONTH(B58)=1,"X",""))</f>
        <v/>
      </c>
      <c r="K58" s="34" t="str">
        <f aca="false">IF(B58="","",IF(MONTH(B58)=2,"X",""))</f>
        <v/>
      </c>
      <c r="L58" s="34" t="str">
        <f aca="false">IF(B58="","",IF(MONTH(B58)=3,"X",""))</f>
        <v/>
      </c>
      <c r="M58" s="34" t="str">
        <f aca="false">IF(B58="","",IF(MONTH(B58)=4,"X",""))</f>
        <v/>
      </c>
      <c r="N58" s="34" t="str">
        <f aca="false">IF(B58="","",IF(MONTH(B58)=5,"X",""))</f>
        <v/>
      </c>
      <c r="O58" s="34" t="str">
        <f aca="false">IF(B58="","",IF(MONTH(B58)=6,"X",""))</f>
        <v/>
      </c>
      <c r="P58" s="34" t="str">
        <f aca="false">IF(B58="","",IF(MONTH(B58)=7,"X",""))</f>
        <v/>
      </c>
      <c r="Q58" s="34" t="str">
        <f aca="false">IF(B58="","",IF(MONTH(B58)=8,"X",""))</f>
        <v/>
      </c>
      <c r="R58" s="34" t="str">
        <f aca="false">IF(B58="","",IF(MONTH(B58)=9,"X",""))</f>
        <v>X</v>
      </c>
      <c r="S58" s="34" t="str">
        <f aca="false">IF(B58="","",IF(MONTH(B58)=10,"X",""))</f>
        <v/>
      </c>
      <c r="T58" s="34" t="str">
        <f aca="false">IF(B58="","",IF(MONTH(B58)=11,"X",""))</f>
        <v/>
      </c>
      <c r="U58" s="34" t="str">
        <f aca="false">IF(B58="","",IF(MONTH(B58)=12,"X",""))</f>
        <v/>
      </c>
      <c r="V58" s="24" t="n">
        <f aca="false">IF(E58="","",COUNTIF($E$5:$E$1000,E58))</f>
        <v>2</v>
      </c>
      <c r="W58" s="35" t="str">
        <f aca="false">IF(E58="","",_xlfn.TEXTJOIN(" + ",TRUE(),IF(COUNTIFS($E$5:$E$1000,E58,$C$5:$C$1000,"Auditoría Interna")&gt;0,"Interna",""),IF(COUNTIFS($E$5:$E$1000,E58,$C$5:$C$1000,"Auditoría Externa")&gt;0,"Externa",""),IF(COUNTIFS($E$5:$E$1000,E58,$C$5:$C$1000,"SSF")&gt;0,"SSF",""),IF(COUNTIFS($E$5:$E$1000,E58,$C$5:$C$1000,"Comité de Supervisión")&gt;0,"Comité Sup.",""),IF(COUNTIFS($E$5:$E$1000,E58,$C$5:$C$1000,"Consejo de Administración")&gt;0,"Consejo",""),IF(COUNTIFS($E$5:$E$1000,E58,$C$5:$C$1000,"Otros")&gt;0,"Otros","")))</f>
        <v>SSF</v>
      </c>
      <c r="X58" s="24" t="n">
        <f aca="false">IF(E58="","",COUNTIFS($E$5:$E$1000,E58,$AB$5:$AB$1000,AB58,$C$5:$C$1000,"&lt;&gt;"&amp;C58))</f>
        <v>0</v>
      </c>
      <c r="Y58" s="20" t="s">
        <v>73</v>
      </c>
      <c r="Z58" s="8" t="n">
        <v>27</v>
      </c>
      <c r="AA58" s="36" t="s">
        <v>192</v>
      </c>
      <c r="AB58" s="37" t="n">
        <f aca="false">IF(B58="","",YEAR(B58)*100+MONTH(B58))</f>
        <v>202609</v>
      </c>
      <c r="AC58" s="37" t="str">
        <f aca="false">IF(AND(E58&lt;&gt;"",E58=Cruce!$C$5),COUNTIF($E$5:E58,E58),"")</f>
        <v/>
      </c>
      <c r="AD58" s="37" t="str">
        <f aca="false">IF(E58="","",C58&amp;"|"&amp;Y58&amp;"|"&amp;IF(B58="","s/f",TEXT(B58,"yyyymmdd")))</f>
        <v>SSF|Resumen visita presencialSSF|20260907</v>
      </c>
      <c r="AE58" s="37" t="n">
        <f aca="false">IF(E58="",0,IF(COUNTIFS($E$5:E58,E58,$AD$5:AD58,AD58)=1,1,0))</f>
        <v>1</v>
      </c>
    </row>
    <row r="59" customFormat="false" ht="45" hidden="false" customHeight="true" outlineLevel="0" collapsed="false">
      <c r="A59" s="8" t="n">
        <v>55</v>
      </c>
      <c r="B59" s="30" t="n">
        <v>46301</v>
      </c>
      <c r="C59" s="31" t="s">
        <v>193</v>
      </c>
      <c r="D59" s="31" t="s">
        <v>148</v>
      </c>
      <c r="E59" s="32" t="s">
        <v>194</v>
      </c>
      <c r="F59" s="32" t="s">
        <v>195</v>
      </c>
      <c r="G59" s="33" t="s">
        <v>196</v>
      </c>
      <c r="H59" s="31" t="s">
        <v>197</v>
      </c>
      <c r="I59" s="24" t="n">
        <f aca="false">IF(B59="","",YEAR(B59))</f>
        <v>2026</v>
      </c>
      <c r="J59" s="34" t="str">
        <f aca="false">IF(B59="","",IF(MONTH(B59)=1,"X",""))</f>
        <v/>
      </c>
      <c r="K59" s="34" t="str">
        <f aca="false">IF(B59="","",IF(MONTH(B59)=2,"X",""))</f>
        <v/>
      </c>
      <c r="L59" s="34" t="str">
        <f aca="false">IF(B59="","",IF(MONTH(B59)=3,"X",""))</f>
        <v/>
      </c>
      <c r="M59" s="34" t="str">
        <f aca="false">IF(B59="","",IF(MONTH(B59)=4,"X",""))</f>
        <v/>
      </c>
      <c r="N59" s="34" t="str">
        <f aca="false">IF(B59="","",IF(MONTH(B59)=5,"X",""))</f>
        <v/>
      </c>
      <c r="O59" s="34" t="str">
        <f aca="false">IF(B59="","",IF(MONTH(B59)=6,"X",""))</f>
        <v/>
      </c>
      <c r="P59" s="34" t="str">
        <f aca="false">IF(B59="","",IF(MONTH(B59)=7,"X",""))</f>
        <v/>
      </c>
      <c r="Q59" s="34" t="str">
        <f aca="false">IF(B59="","",IF(MONTH(B59)=8,"X",""))</f>
        <v/>
      </c>
      <c r="R59" s="34" t="str">
        <f aca="false">IF(B59="","",IF(MONTH(B59)=9,"X",""))</f>
        <v/>
      </c>
      <c r="S59" s="34" t="str">
        <f aca="false">IF(B59="","",IF(MONTH(B59)=10,"X",""))</f>
        <v>X</v>
      </c>
      <c r="T59" s="34" t="str">
        <f aca="false">IF(B59="","",IF(MONTH(B59)=11,"X",""))</f>
        <v/>
      </c>
      <c r="U59" s="34" t="str">
        <f aca="false">IF(B59="","",IF(MONTH(B59)=12,"X",""))</f>
        <v/>
      </c>
      <c r="V59" s="24" t="n">
        <f aca="false">IF(E59="","",COUNTIF($E$5:$E$1000,E59))</f>
        <v>1</v>
      </c>
      <c r="W59" s="35" t="str">
        <f aca="false">IF(E59="","",_xlfn.TEXTJOIN(" + ",TRUE(),IF(COUNTIFS($E$5:$E$1000,E59,$C$5:$C$1000,"Auditoría Interna")&gt;0,"Interna",""),IF(COUNTIFS($E$5:$E$1000,E59,$C$5:$C$1000,"Auditoría Externa")&gt;0,"Externa",""),IF(COUNTIFS($E$5:$E$1000,E59,$C$5:$C$1000,"SSF")&gt;0,"SSF",""),IF(COUNTIFS($E$5:$E$1000,E59,$C$5:$C$1000,"Comité de Supervisión")&gt;0,"Comité Sup.",""),IF(COUNTIFS($E$5:$E$1000,E59,$C$5:$C$1000,"Consejo de Administración")&gt;0,"Consejo",""),IF(COUNTIFS($E$5:$E$1000,E59,$C$5:$C$1000,"Otros")&gt;0,"Otros","")))</f>
        <v>Externa</v>
      </c>
      <c r="X59" s="24" t="n">
        <f aca="false">IF(E59="","",COUNTIFS($E$5:$E$1000,E59,$AB$5:$AB$1000,AB59,$C$5:$C$1000,"&lt;&gt;"&amp;C59))</f>
        <v>0</v>
      </c>
      <c r="Y59" s="20" t="s">
        <v>198</v>
      </c>
      <c r="Z59" s="8" t="n">
        <v>1</v>
      </c>
      <c r="AA59" s="36"/>
      <c r="AB59" s="37" t="n">
        <f aca="false">IF(B59="","",YEAR(B59)*100+MONTH(B59))</f>
        <v>202610</v>
      </c>
      <c r="AC59" s="37" t="str">
        <f aca="false">IF(AND(E59&lt;&gt;"",E59=Cruce!$C$5),COUNTIF($E$5:E59,E59),"")</f>
        <v/>
      </c>
      <c r="AD59" s="37" t="str">
        <f aca="false">IF(E59="","",C59&amp;"|"&amp;Y59&amp;"|"&amp;IF(B59="","s/f",TEXT(B59,"yyyymmdd")))</f>
        <v>Auditoría Externa|Audtoria Externa|20261006</v>
      </c>
      <c r="AE59" s="37" t="n">
        <f aca="false">IF(E59="",0,IF(COUNTIFS($E$5:E59,E59,$AD$5:AD59,AD59)=1,1,0))</f>
        <v>1</v>
      </c>
    </row>
    <row r="60" customFormat="false" ht="45" hidden="false" customHeight="true" outlineLevel="0" collapsed="false">
      <c r="A60" s="8" t="n">
        <v>56</v>
      </c>
      <c r="B60" s="30" t="n">
        <v>46301</v>
      </c>
      <c r="C60" s="31" t="s">
        <v>193</v>
      </c>
      <c r="D60" s="31" t="s">
        <v>75</v>
      </c>
      <c r="E60" s="32" t="s">
        <v>146</v>
      </c>
      <c r="F60" s="32" t="s">
        <v>199</v>
      </c>
      <c r="G60" s="33" t="s">
        <v>196</v>
      </c>
      <c r="H60" s="31" t="s">
        <v>200</v>
      </c>
      <c r="I60" s="24" t="n">
        <f aca="false">IF(B60="","",YEAR(B60))</f>
        <v>2026</v>
      </c>
      <c r="J60" s="34" t="str">
        <f aca="false">IF(B60="","",IF(MONTH(B60)=1,"X",""))</f>
        <v/>
      </c>
      <c r="K60" s="34" t="str">
        <f aca="false">IF(B60="","",IF(MONTH(B60)=2,"X",""))</f>
        <v/>
      </c>
      <c r="L60" s="34" t="str">
        <f aca="false">IF(B60="","",IF(MONTH(B60)=3,"X",""))</f>
        <v/>
      </c>
      <c r="M60" s="34" t="str">
        <f aca="false">IF(B60="","",IF(MONTH(B60)=4,"X",""))</f>
        <v/>
      </c>
      <c r="N60" s="34" t="str">
        <f aca="false">IF(B60="","",IF(MONTH(B60)=5,"X",""))</f>
        <v/>
      </c>
      <c r="O60" s="34" t="str">
        <f aca="false">IF(B60="","",IF(MONTH(B60)=6,"X",""))</f>
        <v/>
      </c>
      <c r="P60" s="34" t="str">
        <f aca="false">IF(B60="","",IF(MONTH(B60)=7,"X",""))</f>
        <v/>
      </c>
      <c r="Q60" s="34" t="str">
        <f aca="false">IF(B60="","",IF(MONTH(B60)=8,"X",""))</f>
        <v/>
      </c>
      <c r="R60" s="34" t="str">
        <f aca="false">IF(B60="","",IF(MONTH(B60)=9,"X",""))</f>
        <v/>
      </c>
      <c r="S60" s="34" t="str">
        <f aca="false">IF(B60="","",IF(MONTH(B60)=10,"X",""))</f>
        <v>X</v>
      </c>
      <c r="T60" s="34" t="str">
        <f aca="false">IF(B60="","",IF(MONTH(B60)=11,"X",""))</f>
        <v/>
      </c>
      <c r="U60" s="34" t="str">
        <f aca="false">IF(B60="","",IF(MONTH(B60)=12,"X",""))</f>
        <v/>
      </c>
      <c r="V60" s="24" t="n">
        <f aca="false">IF(E60="","",COUNTIF($E$5:$E$1000,E60))</f>
        <v>3</v>
      </c>
      <c r="W60" s="35" t="str">
        <f aca="false">IF(E60="","",_xlfn.TEXTJOIN(" + ",TRUE(),IF(COUNTIFS($E$5:$E$1000,E60,$C$5:$C$1000,"Auditoría Interna")&gt;0,"Interna",""),IF(COUNTIFS($E$5:$E$1000,E60,$C$5:$C$1000,"Auditoría Externa")&gt;0,"Externa",""),IF(COUNTIFS($E$5:$E$1000,E60,$C$5:$C$1000,"SSF")&gt;0,"SSF",""),IF(COUNTIFS($E$5:$E$1000,E60,$C$5:$C$1000,"Comité de Supervisión")&gt;0,"Comité Sup.",""),IF(COUNTIFS($E$5:$E$1000,E60,$C$5:$C$1000,"Consejo de Administración")&gt;0,"Consejo",""),IF(COUNTIFS($E$5:$E$1000,E60,$C$5:$C$1000,"Otros")&gt;0,"Otros","")))</f>
        <v>Interna + Externa</v>
      </c>
      <c r="X60" s="24" t="n">
        <f aca="false">IF(E60="","",COUNTIFS($E$5:$E$1000,E60,$AB$5:$AB$1000,AB60,$C$5:$C$1000,"&lt;&gt;"&amp;C60))</f>
        <v>0</v>
      </c>
      <c r="Y60" s="20" t="s">
        <v>198</v>
      </c>
      <c r="Z60" s="8" t="n">
        <v>2</v>
      </c>
      <c r="AA60" s="36"/>
      <c r="AB60" s="37" t="n">
        <f aca="false">IF(B60="","",YEAR(B60)*100+MONTH(B60))</f>
        <v>202610</v>
      </c>
      <c r="AC60" s="37" t="str">
        <f aca="false">IF(AND(E60&lt;&gt;"",E60=Cruce!$C$5),COUNTIF($E$5:E60,E60),"")</f>
        <v/>
      </c>
      <c r="AD60" s="37" t="str">
        <f aca="false">IF(E60="","",C60&amp;"|"&amp;Y60&amp;"|"&amp;IF(B60="","s/f",TEXT(B60,"yyyymmdd")))</f>
        <v>Auditoría Externa|Audtoria Externa|20261006</v>
      </c>
      <c r="AE60" s="37" t="n">
        <f aca="false">IF(E60="",0,IF(COUNTIFS($E$5:E60,E60,$AD$5:AD60,AD60)=1,1,0))</f>
        <v>1</v>
      </c>
    </row>
    <row r="61" customFormat="false" ht="45" hidden="false" customHeight="true" outlineLevel="0" collapsed="false">
      <c r="A61" s="8" t="n">
        <v>57</v>
      </c>
      <c r="B61" s="30" t="n">
        <v>46301</v>
      </c>
      <c r="C61" s="31" t="s">
        <v>193</v>
      </c>
      <c r="D61" s="31" t="s">
        <v>139</v>
      </c>
      <c r="E61" s="32" t="s">
        <v>201</v>
      </c>
      <c r="F61" s="32" t="s">
        <v>202</v>
      </c>
      <c r="G61" s="33" t="s">
        <v>196</v>
      </c>
      <c r="H61" s="31"/>
      <c r="I61" s="24" t="n">
        <f aca="false">IF(B61="","",YEAR(B61))</f>
        <v>2026</v>
      </c>
      <c r="J61" s="34" t="str">
        <f aca="false">IF(B61="","",IF(MONTH(B61)=1,"X",""))</f>
        <v/>
      </c>
      <c r="K61" s="34" t="str">
        <f aca="false">IF(B61="","",IF(MONTH(B61)=2,"X",""))</f>
        <v/>
      </c>
      <c r="L61" s="34" t="str">
        <f aca="false">IF(B61="","",IF(MONTH(B61)=3,"X",""))</f>
        <v/>
      </c>
      <c r="M61" s="34" t="str">
        <f aca="false">IF(B61="","",IF(MONTH(B61)=4,"X",""))</f>
        <v/>
      </c>
      <c r="N61" s="34" t="str">
        <f aca="false">IF(B61="","",IF(MONTH(B61)=5,"X",""))</f>
        <v/>
      </c>
      <c r="O61" s="34" t="str">
        <f aca="false">IF(B61="","",IF(MONTH(B61)=6,"X",""))</f>
        <v/>
      </c>
      <c r="P61" s="34" t="str">
        <f aca="false">IF(B61="","",IF(MONTH(B61)=7,"X",""))</f>
        <v/>
      </c>
      <c r="Q61" s="34" t="str">
        <f aca="false">IF(B61="","",IF(MONTH(B61)=8,"X",""))</f>
        <v/>
      </c>
      <c r="R61" s="34" t="str">
        <f aca="false">IF(B61="","",IF(MONTH(B61)=9,"X",""))</f>
        <v/>
      </c>
      <c r="S61" s="34" t="str">
        <f aca="false">IF(B61="","",IF(MONTH(B61)=10,"X",""))</f>
        <v>X</v>
      </c>
      <c r="T61" s="34" t="str">
        <f aca="false">IF(B61="","",IF(MONTH(B61)=11,"X",""))</f>
        <v/>
      </c>
      <c r="U61" s="34" t="str">
        <f aca="false">IF(B61="","",IF(MONTH(B61)=12,"X",""))</f>
        <v/>
      </c>
      <c r="V61" s="24" t="n">
        <f aca="false">IF(E61="","",COUNTIF($E$5:$E$1000,E61))</f>
        <v>3</v>
      </c>
      <c r="W61" s="35" t="str">
        <f aca="false">IF(E61="","",_xlfn.TEXTJOIN(" + ",TRUE(),IF(COUNTIFS($E$5:$E$1000,E61,$C$5:$C$1000,"Auditoría Interna")&gt;0,"Interna",""),IF(COUNTIFS($E$5:$E$1000,E61,$C$5:$C$1000,"Auditoría Externa")&gt;0,"Externa",""),IF(COUNTIFS($E$5:$E$1000,E61,$C$5:$C$1000,"SSF")&gt;0,"SSF",""),IF(COUNTIFS($E$5:$E$1000,E61,$C$5:$C$1000,"Comité de Supervisión")&gt;0,"Comité Sup.",""),IF(COUNTIFS($E$5:$E$1000,E61,$C$5:$C$1000,"Consejo de Administración")&gt;0,"Consejo",""),IF(COUNTIFS($E$5:$E$1000,E61,$C$5:$C$1000,"Otros")&gt;0,"Otros","")))</f>
        <v>Externa</v>
      </c>
      <c r="X61" s="24" t="n">
        <f aca="false">IF(E61="","",COUNTIFS($E$5:$E$1000,E61,$AB$5:$AB$1000,AB61,$C$5:$C$1000,"&lt;&gt;"&amp;C61))</f>
        <v>0</v>
      </c>
      <c r="Y61" s="20" t="s">
        <v>198</v>
      </c>
      <c r="Z61" s="8" t="n">
        <v>3</v>
      </c>
      <c r="AA61" s="36"/>
      <c r="AB61" s="37" t="n">
        <f aca="false">IF(B61="","",YEAR(B61)*100+MONTH(B61))</f>
        <v>202610</v>
      </c>
      <c r="AC61" s="37" t="str">
        <f aca="false">IF(AND(E61&lt;&gt;"",E61=Cruce!$C$5),COUNTIF($E$5:E61,E61),"")</f>
        <v/>
      </c>
      <c r="AD61" s="37" t="str">
        <f aca="false">IF(E61="","",C61&amp;"|"&amp;Y61&amp;"|"&amp;IF(B61="","s/f",TEXT(B61,"yyyymmdd")))</f>
        <v>Auditoría Externa|Audtoria Externa|20261006</v>
      </c>
      <c r="AE61" s="37" t="n">
        <f aca="false">IF(E61="",0,IF(COUNTIFS($E$5:E61,E61,$AD$5:AD61,AD61)=1,1,0))</f>
        <v>1</v>
      </c>
    </row>
    <row r="62" customFormat="false" ht="45" hidden="false" customHeight="true" outlineLevel="0" collapsed="false">
      <c r="A62" s="8" t="n">
        <v>58</v>
      </c>
      <c r="B62" s="30" t="n">
        <v>46301</v>
      </c>
      <c r="C62" s="31" t="s">
        <v>193</v>
      </c>
      <c r="D62" s="31" t="s">
        <v>75</v>
      </c>
      <c r="E62" s="32" t="s">
        <v>137</v>
      </c>
      <c r="F62" s="32" t="s">
        <v>203</v>
      </c>
      <c r="G62" s="33" t="s">
        <v>196</v>
      </c>
      <c r="H62" s="31"/>
      <c r="I62" s="24" t="n">
        <f aca="false">IF(B62="","",YEAR(B62))</f>
        <v>2026</v>
      </c>
      <c r="J62" s="34" t="str">
        <f aca="false">IF(B62="","",IF(MONTH(B62)=1,"X",""))</f>
        <v/>
      </c>
      <c r="K62" s="34" t="str">
        <f aca="false">IF(B62="","",IF(MONTH(B62)=2,"X",""))</f>
        <v/>
      </c>
      <c r="L62" s="34" t="str">
        <f aca="false">IF(B62="","",IF(MONTH(B62)=3,"X",""))</f>
        <v/>
      </c>
      <c r="M62" s="34" t="str">
        <f aca="false">IF(B62="","",IF(MONTH(B62)=4,"X",""))</f>
        <v/>
      </c>
      <c r="N62" s="34" t="str">
        <f aca="false">IF(B62="","",IF(MONTH(B62)=5,"X",""))</f>
        <v/>
      </c>
      <c r="O62" s="34" t="str">
        <f aca="false">IF(B62="","",IF(MONTH(B62)=6,"X",""))</f>
        <v/>
      </c>
      <c r="P62" s="34" t="str">
        <f aca="false">IF(B62="","",IF(MONTH(B62)=7,"X",""))</f>
        <v/>
      </c>
      <c r="Q62" s="34" t="str">
        <f aca="false">IF(B62="","",IF(MONTH(B62)=8,"X",""))</f>
        <v/>
      </c>
      <c r="R62" s="34" t="str">
        <f aca="false">IF(B62="","",IF(MONTH(B62)=9,"X",""))</f>
        <v/>
      </c>
      <c r="S62" s="34" t="str">
        <f aca="false">IF(B62="","",IF(MONTH(B62)=10,"X",""))</f>
        <v>X</v>
      </c>
      <c r="T62" s="34" t="str">
        <f aca="false">IF(B62="","",IF(MONTH(B62)=11,"X",""))</f>
        <v/>
      </c>
      <c r="U62" s="34" t="str">
        <f aca="false">IF(B62="","",IF(MONTH(B62)=12,"X",""))</f>
        <v/>
      </c>
      <c r="V62" s="24" t="n">
        <f aca="false">IF(E62="","",COUNTIF($E$5:$E$1000,E62))</f>
        <v>3</v>
      </c>
      <c r="W62" s="35" t="str">
        <f aca="false">IF(E62="","",_xlfn.TEXTJOIN(" + ",TRUE(),IF(COUNTIFS($E$5:$E$1000,E62,$C$5:$C$1000,"Auditoría Interna")&gt;0,"Interna",""),IF(COUNTIFS($E$5:$E$1000,E62,$C$5:$C$1000,"Auditoría Externa")&gt;0,"Externa",""),IF(COUNTIFS($E$5:$E$1000,E62,$C$5:$C$1000,"SSF")&gt;0,"SSF",""),IF(COUNTIFS($E$5:$E$1000,E62,$C$5:$C$1000,"Comité de Supervisión")&gt;0,"Comité Sup.",""),IF(COUNTIFS($E$5:$E$1000,E62,$C$5:$C$1000,"Consejo de Administración")&gt;0,"Consejo",""),IF(COUNTIFS($E$5:$E$1000,E62,$C$5:$C$1000,"Otros")&gt;0,"Otros","")))</f>
        <v>Interna + Externa</v>
      </c>
      <c r="X62" s="24" t="n">
        <f aca="false">IF(E62="","",COUNTIFS($E$5:$E$1000,E62,$AB$5:$AB$1000,AB62,$C$5:$C$1000,"&lt;&gt;"&amp;C62))</f>
        <v>0</v>
      </c>
      <c r="Y62" s="20" t="s">
        <v>198</v>
      </c>
      <c r="Z62" s="8" t="n">
        <v>4</v>
      </c>
      <c r="AA62" s="36"/>
      <c r="AB62" s="37" t="n">
        <f aca="false">IF(B62="","",YEAR(B62)*100+MONTH(B62))</f>
        <v>202610</v>
      </c>
      <c r="AC62" s="37" t="str">
        <f aca="false">IF(AND(E62&lt;&gt;"",E62=Cruce!$C$5),COUNTIF($E$5:E62,E62),"")</f>
        <v/>
      </c>
      <c r="AD62" s="37" t="str">
        <f aca="false">IF(E62="","",C62&amp;"|"&amp;Y62&amp;"|"&amp;IF(B62="","s/f",TEXT(B62,"yyyymmdd")))</f>
        <v>Auditoría Externa|Audtoria Externa|20261006</v>
      </c>
      <c r="AE62" s="37" t="n">
        <f aca="false">IF(E62="",0,IF(COUNTIFS($E$5:E62,E62,$AD$5:AD62,AD62)=1,1,0))</f>
        <v>1</v>
      </c>
    </row>
    <row r="63" customFormat="false" ht="45" hidden="false" customHeight="true" outlineLevel="0" collapsed="false">
      <c r="A63" s="8" t="n">
        <v>59</v>
      </c>
      <c r="B63" s="30" t="n">
        <v>46301</v>
      </c>
      <c r="C63" s="31" t="s">
        <v>193</v>
      </c>
      <c r="D63" s="31" t="s">
        <v>204</v>
      </c>
      <c r="E63" s="32" t="s">
        <v>104</v>
      </c>
      <c r="F63" s="32" t="s">
        <v>205</v>
      </c>
      <c r="G63" s="33" t="s">
        <v>196</v>
      </c>
      <c r="H63" s="31"/>
      <c r="I63" s="24" t="n">
        <f aca="false">IF(B63="","",YEAR(B63))</f>
        <v>2026</v>
      </c>
      <c r="J63" s="34" t="str">
        <f aca="false">IF(B63="","",IF(MONTH(B63)=1,"X",""))</f>
        <v/>
      </c>
      <c r="K63" s="34" t="str">
        <f aca="false">IF(B63="","",IF(MONTH(B63)=2,"X",""))</f>
        <v/>
      </c>
      <c r="L63" s="34" t="str">
        <f aca="false">IF(B63="","",IF(MONTH(B63)=3,"X",""))</f>
        <v/>
      </c>
      <c r="M63" s="34" t="str">
        <f aca="false">IF(B63="","",IF(MONTH(B63)=4,"X",""))</f>
        <v/>
      </c>
      <c r="N63" s="34" t="str">
        <f aca="false">IF(B63="","",IF(MONTH(B63)=5,"X",""))</f>
        <v/>
      </c>
      <c r="O63" s="34" t="str">
        <f aca="false">IF(B63="","",IF(MONTH(B63)=6,"X",""))</f>
        <v/>
      </c>
      <c r="P63" s="34" t="str">
        <f aca="false">IF(B63="","",IF(MONTH(B63)=7,"X",""))</f>
        <v/>
      </c>
      <c r="Q63" s="34" t="str">
        <f aca="false">IF(B63="","",IF(MONTH(B63)=8,"X",""))</f>
        <v/>
      </c>
      <c r="R63" s="34" t="str">
        <f aca="false">IF(B63="","",IF(MONTH(B63)=9,"X",""))</f>
        <v/>
      </c>
      <c r="S63" s="34" t="str">
        <f aca="false">IF(B63="","",IF(MONTH(B63)=10,"X",""))</f>
        <v>X</v>
      </c>
      <c r="T63" s="34" t="str">
        <f aca="false">IF(B63="","",IF(MONTH(B63)=11,"X",""))</f>
        <v/>
      </c>
      <c r="U63" s="34" t="str">
        <f aca="false">IF(B63="","",IF(MONTH(B63)=12,"X",""))</f>
        <v/>
      </c>
      <c r="V63" s="24" t="n">
        <f aca="false">IF(E63="","",COUNTIF($E$5:$E$1000,E63))</f>
        <v>20</v>
      </c>
      <c r="W63" s="35" t="str">
        <f aca="false">IF(E63="","",_xlfn.TEXTJOIN(" + ",TRUE(),IF(COUNTIFS($E$5:$E$1000,E63,$C$5:$C$1000,"Auditoría Interna")&gt;0,"Interna",""),IF(COUNTIFS($E$5:$E$1000,E63,$C$5:$C$1000,"Auditoría Externa")&gt;0,"Externa",""),IF(COUNTIFS($E$5:$E$1000,E63,$C$5:$C$1000,"SSF")&gt;0,"SSF",""),IF(COUNTIFS($E$5:$E$1000,E63,$C$5:$C$1000,"Comité de Supervisión")&gt;0,"Comité Sup.",""),IF(COUNTIFS($E$5:$E$1000,E63,$C$5:$C$1000,"Consejo de Administración")&gt;0,"Consejo",""),IF(COUNTIFS($E$5:$E$1000,E63,$C$5:$C$1000,"Otros")&gt;0,"Otros","")))</f>
        <v>Interna + Externa + SSF</v>
      </c>
      <c r="X63" s="24" t="n">
        <f aca="false">IF(E63="","",COUNTIFS($E$5:$E$1000,E63,$AB$5:$AB$1000,AB63,$C$5:$C$1000,"&lt;&gt;"&amp;C63))</f>
        <v>18</v>
      </c>
      <c r="Y63" s="20" t="s">
        <v>198</v>
      </c>
      <c r="Z63" s="8" t="n">
        <v>5</v>
      </c>
      <c r="AA63" s="36"/>
      <c r="AB63" s="37" t="n">
        <f aca="false">IF(B63="","",YEAR(B63)*100+MONTH(B63))</f>
        <v>202610</v>
      </c>
      <c r="AC63" s="37" t="str">
        <f aca="false">IF(AND(E63&lt;&gt;"",E63=Cruce!$C$5),COUNTIF($E$5:E63,E63),"")</f>
        <v/>
      </c>
      <c r="AD63" s="37" t="str">
        <f aca="false">IF(E63="","",C63&amp;"|"&amp;Y63&amp;"|"&amp;IF(B63="","s/f",TEXT(B63,"yyyymmdd")))</f>
        <v>Auditoría Externa|Audtoria Externa|20261006</v>
      </c>
      <c r="AE63" s="37" t="n">
        <f aca="false">IF(E63="",0,IF(COUNTIFS($E$5:E63,E63,$AD$5:AD63,AD63)=1,1,0))</f>
        <v>1</v>
      </c>
    </row>
    <row r="64" customFormat="false" ht="45" hidden="false" customHeight="true" outlineLevel="0" collapsed="false">
      <c r="A64" s="8" t="n">
        <v>60</v>
      </c>
      <c r="B64" s="30" t="n">
        <v>46301</v>
      </c>
      <c r="C64" s="31" t="s">
        <v>193</v>
      </c>
      <c r="D64" s="31" t="s">
        <v>206</v>
      </c>
      <c r="E64" s="32" t="s">
        <v>207</v>
      </c>
      <c r="F64" s="32" t="s">
        <v>208</v>
      </c>
      <c r="G64" s="33" t="s">
        <v>196</v>
      </c>
      <c r="H64" s="31"/>
      <c r="I64" s="24" t="n">
        <f aca="false">IF(B64="","",YEAR(B64))</f>
        <v>2026</v>
      </c>
      <c r="J64" s="34" t="str">
        <f aca="false">IF(B64="","",IF(MONTH(B64)=1,"X",""))</f>
        <v/>
      </c>
      <c r="K64" s="34" t="str">
        <f aca="false">IF(B64="","",IF(MONTH(B64)=2,"X",""))</f>
        <v/>
      </c>
      <c r="L64" s="34" t="str">
        <f aca="false">IF(B64="","",IF(MONTH(B64)=3,"X",""))</f>
        <v/>
      </c>
      <c r="M64" s="34" t="str">
        <f aca="false">IF(B64="","",IF(MONTH(B64)=4,"X",""))</f>
        <v/>
      </c>
      <c r="N64" s="34" t="str">
        <f aca="false">IF(B64="","",IF(MONTH(B64)=5,"X",""))</f>
        <v/>
      </c>
      <c r="O64" s="34" t="str">
        <f aca="false">IF(B64="","",IF(MONTH(B64)=6,"X",""))</f>
        <v/>
      </c>
      <c r="P64" s="34" t="str">
        <f aca="false">IF(B64="","",IF(MONTH(B64)=7,"X",""))</f>
        <v/>
      </c>
      <c r="Q64" s="34" t="str">
        <f aca="false">IF(B64="","",IF(MONTH(B64)=8,"X",""))</f>
        <v/>
      </c>
      <c r="R64" s="34" t="str">
        <f aca="false">IF(B64="","",IF(MONTH(B64)=9,"X",""))</f>
        <v/>
      </c>
      <c r="S64" s="34" t="str">
        <f aca="false">IF(B64="","",IF(MONTH(B64)=10,"X",""))</f>
        <v>X</v>
      </c>
      <c r="T64" s="34" t="str">
        <f aca="false">IF(B64="","",IF(MONTH(B64)=11,"X",""))</f>
        <v/>
      </c>
      <c r="U64" s="34" t="str">
        <f aca="false">IF(B64="","",IF(MONTH(B64)=12,"X",""))</f>
        <v/>
      </c>
      <c r="V64" s="24" t="n">
        <f aca="false">IF(E64="","",COUNTIF($E$5:$E$1000,E64))</f>
        <v>1</v>
      </c>
      <c r="W64" s="35" t="str">
        <f aca="false">IF(E64="","",_xlfn.TEXTJOIN(" + ",TRUE(),IF(COUNTIFS($E$5:$E$1000,E64,$C$5:$C$1000,"Auditoría Interna")&gt;0,"Interna",""),IF(COUNTIFS($E$5:$E$1000,E64,$C$5:$C$1000,"Auditoría Externa")&gt;0,"Externa",""),IF(COUNTIFS($E$5:$E$1000,E64,$C$5:$C$1000,"SSF")&gt;0,"SSF",""),IF(COUNTIFS($E$5:$E$1000,E64,$C$5:$C$1000,"Comité de Supervisión")&gt;0,"Comité Sup.",""),IF(COUNTIFS($E$5:$E$1000,E64,$C$5:$C$1000,"Consejo de Administración")&gt;0,"Consejo",""),IF(COUNTIFS($E$5:$E$1000,E64,$C$5:$C$1000,"Otros")&gt;0,"Otros","")))</f>
        <v>Externa</v>
      </c>
      <c r="X64" s="24" t="n">
        <f aca="false">IF(E64="","",COUNTIFS($E$5:$E$1000,E64,$AB$5:$AB$1000,AB64,$C$5:$C$1000,"&lt;&gt;"&amp;C64))</f>
        <v>0</v>
      </c>
      <c r="Y64" s="20" t="s">
        <v>198</v>
      </c>
      <c r="Z64" s="8" t="n">
        <v>6</v>
      </c>
      <c r="AA64" s="36"/>
      <c r="AB64" s="37" t="n">
        <f aca="false">IF(B64="","",YEAR(B64)*100+MONTH(B64))</f>
        <v>202610</v>
      </c>
      <c r="AC64" s="37" t="str">
        <f aca="false">IF(AND(E64&lt;&gt;"",E64=Cruce!$C$5),COUNTIF($E$5:E64,E64),"")</f>
        <v/>
      </c>
      <c r="AD64" s="37" t="str">
        <f aca="false">IF(E64="","",C64&amp;"|"&amp;Y64&amp;"|"&amp;IF(B64="","s/f",TEXT(B64,"yyyymmdd")))</f>
        <v>Auditoría Externa|Audtoria Externa|20261006</v>
      </c>
      <c r="AE64" s="37" t="n">
        <f aca="false">IF(E64="",0,IF(COUNTIFS($E$5:E64,E64,$AD$5:AD64,AD64)=1,1,0))</f>
        <v>1</v>
      </c>
    </row>
    <row r="65" customFormat="false" ht="45" hidden="false" customHeight="true" outlineLevel="0" collapsed="false">
      <c r="A65" s="8" t="n">
        <v>61</v>
      </c>
      <c r="B65" s="30" t="n">
        <v>46301</v>
      </c>
      <c r="C65" s="31" t="s">
        <v>193</v>
      </c>
      <c r="D65" s="31" t="s">
        <v>209</v>
      </c>
      <c r="E65" s="32" t="s">
        <v>210</v>
      </c>
      <c r="F65" s="32" t="s">
        <v>211</v>
      </c>
      <c r="G65" s="33" t="s">
        <v>196</v>
      </c>
      <c r="H65" s="31"/>
      <c r="I65" s="24" t="n">
        <f aca="false">IF(B65="","",YEAR(B65))</f>
        <v>2026</v>
      </c>
      <c r="J65" s="34" t="str">
        <f aca="false">IF(B65="","",IF(MONTH(B65)=1,"X",""))</f>
        <v/>
      </c>
      <c r="K65" s="34" t="str">
        <f aca="false">IF(B65="","",IF(MONTH(B65)=2,"X",""))</f>
        <v/>
      </c>
      <c r="L65" s="34" t="str">
        <f aca="false">IF(B65="","",IF(MONTH(B65)=3,"X",""))</f>
        <v/>
      </c>
      <c r="M65" s="34" t="str">
        <f aca="false">IF(B65="","",IF(MONTH(B65)=4,"X",""))</f>
        <v/>
      </c>
      <c r="N65" s="34" t="str">
        <f aca="false">IF(B65="","",IF(MONTH(B65)=5,"X",""))</f>
        <v/>
      </c>
      <c r="O65" s="34" t="str">
        <f aca="false">IF(B65="","",IF(MONTH(B65)=6,"X",""))</f>
        <v/>
      </c>
      <c r="P65" s="34" t="str">
        <f aca="false">IF(B65="","",IF(MONTH(B65)=7,"X",""))</f>
        <v/>
      </c>
      <c r="Q65" s="34" t="str">
        <f aca="false">IF(B65="","",IF(MONTH(B65)=8,"X",""))</f>
        <v/>
      </c>
      <c r="R65" s="34" t="str">
        <f aca="false">IF(B65="","",IF(MONTH(B65)=9,"X",""))</f>
        <v/>
      </c>
      <c r="S65" s="34" t="str">
        <f aca="false">IF(B65="","",IF(MONTH(B65)=10,"X",""))</f>
        <v>X</v>
      </c>
      <c r="T65" s="34" t="str">
        <f aca="false">IF(B65="","",IF(MONTH(B65)=11,"X",""))</f>
        <v/>
      </c>
      <c r="U65" s="34" t="str">
        <f aca="false">IF(B65="","",IF(MONTH(B65)=12,"X",""))</f>
        <v/>
      </c>
      <c r="V65" s="24" t="n">
        <f aca="false">IF(E65="","",COUNTIF($E$5:$E$1000,E65))</f>
        <v>1</v>
      </c>
      <c r="W65" s="35" t="str">
        <f aca="false">IF(E65="","",_xlfn.TEXTJOIN(" + ",TRUE(),IF(COUNTIFS($E$5:$E$1000,E65,$C$5:$C$1000,"Auditoría Interna")&gt;0,"Interna",""),IF(COUNTIFS($E$5:$E$1000,E65,$C$5:$C$1000,"Auditoría Externa")&gt;0,"Externa",""),IF(COUNTIFS($E$5:$E$1000,E65,$C$5:$C$1000,"SSF")&gt;0,"SSF",""),IF(COUNTIFS($E$5:$E$1000,E65,$C$5:$C$1000,"Comité de Supervisión")&gt;0,"Comité Sup.",""),IF(COUNTIFS($E$5:$E$1000,E65,$C$5:$C$1000,"Consejo de Administración")&gt;0,"Consejo",""),IF(COUNTIFS($E$5:$E$1000,E65,$C$5:$C$1000,"Otros")&gt;0,"Otros","")))</f>
        <v>Externa</v>
      </c>
      <c r="X65" s="24" t="n">
        <f aca="false">IF(E65="","",COUNTIFS($E$5:$E$1000,E65,$AB$5:$AB$1000,AB65,$C$5:$C$1000,"&lt;&gt;"&amp;C65))</f>
        <v>0</v>
      </c>
      <c r="Y65" s="20" t="s">
        <v>198</v>
      </c>
      <c r="Z65" s="8" t="n">
        <v>7</v>
      </c>
      <c r="AA65" s="36"/>
      <c r="AB65" s="37" t="n">
        <f aca="false">IF(B65="","",YEAR(B65)*100+MONTH(B65))</f>
        <v>202610</v>
      </c>
      <c r="AC65" s="37" t="str">
        <f aca="false">IF(AND(E65&lt;&gt;"",E65=Cruce!$C$5),COUNTIF($E$5:E65,E65),"")</f>
        <v/>
      </c>
      <c r="AD65" s="37" t="str">
        <f aca="false">IF(E65="","",C65&amp;"|"&amp;Y65&amp;"|"&amp;IF(B65="","s/f",TEXT(B65,"yyyymmdd")))</f>
        <v>Auditoría Externa|Audtoria Externa|20261006</v>
      </c>
      <c r="AE65" s="37" t="n">
        <f aca="false">IF(E65="",0,IF(COUNTIFS($E$5:E65,E65,$AD$5:AD65,AD65)=1,1,0))</f>
        <v>1</v>
      </c>
    </row>
    <row r="66" customFormat="false" ht="45" hidden="false" customHeight="true" outlineLevel="0" collapsed="false">
      <c r="A66" s="8" t="n">
        <v>62</v>
      </c>
      <c r="B66" s="30" t="n">
        <v>46301</v>
      </c>
      <c r="C66" s="31" t="s">
        <v>193</v>
      </c>
      <c r="D66" s="31" t="s">
        <v>212</v>
      </c>
      <c r="E66" s="32" t="s">
        <v>213</v>
      </c>
      <c r="F66" s="32" t="s">
        <v>214</v>
      </c>
      <c r="G66" s="33" t="s">
        <v>196</v>
      </c>
      <c r="H66" s="31"/>
      <c r="I66" s="24" t="n">
        <f aca="false">IF(B66="","",YEAR(B66))</f>
        <v>2026</v>
      </c>
      <c r="J66" s="34" t="str">
        <f aca="false">IF(B66="","",IF(MONTH(B66)=1,"X",""))</f>
        <v/>
      </c>
      <c r="K66" s="34" t="str">
        <f aca="false">IF(B66="","",IF(MONTH(B66)=2,"X",""))</f>
        <v/>
      </c>
      <c r="L66" s="34" t="str">
        <f aca="false">IF(B66="","",IF(MONTH(B66)=3,"X",""))</f>
        <v/>
      </c>
      <c r="M66" s="34" t="str">
        <f aca="false">IF(B66="","",IF(MONTH(B66)=4,"X",""))</f>
        <v/>
      </c>
      <c r="N66" s="34" t="str">
        <f aca="false">IF(B66="","",IF(MONTH(B66)=5,"X",""))</f>
        <v/>
      </c>
      <c r="O66" s="34" t="str">
        <f aca="false">IF(B66="","",IF(MONTH(B66)=6,"X",""))</f>
        <v/>
      </c>
      <c r="P66" s="34" t="str">
        <f aca="false">IF(B66="","",IF(MONTH(B66)=7,"X",""))</f>
        <v/>
      </c>
      <c r="Q66" s="34" t="str">
        <f aca="false">IF(B66="","",IF(MONTH(B66)=8,"X",""))</f>
        <v/>
      </c>
      <c r="R66" s="34" t="str">
        <f aca="false">IF(B66="","",IF(MONTH(B66)=9,"X",""))</f>
        <v/>
      </c>
      <c r="S66" s="34" t="str">
        <f aca="false">IF(B66="","",IF(MONTH(B66)=10,"X",""))</f>
        <v>X</v>
      </c>
      <c r="T66" s="34" t="str">
        <f aca="false">IF(B66="","",IF(MONTH(B66)=11,"X",""))</f>
        <v/>
      </c>
      <c r="U66" s="34" t="str">
        <f aca="false">IF(B66="","",IF(MONTH(B66)=12,"X",""))</f>
        <v/>
      </c>
      <c r="V66" s="24" t="n">
        <f aca="false">IF(E66="","",COUNTIF($E$5:$E$1000,E66))</f>
        <v>1</v>
      </c>
      <c r="W66" s="35" t="str">
        <f aca="false">IF(E66="","",_xlfn.TEXTJOIN(" + ",TRUE(),IF(COUNTIFS($E$5:$E$1000,E66,$C$5:$C$1000,"Auditoría Interna")&gt;0,"Interna",""),IF(COUNTIFS($E$5:$E$1000,E66,$C$5:$C$1000,"Auditoría Externa")&gt;0,"Externa",""),IF(COUNTIFS($E$5:$E$1000,E66,$C$5:$C$1000,"SSF")&gt;0,"SSF",""),IF(COUNTIFS($E$5:$E$1000,E66,$C$5:$C$1000,"Comité de Supervisión")&gt;0,"Comité Sup.",""),IF(COUNTIFS($E$5:$E$1000,E66,$C$5:$C$1000,"Consejo de Administración")&gt;0,"Consejo",""),IF(COUNTIFS($E$5:$E$1000,E66,$C$5:$C$1000,"Otros")&gt;0,"Otros","")))</f>
        <v>Externa</v>
      </c>
      <c r="X66" s="24" t="n">
        <f aca="false">IF(E66="","",COUNTIFS($E$5:$E$1000,E66,$AB$5:$AB$1000,AB66,$C$5:$C$1000,"&lt;&gt;"&amp;C66))</f>
        <v>0</v>
      </c>
      <c r="Y66" s="20" t="s">
        <v>198</v>
      </c>
      <c r="Z66" s="8" t="n">
        <v>8</v>
      </c>
      <c r="AA66" s="36"/>
      <c r="AB66" s="37" t="n">
        <f aca="false">IF(B66="","",YEAR(B66)*100+MONTH(B66))</f>
        <v>202610</v>
      </c>
      <c r="AC66" s="37" t="str">
        <f aca="false">IF(AND(E66&lt;&gt;"",E66=Cruce!$C$5),COUNTIF($E$5:E66,E66),"")</f>
        <v/>
      </c>
      <c r="AD66" s="37" t="str">
        <f aca="false">IF(E66="","",C66&amp;"|"&amp;Y66&amp;"|"&amp;IF(B66="","s/f",TEXT(B66,"yyyymmdd")))</f>
        <v>Auditoría Externa|Audtoria Externa|20261006</v>
      </c>
      <c r="AE66" s="37" t="n">
        <f aca="false">IF(E66="",0,IF(COUNTIFS($E$5:E66,E66,$AD$5:AD66,AD66)=1,1,0))</f>
        <v>1</v>
      </c>
    </row>
    <row r="67" customFormat="false" ht="45" hidden="false" customHeight="true" outlineLevel="0" collapsed="false">
      <c r="A67" s="8" t="n">
        <v>63</v>
      </c>
      <c r="B67" s="30" t="n">
        <v>46301</v>
      </c>
      <c r="C67" s="31" t="s">
        <v>193</v>
      </c>
      <c r="D67" s="31" t="s">
        <v>139</v>
      </c>
      <c r="E67" s="32" t="s">
        <v>201</v>
      </c>
      <c r="F67" s="32" t="s">
        <v>215</v>
      </c>
      <c r="G67" s="33" t="s">
        <v>196</v>
      </c>
      <c r="H67" s="31"/>
      <c r="I67" s="24" t="n">
        <f aca="false">IF(B67="","",YEAR(B67))</f>
        <v>2026</v>
      </c>
      <c r="J67" s="34" t="str">
        <f aca="false">IF(B67="","",IF(MONTH(B67)=1,"X",""))</f>
        <v/>
      </c>
      <c r="K67" s="34" t="str">
        <f aca="false">IF(B67="","",IF(MONTH(B67)=2,"X",""))</f>
        <v/>
      </c>
      <c r="L67" s="34" t="str">
        <f aca="false">IF(B67="","",IF(MONTH(B67)=3,"X",""))</f>
        <v/>
      </c>
      <c r="M67" s="34" t="str">
        <f aca="false">IF(B67="","",IF(MONTH(B67)=4,"X",""))</f>
        <v/>
      </c>
      <c r="N67" s="34" t="str">
        <f aca="false">IF(B67="","",IF(MONTH(B67)=5,"X",""))</f>
        <v/>
      </c>
      <c r="O67" s="34" t="str">
        <f aca="false">IF(B67="","",IF(MONTH(B67)=6,"X",""))</f>
        <v/>
      </c>
      <c r="P67" s="34" t="str">
        <f aca="false">IF(B67="","",IF(MONTH(B67)=7,"X",""))</f>
        <v/>
      </c>
      <c r="Q67" s="34" t="str">
        <f aca="false">IF(B67="","",IF(MONTH(B67)=8,"X",""))</f>
        <v/>
      </c>
      <c r="R67" s="34" t="str">
        <f aca="false">IF(B67="","",IF(MONTH(B67)=9,"X",""))</f>
        <v/>
      </c>
      <c r="S67" s="34" t="str">
        <f aca="false">IF(B67="","",IF(MONTH(B67)=10,"X",""))</f>
        <v>X</v>
      </c>
      <c r="T67" s="34" t="str">
        <f aca="false">IF(B67="","",IF(MONTH(B67)=11,"X",""))</f>
        <v/>
      </c>
      <c r="U67" s="34" t="str">
        <f aca="false">IF(B67="","",IF(MONTH(B67)=12,"X",""))</f>
        <v/>
      </c>
      <c r="V67" s="24" t="n">
        <f aca="false">IF(E67="","",COUNTIF($E$5:$E$1000,E67))</f>
        <v>3</v>
      </c>
      <c r="W67" s="35" t="str">
        <f aca="false">IF(E67="","",_xlfn.TEXTJOIN(" + ",TRUE(),IF(COUNTIFS($E$5:$E$1000,E67,$C$5:$C$1000,"Auditoría Interna")&gt;0,"Interna",""),IF(COUNTIFS($E$5:$E$1000,E67,$C$5:$C$1000,"Auditoría Externa")&gt;0,"Externa",""),IF(COUNTIFS($E$5:$E$1000,E67,$C$5:$C$1000,"SSF")&gt;0,"SSF",""),IF(COUNTIFS($E$5:$E$1000,E67,$C$5:$C$1000,"Comité de Supervisión")&gt;0,"Comité Sup.",""),IF(COUNTIFS($E$5:$E$1000,E67,$C$5:$C$1000,"Consejo de Administración")&gt;0,"Consejo",""),IF(COUNTIFS($E$5:$E$1000,E67,$C$5:$C$1000,"Otros")&gt;0,"Otros","")))</f>
        <v>Externa</v>
      </c>
      <c r="X67" s="24" t="n">
        <f aca="false">IF(E67="","",COUNTIFS($E$5:$E$1000,E67,$AB$5:$AB$1000,AB67,$C$5:$C$1000,"&lt;&gt;"&amp;C67))</f>
        <v>0</v>
      </c>
      <c r="Y67" s="20" t="s">
        <v>198</v>
      </c>
      <c r="Z67" s="8" t="n">
        <v>9</v>
      </c>
      <c r="AA67" s="36"/>
      <c r="AB67" s="37" t="n">
        <f aca="false">IF(B67="","",YEAR(B67)*100+MONTH(B67))</f>
        <v>202610</v>
      </c>
      <c r="AC67" s="37" t="str">
        <f aca="false">IF(AND(E67&lt;&gt;"",E67=Cruce!$C$5),COUNTIF($E$5:E67,E67),"")</f>
        <v/>
      </c>
      <c r="AD67" s="37" t="str">
        <f aca="false">IF(E67="","",C67&amp;"|"&amp;Y67&amp;"|"&amp;IF(B67="","s/f",TEXT(B67,"yyyymmdd")))</f>
        <v>Auditoría Externa|Audtoria Externa|20261006</v>
      </c>
      <c r="AE67" s="37" t="n">
        <f aca="false">IF(E67="",0,IF(COUNTIFS($E$5:E67,E67,$AD$5:AD67,AD67)=1,1,0))</f>
        <v>0</v>
      </c>
    </row>
    <row r="68" customFormat="false" ht="45" hidden="false" customHeight="true" outlineLevel="0" collapsed="false">
      <c r="A68" s="8" t="n">
        <v>64</v>
      </c>
      <c r="B68" s="30" t="n">
        <v>46301</v>
      </c>
      <c r="C68" s="31" t="s">
        <v>193</v>
      </c>
      <c r="D68" s="31" t="s">
        <v>139</v>
      </c>
      <c r="E68" s="32" t="s">
        <v>201</v>
      </c>
      <c r="F68" s="32" t="s">
        <v>216</v>
      </c>
      <c r="G68" s="33" t="s">
        <v>196</v>
      </c>
      <c r="H68" s="31"/>
      <c r="I68" s="24" t="n">
        <f aca="false">IF(B68="","",YEAR(B68))</f>
        <v>2026</v>
      </c>
      <c r="J68" s="34" t="str">
        <f aca="false">IF(B68="","",IF(MONTH(B68)=1,"X",""))</f>
        <v/>
      </c>
      <c r="K68" s="34" t="str">
        <f aca="false">IF(B68="","",IF(MONTH(B68)=2,"X",""))</f>
        <v/>
      </c>
      <c r="L68" s="34" t="str">
        <f aca="false">IF(B68="","",IF(MONTH(B68)=3,"X",""))</f>
        <v/>
      </c>
      <c r="M68" s="34" t="str">
        <f aca="false">IF(B68="","",IF(MONTH(B68)=4,"X",""))</f>
        <v/>
      </c>
      <c r="N68" s="34" t="str">
        <f aca="false">IF(B68="","",IF(MONTH(B68)=5,"X",""))</f>
        <v/>
      </c>
      <c r="O68" s="34" t="str">
        <f aca="false">IF(B68="","",IF(MONTH(B68)=6,"X",""))</f>
        <v/>
      </c>
      <c r="P68" s="34" t="str">
        <f aca="false">IF(B68="","",IF(MONTH(B68)=7,"X",""))</f>
        <v/>
      </c>
      <c r="Q68" s="34" t="str">
        <f aca="false">IF(B68="","",IF(MONTH(B68)=8,"X",""))</f>
        <v/>
      </c>
      <c r="R68" s="34" t="str">
        <f aca="false">IF(B68="","",IF(MONTH(B68)=9,"X",""))</f>
        <v/>
      </c>
      <c r="S68" s="34" t="str">
        <f aca="false">IF(B68="","",IF(MONTH(B68)=10,"X",""))</f>
        <v>X</v>
      </c>
      <c r="T68" s="34" t="str">
        <f aca="false">IF(B68="","",IF(MONTH(B68)=11,"X",""))</f>
        <v/>
      </c>
      <c r="U68" s="34" t="str">
        <f aca="false">IF(B68="","",IF(MONTH(B68)=12,"X",""))</f>
        <v/>
      </c>
      <c r="V68" s="24" t="n">
        <f aca="false">IF(E68="","",COUNTIF($E$5:$E$1000,E68))</f>
        <v>3</v>
      </c>
      <c r="W68" s="35" t="str">
        <f aca="false">IF(E68="","",_xlfn.TEXTJOIN(" + ",TRUE(),IF(COUNTIFS($E$5:$E$1000,E68,$C$5:$C$1000,"Auditoría Interna")&gt;0,"Interna",""),IF(COUNTIFS($E$5:$E$1000,E68,$C$5:$C$1000,"Auditoría Externa")&gt;0,"Externa",""),IF(COUNTIFS($E$5:$E$1000,E68,$C$5:$C$1000,"SSF")&gt;0,"SSF",""),IF(COUNTIFS($E$5:$E$1000,E68,$C$5:$C$1000,"Comité de Supervisión")&gt;0,"Comité Sup.",""),IF(COUNTIFS($E$5:$E$1000,E68,$C$5:$C$1000,"Consejo de Administración")&gt;0,"Consejo",""),IF(COUNTIFS($E$5:$E$1000,E68,$C$5:$C$1000,"Otros")&gt;0,"Otros","")))</f>
        <v>Externa</v>
      </c>
      <c r="X68" s="24" t="n">
        <f aca="false">IF(E68="","",COUNTIFS($E$5:$E$1000,E68,$AB$5:$AB$1000,AB68,$C$5:$C$1000,"&lt;&gt;"&amp;C68))</f>
        <v>0</v>
      </c>
      <c r="Y68" s="20" t="s">
        <v>198</v>
      </c>
      <c r="Z68" s="8" t="n">
        <v>10</v>
      </c>
      <c r="AA68" s="36"/>
      <c r="AB68" s="37" t="n">
        <f aca="false">IF(B68="","",YEAR(B68)*100+MONTH(B68))</f>
        <v>202610</v>
      </c>
      <c r="AC68" s="37" t="str">
        <f aca="false">IF(AND(E68&lt;&gt;"",E68=Cruce!$C$5),COUNTIF($E$5:E68,E68),"")</f>
        <v/>
      </c>
      <c r="AD68" s="37" t="str">
        <f aca="false">IF(E68="","",C68&amp;"|"&amp;Y68&amp;"|"&amp;IF(B68="","s/f",TEXT(B68,"yyyymmdd")))</f>
        <v>Auditoría Externa|Audtoria Externa|20261006</v>
      </c>
      <c r="AE68" s="37" t="n">
        <f aca="false">IF(E68="",0,IF(COUNTIFS($E$5:E68,E68,$AD$5:AD68,AD68)=1,1,0))</f>
        <v>0</v>
      </c>
    </row>
    <row r="69" customFormat="false" ht="45" hidden="false" customHeight="true" outlineLevel="0" collapsed="false">
      <c r="A69" s="8" t="n">
        <v>65</v>
      </c>
      <c r="B69" s="30" t="n">
        <v>46301</v>
      </c>
      <c r="C69" s="31" t="s">
        <v>193</v>
      </c>
      <c r="D69" s="31" t="s">
        <v>83</v>
      </c>
      <c r="E69" s="32" t="s">
        <v>150</v>
      </c>
      <c r="F69" s="32" t="s">
        <v>217</v>
      </c>
      <c r="G69" s="33" t="s">
        <v>196</v>
      </c>
      <c r="H69" s="31"/>
      <c r="I69" s="24" t="n">
        <f aca="false">IF(B69="","",YEAR(B69))</f>
        <v>2026</v>
      </c>
      <c r="J69" s="34" t="str">
        <f aca="false">IF(B69="","",IF(MONTH(B69)=1,"X",""))</f>
        <v/>
      </c>
      <c r="K69" s="34" t="str">
        <f aca="false">IF(B69="","",IF(MONTH(B69)=2,"X",""))</f>
        <v/>
      </c>
      <c r="L69" s="34" t="str">
        <f aca="false">IF(B69="","",IF(MONTH(B69)=3,"X",""))</f>
        <v/>
      </c>
      <c r="M69" s="34" t="str">
        <f aca="false">IF(B69="","",IF(MONTH(B69)=4,"X",""))</f>
        <v/>
      </c>
      <c r="N69" s="34" t="str">
        <f aca="false">IF(B69="","",IF(MONTH(B69)=5,"X",""))</f>
        <v/>
      </c>
      <c r="O69" s="34" t="str">
        <f aca="false">IF(B69="","",IF(MONTH(B69)=6,"X",""))</f>
        <v/>
      </c>
      <c r="P69" s="34" t="str">
        <f aca="false">IF(B69="","",IF(MONTH(B69)=7,"X",""))</f>
        <v/>
      </c>
      <c r="Q69" s="34" t="str">
        <f aca="false">IF(B69="","",IF(MONTH(B69)=8,"X",""))</f>
        <v/>
      </c>
      <c r="R69" s="34" t="str">
        <f aca="false">IF(B69="","",IF(MONTH(B69)=9,"X",""))</f>
        <v/>
      </c>
      <c r="S69" s="34" t="str">
        <f aca="false">IF(B69="","",IF(MONTH(B69)=10,"X",""))</f>
        <v>X</v>
      </c>
      <c r="T69" s="34" t="str">
        <f aca="false">IF(B69="","",IF(MONTH(B69)=11,"X",""))</f>
        <v/>
      </c>
      <c r="U69" s="34" t="str">
        <f aca="false">IF(B69="","",IF(MONTH(B69)=12,"X",""))</f>
        <v/>
      </c>
      <c r="V69" s="24" t="n">
        <f aca="false">IF(E69="","",COUNTIF($E$5:$E$1000,E69))</f>
        <v>5</v>
      </c>
      <c r="W69" s="35" t="str">
        <f aca="false">IF(E69="","",_xlfn.TEXTJOIN(" + ",TRUE(),IF(COUNTIFS($E$5:$E$1000,E69,$C$5:$C$1000,"Auditoría Interna")&gt;0,"Interna",""),IF(COUNTIFS($E$5:$E$1000,E69,$C$5:$C$1000,"Auditoría Externa")&gt;0,"Externa",""),IF(COUNTIFS($E$5:$E$1000,E69,$C$5:$C$1000,"SSF")&gt;0,"SSF",""),IF(COUNTIFS($E$5:$E$1000,E69,$C$5:$C$1000,"Comité de Supervisión")&gt;0,"Comité Sup.",""),IF(COUNTIFS($E$5:$E$1000,E69,$C$5:$C$1000,"Consejo de Administración")&gt;0,"Consejo",""),IF(COUNTIFS($E$5:$E$1000,E69,$C$5:$C$1000,"Otros")&gt;0,"Otros","")))</f>
        <v>Interna + Externa</v>
      </c>
      <c r="X69" s="24" t="n">
        <f aca="false">IF(E69="","",COUNTIFS($E$5:$E$1000,E69,$AB$5:$AB$1000,AB69,$C$5:$C$1000,"&lt;&gt;"&amp;C69))</f>
        <v>1</v>
      </c>
      <c r="Y69" s="20" t="s">
        <v>198</v>
      </c>
      <c r="Z69" s="8" t="n">
        <v>11</v>
      </c>
      <c r="AA69" s="36"/>
      <c r="AB69" s="37" t="n">
        <f aca="false">IF(B69="","",YEAR(B69)*100+MONTH(B69))</f>
        <v>202610</v>
      </c>
      <c r="AC69" s="37" t="str">
        <f aca="false">IF(AND(E69&lt;&gt;"",E69=Cruce!$C$5),COUNTIF($E$5:E69,E69),"")</f>
        <v/>
      </c>
      <c r="AD69" s="37" t="str">
        <f aca="false">IF(E69="","",C69&amp;"|"&amp;Y69&amp;"|"&amp;IF(B69="","s/f",TEXT(B69,"yyyymmdd")))</f>
        <v>Auditoría Externa|Audtoria Externa|20261006</v>
      </c>
      <c r="AE69" s="37" t="n">
        <f aca="false">IF(E69="",0,IF(COUNTIFS($E$5:E69,E69,$AD$5:AD69,AD69)=1,1,0))</f>
        <v>1</v>
      </c>
    </row>
    <row r="70" customFormat="false" ht="45" hidden="false" customHeight="true" outlineLevel="0" collapsed="false">
      <c r="A70" s="8" t="n">
        <v>66</v>
      </c>
      <c r="B70" s="30" t="n">
        <v>46301</v>
      </c>
      <c r="C70" s="31" t="s">
        <v>193</v>
      </c>
      <c r="D70" s="31" t="s">
        <v>75</v>
      </c>
      <c r="E70" s="32" t="s">
        <v>76</v>
      </c>
      <c r="F70" s="32" t="s">
        <v>218</v>
      </c>
      <c r="G70" s="33" t="s">
        <v>196</v>
      </c>
      <c r="H70" s="31"/>
      <c r="I70" s="24" t="n">
        <f aca="false">IF(B70="","",YEAR(B70))</f>
        <v>2026</v>
      </c>
      <c r="J70" s="34" t="str">
        <f aca="false">IF(B70="","",IF(MONTH(B70)=1,"X",""))</f>
        <v/>
      </c>
      <c r="K70" s="34" t="str">
        <f aca="false">IF(B70="","",IF(MONTH(B70)=2,"X",""))</f>
        <v/>
      </c>
      <c r="L70" s="34" t="str">
        <f aca="false">IF(B70="","",IF(MONTH(B70)=3,"X",""))</f>
        <v/>
      </c>
      <c r="M70" s="34" t="str">
        <f aca="false">IF(B70="","",IF(MONTH(B70)=4,"X",""))</f>
        <v/>
      </c>
      <c r="N70" s="34" t="str">
        <f aca="false">IF(B70="","",IF(MONTH(B70)=5,"X",""))</f>
        <v/>
      </c>
      <c r="O70" s="34" t="str">
        <f aca="false">IF(B70="","",IF(MONTH(B70)=6,"X",""))</f>
        <v/>
      </c>
      <c r="P70" s="34" t="str">
        <f aca="false">IF(B70="","",IF(MONTH(B70)=7,"X",""))</f>
        <v/>
      </c>
      <c r="Q70" s="34" t="str">
        <f aca="false">IF(B70="","",IF(MONTH(B70)=8,"X",""))</f>
        <v/>
      </c>
      <c r="R70" s="34" t="str">
        <f aca="false">IF(B70="","",IF(MONTH(B70)=9,"X",""))</f>
        <v/>
      </c>
      <c r="S70" s="34" t="str">
        <f aca="false">IF(B70="","",IF(MONTH(B70)=10,"X",""))</f>
        <v>X</v>
      </c>
      <c r="T70" s="34" t="str">
        <f aca="false">IF(B70="","",IF(MONTH(B70)=11,"X",""))</f>
        <v/>
      </c>
      <c r="U70" s="34" t="str">
        <f aca="false">IF(B70="","",IF(MONTH(B70)=12,"X",""))</f>
        <v/>
      </c>
      <c r="V70" s="24" t="n">
        <f aca="false">IF(E70="","",COUNTIF($E$5:$E$1000,E70))</f>
        <v>6</v>
      </c>
      <c r="W70" s="35" t="str">
        <f aca="false">IF(E70="","",_xlfn.TEXTJOIN(" + ",TRUE(),IF(COUNTIFS($E$5:$E$1000,E70,$C$5:$C$1000,"Auditoría Interna")&gt;0,"Interna",""),IF(COUNTIFS($E$5:$E$1000,E70,$C$5:$C$1000,"Auditoría Externa")&gt;0,"Externa",""),IF(COUNTIFS($E$5:$E$1000,E70,$C$5:$C$1000,"SSF")&gt;0,"SSF",""),IF(COUNTIFS($E$5:$E$1000,E70,$C$5:$C$1000,"Comité de Supervisión")&gt;0,"Comité Sup.",""),IF(COUNTIFS($E$5:$E$1000,E70,$C$5:$C$1000,"Consejo de Administración")&gt;0,"Consejo",""),IF(COUNTIFS($E$5:$E$1000,E70,$C$5:$C$1000,"Otros")&gt;0,"Otros","")))</f>
        <v>Interna + Externa + SSF</v>
      </c>
      <c r="X70" s="24" t="n">
        <f aca="false">IF(E70="","",COUNTIFS($E$5:$E$1000,E70,$AB$5:$AB$1000,AB70,$C$5:$C$1000,"&lt;&gt;"&amp;C70))</f>
        <v>0</v>
      </c>
      <c r="Y70" s="20" t="s">
        <v>198</v>
      </c>
      <c r="Z70" s="8" t="n">
        <v>12</v>
      </c>
      <c r="AA70" s="36"/>
      <c r="AB70" s="37" t="n">
        <f aca="false">IF(B70="","",YEAR(B70)*100+MONTH(B70))</f>
        <v>202610</v>
      </c>
      <c r="AC70" s="37" t="str">
        <f aca="false">IF(AND(E70&lt;&gt;"",E70=Cruce!$C$5),COUNTIF($E$5:E70,E70),"")</f>
        <v/>
      </c>
      <c r="AD70" s="37" t="str">
        <f aca="false">IF(E70="","",C70&amp;"|"&amp;Y70&amp;"|"&amp;IF(B70="","s/f",TEXT(B70,"yyyymmdd")))</f>
        <v>Auditoría Externa|Audtoria Externa|20261006</v>
      </c>
      <c r="AE70" s="37" t="n">
        <f aca="false">IF(E70="",0,IF(COUNTIFS($E$5:E70,E70,$AD$5:AD70,AD70)=1,1,0))</f>
        <v>1</v>
      </c>
    </row>
    <row r="71" customFormat="false" ht="45" hidden="false" customHeight="true" outlineLevel="0" collapsed="false">
      <c r="A71" s="8" t="n">
        <v>67</v>
      </c>
      <c r="B71" s="30" t="n">
        <v>46301</v>
      </c>
      <c r="C71" s="31" t="s">
        <v>193</v>
      </c>
      <c r="D71" s="31" t="s">
        <v>75</v>
      </c>
      <c r="E71" s="32" t="s">
        <v>76</v>
      </c>
      <c r="F71" s="32" t="s">
        <v>219</v>
      </c>
      <c r="G71" s="33" t="s">
        <v>196</v>
      </c>
      <c r="H71" s="31"/>
      <c r="I71" s="24" t="n">
        <f aca="false">IF(B71="","",YEAR(B71))</f>
        <v>2026</v>
      </c>
      <c r="J71" s="34" t="str">
        <f aca="false">IF(B71="","",IF(MONTH(B71)=1,"X",""))</f>
        <v/>
      </c>
      <c r="K71" s="34" t="str">
        <f aca="false">IF(B71="","",IF(MONTH(B71)=2,"X",""))</f>
        <v/>
      </c>
      <c r="L71" s="34" t="str">
        <f aca="false">IF(B71="","",IF(MONTH(B71)=3,"X",""))</f>
        <v/>
      </c>
      <c r="M71" s="34" t="str">
        <f aca="false">IF(B71="","",IF(MONTH(B71)=4,"X",""))</f>
        <v/>
      </c>
      <c r="N71" s="34" t="str">
        <f aca="false">IF(B71="","",IF(MONTH(B71)=5,"X",""))</f>
        <v/>
      </c>
      <c r="O71" s="34" t="str">
        <f aca="false">IF(B71="","",IF(MONTH(B71)=6,"X",""))</f>
        <v/>
      </c>
      <c r="P71" s="34" t="str">
        <f aca="false">IF(B71="","",IF(MONTH(B71)=7,"X",""))</f>
        <v/>
      </c>
      <c r="Q71" s="34" t="str">
        <f aca="false">IF(B71="","",IF(MONTH(B71)=8,"X",""))</f>
        <v/>
      </c>
      <c r="R71" s="34" t="str">
        <f aca="false">IF(B71="","",IF(MONTH(B71)=9,"X",""))</f>
        <v/>
      </c>
      <c r="S71" s="34" t="str">
        <f aca="false">IF(B71="","",IF(MONTH(B71)=10,"X",""))</f>
        <v>X</v>
      </c>
      <c r="T71" s="34" t="str">
        <f aca="false">IF(B71="","",IF(MONTH(B71)=11,"X",""))</f>
        <v/>
      </c>
      <c r="U71" s="34" t="str">
        <f aca="false">IF(B71="","",IF(MONTH(B71)=12,"X",""))</f>
        <v/>
      </c>
      <c r="V71" s="24" t="n">
        <f aca="false">IF(E71="","",COUNTIF($E$5:$E$1000,E71))</f>
        <v>6</v>
      </c>
      <c r="W71" s="35" t="str">
        <f aca="false">IF(E71="","",_xlfn.TEXTJOIN(" + ",TRUE(),IF(COUNTIFS($E$5:$E$1000,E71,$C$5:$C$1000,"Auditoría Interna")&gt;0,"Interna",""),IF(COUNTIFS($E$5:$E$1000,E71,$C$5:$C$1000,"Auditoría Externa")&gt;0,"Externa",""),IF(COUNTIFS($E$5:$E$1000,E71,$C$5:$C$1000,"SSF")&gt;0,"SSF",""),IF(COUNTIFS($E$5:$E$1000,E71,$C$5:$C$1000,"Comité de Supervisión")&gt;0,"Comité Sup.",""),IF(COUNTIFS($E$5:$E$1000,E71,$C$5:$C$1000,"Consejo de Administración")&gt;0,"Consejo",""),IF(COUNTIFS($E$5:$E$1000,E71,$C$5:$C$1000,"Otros")&gt;0,"Otros","")))</f>
        <v>Interna + Externa + SSF</v>
      </c>
      <c r="X71" s="24" t="n">
        <f aca="false">IF(E71="","",COUNTIFS($E$5:$E$1000,E71,$AB$5:$AB$1000,AB71,$C$5:$C$1000,"&lt;&gt;"&amp;C71))</f>
        <v>0</v>
      </c>
      <c r="Y71" s="20" t="s">
        <v>198</v>
      </c>
      <c r="Z71" s="8" t="n">
        <v>13</v>
      </c>
      <c r="AA71" s="36"/>
      <c r="AB71" s="37" t="n">
        <f aca="false">IF(B71="","",YEAR(B71)*100+MONTH(B71))</f>
        <v>202610</v>
      </c>
      <c r="AC71" s="37" t="str">
        <f aca="false">IF(AND(E71&lt;&gt;"",E71=Cruce!$C$5),COUNTIF($E$5:E71,E71),"")</f>
        <v/>
      </c>
      <c r="AD71" s="37" t="str">
        <f aca="false">IF(E71="","",C71&amp;"|"&amp;Y71&amp;"|"&amp;IF(B71="","s/f",TEXT(B71,"yyyymmdd")))</f>
        <v>Auditoría Externa|Audtoria Externa|20261006</v>
      </c>
      <c r="AE71" s="37" t="n">
        <f aca="false">IF(E71="",0,IF(COUNTIFS($E$5:E71,E71,$AD$5:AD71,AD71)=1,1,0))</f>
        <v>0</v>
      </c>
    </row>
    <row r="72" customFormat="false" ht="45" hidden="false" customHeight="true" outlineLevel="0" collapsed="false">
      <c r="A72" s="8" t="n">
        <v>68</v>
      </c>
      <c r="B72" s="30" t="n">
        <v>46301</v>
      </c>
      <c r="C72" s="31" t="s">
        <v>193</v>
      </c>
      <c r="D72" s="31" t="s">
        <v>75</v>
      </c>
      <c r="E72" s="32" t="s">
        <v>137</v>
      </c>
      <c r="F72" s="32" t="s">
        <v>220</v>
      </c>
      <c r="G72" s="33" t="s">
        <v>196</v>
      </c>
      <c r="H72" s="31"/>
      <c r="I72" s="24" t="n">
        <f aca="false">IF(B72="","",YEAR(B72))</f>
        <v>2026</v>
      </c>
      <c r="J72" s="34" t="str">
        <f aca="false">IF(B72="","",IF(MONTH(B72)=1,"X",""))</f>
        <v/>
      </c>
      <c r="K72" s="34" t="str">
        <f aca="false">IF(B72="","",IF(MONTH(B72)=2,"X",""))</f>
        <v/>
      </c>
      <c r="L72" s="34" t="str">
        <f aca="false">IF(B72="","",IF(MONTH(B72)=3,"X",""))</f>
        <v/>
      </c>
      <c r="M72" s="34" t="str">
        <f aca="false">IF(B72="","",IF(MONTH(B72)=4,"X",""))</f>
        <v/>
      </c>
      <c r="N72" s="34" t="str">
        <f aca="false">IF(B72="","",IF(MONTH(B72)=5,"X",""))</f>
        <v/>
      </c>
      <c r="O72" s="34" t="str">
        <f aca="false">IF(B72="","",IF(MONTH(B72)=6,"X",""))</f>
        <v/>
      </c>
      <c r="P72" s="34" t="str">
        <f aca="false">IF(B72="","",IF(MONTH(B72)=7,"X",""))</f>
        <v/>
      </c>
      <c r="Q72" s="34" t="str">
        <f aca="false">IF(B72="","",IF(MONTH(B72)=8,"X",""))</f>
        <v/>
      </c>
      <c r="R72" s="34" t="str">
        <f aca="false">IF(B72="","",IF(MONTH(B72)=9,"X",""))</f>
        <v/>
      </c>
      <c r="S72" s="34" t="str">
        <f aca="false">IF(B72="","",IF(MONTH(B72)=10,"X",""))</f>
        <v>X</v>
      </c>
      <c r="T72" s="34" t="str">
        <f aca="false">IF(B72="","",IF(MONTH(B72)=11,"X",""))</f>
        <v/>
      </c>
      <c r="U72" s="34" t="str">
        <f aca="false">IF(B72="","",IF(MONTH(B72)=12,"X",""))</f>
        <v/>
      </c>
      <c r="V72" s="24" t="n">
        <f aca="false">IF(E72="","",COUNTIF($E$5:$E$1000,E72))</f>
        <v>3</v>
      </c>
      <c r="W72" s="35" t="str">
        <f aca="false">IF(E72="","",_xlfn.TEXTJOIN(" + ",TRUE(),IF(COUNTIFS($E$5:$E$1000,E72,$C$5:$C$1000,"Auditoría Interna")&gt;0,"Interna",""),IF(COUNTIFS($E$5:$E$1000,E72,$C$5:$C$1000,"Auditoría Externa")&gt;0,"Externa",""),IF(COUNTIFS($E$5:$E$1000,E72,$C$5:$C$1000,"SSF")&gt;0,"SSF",""),IF(COUNTIFS($E$5:$E$1000,E72,$C$5:$C$1000,"Comité de Supervisión")&gt;0,"Comité Sup.",""),IF(COUNTIFS($E$5:$E$1000,E72,$C$5:$C$1000,"Consejo de Administración")&gt;0,"Consejo",""),IF(COUNTIFS($E$5:$E$1000,E72,$C$5:$C$1000,"Otros")&gt;0,"Otros","")))</f>
        <v>Interna + Externa</v>
      </c>
      <c r="X72" s="24" t="n">
        <f aca="false">IF(E72="","",COUNTIFS($E$5:$E$1000,E72,$AB$5:$AB$1000,AB72,$C$5:$C$1000,"&lt;&gt;"&amp;C72))</f>
        <v>0</v>
      </c>
      <c r="Y72" s="20" t="s">
        <v>198</v>
      </c>
      <c r="Z72" s="8" t="n">
        <v>14</v>
      </c>
      <c r="AA72" s="36"/>
      <c r="AB72" s="37" t="n">
        <f aca="false">IF(B72="","",YEAR(B72)*100+MONTH(B72))</f>
        <v>202610</v>
      </c>
      <c r="AC72" s="37" t="str">
        <f aca="false">IF(AND(E72&lt;&gt;"",E72=Cruce!$C$5),COUNTIF($E$5:E72,E72),"")</f>
        <v/>
      </c>
      <c r="AD72" s="37" t="str">
        <f aca="false">IF(E72="","",C72&amp;"|"&amp;Y72&amp;"|"&amp;IF(B72="","s/f",TEXT(B72,"yyyymmdd")))</f>
        <v>Auditoría Externa|Audtoria Externa|20261006</v>
      </c>
      <c r="AE72" s="37" t="n">
        <f aca="false">IF(E72="",0,IF(COUNTIFS($E$5:E72,E72,$AD$5:AD72,AD72)=1,1,0))</f>
        <v>0</v>
      </c>
    </row>
    <row r="73" customFormat="false" ht="45" hidden="false" customHeight="true" outlineLevel="0" collapsed="false">
      <c r="A73" s="8" t="n">
        <v>69</v>
      </c>
      <c r="B73" s="30" t="n">
        <v>46301</v>
      </c>
      <c r="C73" s="31" t="s">
        <v>193</v>
      </c>
      <c r="D73" s="31" t="s">
        <v>75</v>
      </c>
      <c r="E73" s="32" t="s">
        <v>76</v>
      </c>
      <c r="F73" s="32" t="s">
        <v>221</v>
      </c>
      <c r="G73" s="33" t="s">
        <v>196</v>
      </c>
      <c r="H73" s="31"/>
      <c r="I73" s="24" t="n">
        <f aca="false">IF(B73="","",YEAR(B73))</f>
        <v>2026</v>
      </c>
      <c r="J73" s="34" t="str">
        <f aca="false">IF(B73="","",IF(MONTH(B73)=1,"X",""))</f>
        <v/>
      </c>
      <c r="K73" s="34" t="str">
        <f aca="false">IF(B73="","",IF(MONTH(B73)=2,"X",""))</f>
        <v/>
      </c>
      <c r="L73" s="34" t="str">
        <f aca="false">IF(B73="","",IF(MONTH(B73)=3,"X",""))</f>
        <v/>
      </c>
      <c r="M73" s="34" t="str">
        <f aca="false">IF(B73="","",IF(MONTH(B73)=4,"X",""))</f>
        <v/>
      </c>
      <c r="N73" s="34" t="str">
        <f aca="false">IF(B73="","",IF(MONTH(B73)=5,"X",""))</f>
        <v/>
      </c>
      <c r="O73" s="34" t="str">
        <f aca="false">IF(B73="","",IF(MONTH(B73)=6,"X",""))</f>
        <v/>
      </c>
      <c r="P73" s="34" t="str">
        <f aca="false">IF(B73="","",IF(MONTH(B73)=7,"X",""))</f>
        <v/>
      </c>
      <c r="Q73" s="34" t="str">
        <f aca="false">IF(B73="","",IF(MONTH(B73)=8,"X",""))</f>
        <v/>
      </c>
      <c r="R73" s="34" t="str">
        <f aca="false">IF(B73="","",IF(MONTH(B73)=9,"X",""))</f>
        <v/>
      </c>
      <c r="S73" s="34" t="str">
        <f aca="false">IF(B73="","",IF(MONTH(B73)=10,"X",""))</f>
        <v>X</v>
      </c>
      <c r="T73" s="34" t="str">
        <f aca="false">IF(B73="","",IF(MONTH(B73)=11,"X",""))</f>
        <v/>
      </c>
      <c r="U73" s="34" t="str">
        <f aca="false">IF(B73="","",IF(MONTH(B73)=12,"X",""))</f>
        <v/>
      </c>
      <c r="V73" s="24" t="n">
        <f aca="false">IF(E73="","",COUNTIF($E$5:$E$1000,E73))</f>
        <v>6</v>
      </c>
      <c r="W73" s="35" t="str">
        <f aca="false">IF(E73="","",_xlfn.TEXTJOIN(" + ",TRUE(),IF(COUNTIFS($E$5:$E$1000,E73,$C$5:$C$1000,"Auditoría Interna")&gt;0,"Interna",""),IF(COUNTIFS($E$5:$E$1000,E73,$C$5:$C$1000,"Auditoría Externa")&gt;0,"Externa",""),IF(COUNTIFS($E$5:$E$1000,E73,$C$5:$C$1000,"SSF")&gt;0,"SSF",""),IF(COUNTIFS($E$5:$E$1000,E73,$C$5:$C$1000,"Comité de Supervisión")&gt;0,"Comité Sup.",""),IF(COUNTIFS($E$5:$E$1000,E73,$C$5:$C$1000,"Consejo de Administración")&gt;0,"Consejo",""),IF(COUNTIFS($E$5:$E$1000,E73,$C$5:$C$1000,"Otros")&gt;0,"Otros","")))</f>
        <v>Interna + Externa + SSF</v>
      </c>
      <c r="X73" s="24" t="n">
        <f aca="false">IF(E73="","",COUNTIFS($E$5:$E$1000,E73,$AB$5:$AB$1000,AB73,$C$5:$C$1000,"&lt;&gt;"&amp;C73))</f>
        <v>0</v>
      </c>
      <c r="Y73" s="20" t="s">
        <v>198</v>
      </c>
      <c r="Z73" s="8" t="n">
        <v>15</v>
      </c>
      <c r="AA73" s="36"/>
      <c r="AB73" s="37" t="n">
        <f aca="false">IF(B73="","",YEAR(B73)*100+MONTH(B73))</f>
        <v>202610</v>
      </c>
      <c r="AC73" s="37" t="str">
        <f aca="false">IF(AND(E73&lt;&gt;"",E73=Cruce!$C$5),COUNTIF($E$5:E73,E73),"")</f>
        <v/>
      </c>
      <c r="AD73" s="37" t="str">
        <f aca="false">IF(E73="","",C73&amp;"|"&amp;Y73&amp;"|"&amp;IF(B73="","s/f",TEXT(B73,"yyyymmdd")))</f>
        <v>Auditoría Externa|Audtoria Externa|20261006</v>
      </c>
      <c r="AE73" s="37" t="n">
        <f aca="false">IF(E73="",0,IF(COUNTIFS($E$5:E73,E73,$AD$5:AD73,AD73)=1,1,0))</f>
        <v>0</v>
      </c>
    </row>
    <row r="74" customFormat="false" ht="45" hidden="false" customHeight="true" outlineLevel="0" collapsed="false">
      <c r="A74" s="8" t="n">
        <v>70</v>
      </c>
      <c r="B74" s="30" t="n">
        <v>46304</v>
      </c>
      <c r="C74" s="31" t="s">
        <v>9</v>
      </c>
      <c r="D74" s="31" t="s">
        <v>83</v>
      </c>
      <c r="E74" s="32" t="s">
        <v>84</v>
      </c>
      <c r="F74" s="32" t="s">
        <v>222</v>
      </c>
      <c r="G74" s="33"/>
      <c r="H74" s="31"/>
      <c r="I74" s="24" t="n">
        <f aca="false">IF(B74="","",YEAR(B74))</f>
        <v>2026</v>
      </c>
      <c r="J74" s="34" t="str">
        <f aca="false">IF(B74="","",IF(MONTH(B74)=1,"X",""))</f>
        <v/>
      </c>
      <c r="K74" s="34" t="str">
        <f aca="false">IF(B74="","",IF(MONTH(B74)=2,"X",""))</f>
        <v/>
      </c>
      <c r="L74" s="34" t="str">
        <f aca="false">IF(B74="","",IF(MONTH(B74)=3,"X",""))</f>
        <v/>
      </c>
      <c r="M74" s="34" t="str">
        <f aca="false">IF(B74="","",IF(MONTH(B74)=4,"X",""))</f>
        <v/>
      </c>
      <c r="N74" s="34" t="str">
        <f aca="false">IF(B74="","",IF(MONTH(B74)=5,"X",""))</f>
        <v/>
      </c>
      <c r="O74" s="34" t="str">
        <f aca="false">IF(B74="","",IF(MONTH(B74)=6,"X",""))</f>
        <v/>
      </c>
      <c r="P74" s="34" t="str">
        <f aca="false">IF(B74="","",IF(MONTH(B74)=7,"X",""))</f>
        <v/>
      </c>
      <c r="Q74" s="34" t="str">
        <f aca="false">IF(B74="","",IF(MONTH(B74)=8,"X",""))</f>
        <v/>
      </c>
      <c r="R74" s="34" t="str">
        <f aca="false">IF(B74="","",IF(MONTH(B74)=9,"X",""))</f>
        <v/>
      </c>
      <c r="S74" s="34" t="str">
        <f aca="false">IF(B74="","",IF(MONTH(B74)=10,"X",""))</f>
        <v>X</v>
      </c>
      <c r="T74" s="34" t="str">
        <f aca="false">IF(B74="","",IF(MONTH(B74)=11,"X",""))</f>
        <v/>
      </c>
      <c r="U74" s="34" t="str">
        <f aca="false">IF(B74="","",IF(MONTH(B74)=12,"X",""))</f>
        <v/>
      </c>
      <c r="V74" s="24" t="n">
        <f aca="false">IF(E74="","",COUNTIF($E$5:$E$1000,E74))</f>
        <v>4</v>
      </c>
      <c r="W74" s="35" t="str">
        <f aca="false">IF(E74="","",_xlfn.TEXTJOIN(" + ",TRUE(),IF(COUNTIFS($E$5:$E$1000,E74,$C$5:$C$1000,"Auditoría Interna")&gt;0,"Interna",""),IF(COUNTIFS($E$5:$E$1000,E74,$C$5:$C$1000,"Auditoría Externa")&gt;0,"Externa",""),IF(COUNTIFS($E$5:$E$1000,E74,$C$5:$C$1000,"SSF")&gt;0,"SSF",""),IF(COUNTIFS($E$5:$E$1000,E74,$C$5:$C$1000,"Comité de Supervisión")&gt;0,"Comité Sup.",""),IF(COUNTIFS($E$5:$E$1000,E74,$C$5:$C$1000,"Consejo de Administración")&gt;0,"Consejo",""),IF(COUNTIFS($E$5:$E$1000,E74,$C$5:$C$1000,"Otros")&gt;0,"Otros","")))</f>
        <v>SSF</v>
      </c>
      <c r="X74" s="24" t="n">
        <f aca="false">IF(E74="","",COUNTIFS($E$5:$E$1000,E74,$AB$5:$AB$1000,AB74,$C$5:$C$1000,"&lt;&gt;"&amp;C74))</f>
        <v>0</v>
      </c>
      <c r="Y74" s="20" t="s">
        <v>73</v>
      </c>
      <c r="Z74" s="8" t="n">
        <v>28</v>
      </c>
      <c r="AA74" s="36" t="s">
        <v>223</v>
      </c>
      <c r="AB74" s="37" t="n">
        <f aca="false">IF(B74="","",YEAR(B74)*100+MONTH(B74))</f>
        <v>202610</v>
      </c>
      <c r="AC74" s="37" t="str">
        <f aca="false">IF(AND(E74&lt;&gt;"",E74=Cruce!$C$5),COUNTIF($E$5:E74,E74),"")</f>
        <v/>
      </c>
      <c r="AD74" s="37" t="str">
        <f aca="false">IF(E74="","",C74&amp;"|"&amp;Y74&amp;"|"&amp;IF(B74="","s/f",TEXT(B74,"yyyymmdd")))</f>
        <v>SSF|Resumen visita presencialSSF|20261009</v>
      </c>
      <c r="AE74" s="37" t="n">
        <f aca="false">IF(E74="",0,IF(COUNTIFS($E$5:E74,E74,$AD$5:AD74,AD74)=1,1,0))</f>
        <v>1</v>
      </c>
    </row>
    <row r="75" customFormat="false" ht="45" hidden="false" customHeight="true" outlineLevel="0" collapsed="false">
      <c r="A75" s="8" t="n">
        <v>71</v>
      </c>
      <c r="B75" s="30" t="n">
        <v>46307</v>
      </c>
      <c r="C75" s="31" t="s">
        <v>129</v>
      </c>
      <c r="D75" s="31" t="s">
        <v>204</v>
      </c>
      <c r="E75" s="32" t="s">
        <v>150</v>
      </c>
      <c r="F75" s="32" t="s">
        <v>224</v>
      </c>
      <c r="G75" s="33" t="s">
        <v>157</v>
      </c>
      <c r="H75" s="31"/>
      <c r="I75" s="24" t="n">
        <f aca="false">IF(B75="","",YEAR(B75))</f>
        <v>2026</v>
      </c>
      <c r="J75" s="34" t="str">
        <f aca="false">IF(B75="","",IF(MONTH(B75)=1,"X",""))</f>
        <v/>
      </c>
      <c r="K75" s="34" t="str">
        <f aca="false">IF(B75="","",IF(MONTH(B75)=2,"X",""))</f>
        <v/>
      </c>
      <c r="L75" s="34" t="str">
        <f aca="false">IF(B75="","",IF(MONTH(B75)=3,"X",""))</f>
        <v/>
      </c>
      <c r="M75" s="34" t="str">
        <f aca="false">IF(B75="","",IF(MONTH(B75)=4,"X",""))</f>
        <v/>
      </c>
      <c r="N75" s="34" t="str">
        <f aca="false">IF(B75="","",IF(MONTH(B75)=5,"X",""))</f>
        <v/>
      </c>
      <c r="O75" s="34" t="str">
        <f aca="false">IF(B75="","",IF(MONTH(B75)=6,"X",""))</f>
        <v/>
      </c>
      <c r="P75" s="34" t="str">
        <f aca="false">IF(B75="","",IF(MONTH(B75)=7,"X",""))</f>
        <v/>
      </c>
      <c r="Q75" s="34" t="str">
        <f aca="false">IF(B75="","",IF(MONTH(B75)=8,"X",""))</f>
        <v/>
      </c>
      <c r="R75" s="34" t="str">
        <f aca="false">IF(B75="","",IF(MONTH(B75)=9,"X",""))</f>
        <v/>
      </c>
      <c r="S75" s="34" t="str">
        <f aca="false">IF(B75="","",IF(MONTH(B75)=10,"X",""))</f>
        <v>X</v>
      </c>
      <c r="T75" s="34" t="str">
        <f aca="false">IF(B75="","",IF(MONTH(B75)=11,"X",""))</f>
        <v/>
      </c>
      <c r="U75" s="34" t="str">
        <f aca="false">IF(B75="","",IF(MONTH(B75)=12,"X",""))</f>
        <v/>
      </c>
      <c r="V75" s="24" t="n">
        <f aca="false">IF(E75="","",COUNTIF($E$5:$E$1000,E75))</f>
        <v>5</v>
      </c>
      <c r="W75" s="35" t="str">
        <f aca="false">IF(E75="","",_xlfn.TEXTJOIN(" + ",TRUE(),IF(COUNTIFS($E$5:$E$1000,E75,$C$5:$C$1000,"Auditoría Interna")&gt;0,"Interna",""),IF(COUNTIFS($E$5:$E$1000,E75,$C$5:$C$1000,"Auditoría Externa")&gt;0,"Externa",""),IF(COUNTIFS($E$5:$E$1000,E75,$C$5:$C$1000,"SSF")&gt;0,"SSF",""),IF(COUNTIFS($E$5:$E$1000,E75,$C$5:$C$1000,"Comité de Supervisión")&gt;0,"Comité Sup.",""),IF(COUNTIFS($E$5:$E$1000,E75,$C$5:$C$1000,"Consejo de Administración")&gt;0,"Consejo",""),IF(COUNTIFS($E$5:$E$1000,E75,$C$5:$C$1000,"Otros")&gt;0,"Otros","")))</f>
        <v>Interna + Externa</v>
      </c>
      <c r="X75" s="24" t="n">
        <f aca="false">IF(E75="","",COUNTIFS($E$5:$E$1000,E75,$AB$5:$AB$1000,AB75,$C$5:$C$1000,"&lt;&gt;"&amp;C75))</f>
        <v>1</v>
      </c>
      <c r="Y75" s="20" t="s">
        <v>225</v>
      </c>
      <c r="Z75" s="8" t="n">
        <v>1</v>
      </c>
      <c r="AA75" s="36"/>
      <c r="AB75" s="37" t="n">
        <f aca="false">IF(B75="","",YEAR(B75)*100+MONTH(B75))</f>
        <v>202610</v>
      </c>
      <c r="AC75" s="37" t="str">
        <f aca="false">IF(AND(E75&lt;&gt;"",E75=Cruce!$C$5),COUNTIF($E$5:E75,E75),"")</f>
        <v/>
      </c>
      <c r="AD75" s="37" t="str">
        <f aca="false">IF(E75="","",C75&amp;"|"&amp;Y75&amp;"|"&amp;IF(B75="","s/f",TEXT(B75,"yyyymmdd")))</f>
        <v>Auditoría Interna|Auditoria interna 3|20261012</v>
      </c>
      <c r="AE75" s="37" t="n">
        <f aca="false">IF(E75="",0,IF(COUNTIFS($E$5:E75,E75,$AD$5:AD75,AD75)=1,1,0))</f>
        <v>1</v>
      </c>
    </row>
    <row r="76" customFormat="false" ht="45" hidden="false" customHeight="true" outlineLevel="0" collapsed="false">
      <c r="A76" s="8" t="n">
        <v>72</v>
      </c>
      <c r="B76" s="30" t="n">
        <v>46307</v>
      </c>
      <c r="C76" s="31" t="s">
        <v>129</v>
      </c>
      <c r="D76" s="31" t="s">
        <v>204</v>
      </c>
      <c r="E76" s="32" t="s">
        <v>104</v>
      </c>
      <c r="F76" s="32" t="s">
        <v>226</v>
      </c>
      <c r="G76" s="33" t="s">
        <v>157</v>
      </c>
      <c r="H76" s="31"/>
      <c r="I76" s="24" t="n">
        <f aca="false">IF(B76="","",YEAR(B76))</f>
        <v>2026</v>
      </c>
      <c r="J76" s="34" t="str">
        <f aca="false">IF(B76="","",IF(MONTH(B76)=1,"X",""))</f>
        <v/>
      </c>
      <c r="K76" s="34" t="str">
        <f aca="false">IF(B76="","",IF(MONTH(B76)=2,"X",""))</f>
        <v/>
      </c>
      <c r="L76" s="34" t="str">
        <f aca="false">IF(B76="","",IF(MONTH(B76)=3,"X",""))</f>
        <v/>
      </c>
      <c r="M76" s="34" t="str">
        <f aca="false">IF(B76="","",IF(MONTH(B76)=4,"X",""))</f>
        <v/>
      </c>
      <c r="N76" s="34" t="str">
        <f aca="false">IF(B76="","",IF(MONTH(B76)=5,"X",""))</f>
        <v/>
      </c>
      <c r="O76" s="34" t="str">
        <f aca="false">IF(B76="","",IF(MONTH(B76)=6,"X",""))</f>
        <v/>
      </c>
      <c r="P76" s="34" t="str">
        <f aca="false">IF(B76="","",IF(MONTH(B76)=7,"X",""))</f>
        <v/>
      </c>
      <c r="Q76" s="34" t="str">
        <f aca="false">IF(B76="","",IF(MONTH(B76)=8,"X",""))</f>
        <v/>
      </c>
      <c r="R76" s="34" t="str">
        <f aca="false">IF(B76="","",IF(MONTH(B76)=9,"X",""))</f>
        <v/>
      </c>
      <c r="S76" s="34" t="str">
        <f aca="false">IF(B76="","",IF(MONTH(B76)=10,"X",""))</f>
        <v>X</v>
      </c>
      <c r="T76" s="34" t="str">
        <f aca="false">IF(B76="","",IF(MONTH(B76)=11,"X",""))</f>
        <v/>
      </c>
      <c r="U76" s="34" t="str">
        <f aca="false">IF(B76="","",IF(MONTH(B76)=12,"X",""))</f>
        <v/>
      </c>
      <c r="V76" s="24" t="n">
        <f aca="false">IF(E76="","",COUNTIF($E$5:$E$1000,E76))</f>
        <v>20</v>
      </c>
      <c r="W76" s="35" t="str">
        <f aca="false">IF(E76="","",_xlfn.TEXTJOIN(" + ",TRUE(),IF(COUNTIFS($E$5:$E$1000,E76,$C$5:$C$1000,"Auditoría Interna")&gt;0,"Interna",""),IF(COUNTIFS($E$5:$E$1000,E76,$C$5:$C$1000,"Auditoría Externa")&gt;0,"Externa",""),IF(COUNTIFS($E$5:$E$1000,E76,$C$5:$C$1000,"SSF")&gt;0,"SSF",""),IF(COUNTIFS($E$5:$E$1000,E76,$C$5:$C$1000,"Comité de Supervisión")&gt;0,"Comité Sup.",""),IF(COUNTIFS($E$5:$E$1000,E76,$C$5:$C$1000,"Consejo de Administración")&gt;0,"Consejo",""),IF(COUNTIFS($E$5:$E$1000,E76,$C$5:$C$1000,"Otros")&gt;0,"Otros","")))</f>
        <v>Interna + Externa + SSF</v>
      </c>
      <c r="X76" s="24" t="n">
        <f aca="false">IF(E76="","",COUNTIFS($E$5:$E$1000,E76,$AB$5:$AB$1000,AB76,$C$5:$C$1000,"&lt;&gt;"&amp;C76))</f>
        <v>1</v>
      </c>
      <c r="Y76" s="20" t="s">
        <v>225</v>
      </c>
      <c r="Z76" s="8" t="n">
        <v>2</v>
      </c>
      <c r="AA76" s="36"/>
      <c r="AB76" s="37" t="n">
        <f aca="false">IF(B76="","",YEAR(B76)*100+MONTH(B76))</f>
        <v>202610</v>
      </c>
      <c r="AC76" s="37" t="str">
        <f aca="false">IF(AND(E76&lt;&gt;"",E76=Cruce!$C$5),COUNTIF($E$5:E76,E76),"")</f>
        <v/>
      </c>
      <c r="AD76" s="37" t="str">
        <f aca="false">IF(E76="","",C76&amp;"|"&amp;Y76&amp;"|"&amp;IF(B76="","s/f",TEXT(B76,"yyyymmdd")))</f>
        <v>Auditoría Interna|Auditoria interna 3|20261012</v>
      </c>
      <c r="AE76" s="37" t="n">
        <f aca="false">IF(E76="",0,IF(COUNTIFS($E$5:E76,E76,$AD$5:AD76,AD76)=1,1,0))</f>
        <v>1</v>
      </c>
    </row>
    <row r="77" customFormat="false" ht="45" hidden="false" customHeight="true" outlineLevel="0" collapsed="false">
      <c r="A77" s="8" t="n">
        <v>73</v>
      </c>
      <c r="B77" s="30" t="n">
        <v>46307</v>
      </c>
      <c r="C77" s="31" t="s">
        <v>129</v>
      </c>
      <c r="D77" s="31" t="s">
        <v>204</v>
      </c>
      <c r="E77" s="32" t="s">
        <v>104</v>
      </c>
      <c r="F77" s="32" t="s">
        <v>227</v>
      </c>
      <c r="G77" s="33" t="s">
        <v>157</v>
      </c>
      <c r="H77" s="31"/>
      <c r="I77" s="24" t="n">
        <f aca="false">IF(B77="","",YEAR(B77))</f>
        <v>2026</v>
      </c>
      <c r="J77" s="34" t="str">
        <f aca="false">IF(B77="","",IF(MONTH(B77)=1,"X",""))</f>
        <v/>
      </c>
      <c r="K77" s="34" t="str">
        <f aca="false">IF(B77="","",IF(MONTH(B77)=2,"X",""))</f>
        <v/>
      </c>
      <c r="L77" s="34" t="str">
        <f aca="false">IF(B77="","",IF(MONTH(B77)=3,"X",""))</f>
        <v/>
      </c>
      <c r="M77" s="34" t="str">
        <f aca="false">IF(B77="","",IF(MONTH(B77)=4,"X",""))</f>
        <v/>
      </c>
      <c r="N77" s="34" t="str">
        <f aca="false">IF(B77="","",IF(MONTH(B77)=5,"X",""))</f>
        <v/>
      </c>
      <c r="O77" s="34" t="str">
        <f aca="false">IF(B77="","",IF(MONTH(B77)=6,"X",""))</f>
        <v/>
      </c>
      <c r="P77" s="34" t="str">
        <f aca="false">IF(B77="","",IF(MONTH(B77)=7,"X",""))</f>
        <v/>
      </c>
      <c r="Q77" s="34" t="str">
        <f aca="false">IF(B77="","",IF(MONTH(B77)=8,"X",""))</f>
        <v/>
      </c>
      <c r="R77" s="34" t="str">
        <f aca="false">IF(B77="","",IF(MONTH(B77)=9,"X",""))</f>
        <v/>
      </c>
      <c r="S77" s="34" t="str">
        <f aca="false">IF(B77="","",IF(MONTH(B77)=10,"X",""))</f>
        <v>X</v>
      </c>
      <c r="T77" s="34" t="str">
        <f aca="false">IF(B77="","",IF(MONTH(B77)=11,"X",""))</f>
        <v/>
      </c>
      <c r="U77" s="34" t="str">
        <f aca="false">IF(B77="","",IF(MONTH(B77)=12,"X",""))</f>
        <v/>
      </c>
      <c r="V77" s="24" t="n">
        <f aca="false">IF(E77="","",COUNTIF($E$5:$E$1000,E77))</f>
        <v>20</v>
      </c>
      <c r="W77" s="35" t="str">
        <f aca="false">IF(E77="","",_xlfn.TEXTJOIN(" + ",TRUE(),IF(COUNTIFS($E$5:$E$1000,E77,$C$5:$C$1000,"Auditoría Interna")&gt;0,"Interna",""),IF(COUNTIFS($E$5:$E$1000,E77,$C$5:$C$1000,"Auditoría Externa")&gt;0,"Externa",""),IF(COUNTIFS($E$5:$E$1000,E77,$C$5:$C$1000,"SSF")&gt;0,"SSF",""),IF(COUNTIFS($E$5:$E$1000,E77,$C$5:$C$1000,"Comité de Supervisión")&gt;0,"Comité Sup.",""),IF(COUNTIFS($E$5:$E$1000,E77,$C$5:$C$1000,"Consejo de Administración")&gt;0,"Consejo",""),IF(COUNTIFS($E$5:$E$1000,E77,$C$5:$C$1000,"Otros")&gt;0,"Otros","")))</f>
        <v>Interna + Externa + SSF</v>
      </c>
      <c r="X77" s="24" t="n">
        <f aca="false">IF(E77="","",COUNTIFS($E$5:$E$1000,E77,$AB$5:$AB$1000,AB77,$C$5:$C$1000,"&lt;&gt;"&amp;C77))</f>
        <v>1</v>
      </c>
      <c r="Y77" s="20" t="s">
        <v>225</v>
      </c>
      <c r="Z77" s="8" t="n">
        <v>3</v>
      </c>
      <c r="AA77" s="36"/>
      <c r="AB77" s="37" t="n">
        <f aca="false">IF(B77="","",YEAR(B77)*100+MONTH(B77))</f>
        <v>202610</v>
      </c>
      <c r="AC77" s="37" t="str">
        <f aca="false">IF(AND(E77&lt;&gt;"",E77=Cruce!$C$5),COUNTIF($E$5:E77,E77),"")</f>
        <v/>
      </c>
      <c r="AD77" s="37" t="str">
        <f aca="false">IF(E77="","",C77&amp;"|"&amp;Y77&amp;"|"&amp;IF(B77="","s/f",TEXT(B77,"yyyymmdd")))</f>
        <v>Auditoría Interna|Auditoria interna 3|20261012</v>
      </c>
      <c r="AE77" s="37" t="n">
        <f aca="false">IF(E77="",0,IF(COUNTIFS($E$5:E77,E77,$AD$5:AD77,AD77)=1,1,0))</f>
        <v>0</v>
      </c>
    </row>
    <row r="78" customFormat="false" ht="45" hidden="false" customHeight="true" outlineLevel="0" collapsed="false">
      <c r="A78" s="8" t="n">
        <v>74</v>
      </c>
      <c r="B78" s="30" t="n">
        <v>46307</v>
      </c>
      <c r="C78" s="31" t="s">
        <v>129</v>
      </c>
      <c r="D78" s="31" t="s">
        <v>204</v>
      </c>
      <c r="E78" s="32" t="s">
        <v>104</v>
      </c>
      <c r="F78" s="32" t="s">
        <v>228</v>
      </c>
      <c r="G78" s="33" t="s">
        <v>157</v>
      </c>
      <c r="H78" s="31"/>
      <c r="I78" s="24" t="n">
        <f aca="false">IF(B78="","",YEAR(B78))</f>
        <v>2026</v>
      </c>
      <c r="J78" s="34" t="str">
        <f aca="false">IF(B78="","",IF(MONTH(B78)=1,"X",""))</f>
        <v/>
      </c>
      <c r="K78" s="34" t="str">
        <f aca="false">IF(B78="","",IF(MONTH(B78)=2,"X",""))</f>
        <v/>
      </c>
      <c r="L78" s="34" t="str">
        <f aca="false">IF(B78="","",IF(MONTH(B78)=3,"X",""))</f>
        <v/>
      </c>
      <c r="M78" s="34" t="str">
        <f aca="false">IF(B78="","",IF(MONTH(B78)=4,"X",""))</f>
        <v/>
      </c>
      <c r="N78" s="34" t="str">
        <f aca="false">IF(B78="","",IF(MONTH(B78)=5,"X",""))</f>
        <v/>
      </c>
      <c r="O78" s="34" t="str">
        <f aca="false">IF(B78="","",IF(MONTH(B78)=6,"X",""))</f>
        <v/>
      </c>
      <c r="P78" s="34" t="str">
        <f aca="false">IF(B78="","",IF(MONTH(B78)=7,"X",""))</f>
        <v/>
      </c>
      <c r="Q78" s="34" t="str">
        <f aca="false">IF(B78="","",IF(MONTH(B78)=8,"X",""))</f>
        <v/>
      </c>
      <c r="R78" s="34" t="str">
        <f aca="false">IF(B78="","",IF(MONTH(B78)=9,"X",""))</f>
        <v/>
      </c>
      <c r="S78" s="34" t="str">
        <f aca="false">IF(B78="","",IF(MONTH(B78)=10,"X",""))</f>
        <v>X</v>
      </c>
      <c r="T78" s="34" t="str">
        <f aca="false">IF(B78="","",IF(MONTH(B78)=11,"X",""))</f>
        <v/>
      </c>
      <c r="U78" s="34" t="str">
        <f aca="false">IF(B78="","",IF(MONTH(B78)=12,"X",""))</f>
        <v/>
      </c>
      <c r="V78" s="24" t="n">
        <f aca="false">IF(E78="","",COUNTIF($E$5:$E$1000,E78))</f>
        <v>20</v>
      </c>
      <c r="W78" s="35" t="str">
        <f aca="false">IF(E78="","",_xlfn.TEXTJOIN(" + ",TRUE(),IF(COUNTIFS($E$5:$E$1000,E78,$C$5:$C$1000,"Auditoría Interna")&gt;0,"Interna",""),IF(COUNTIFS($E$5:$E$1000,E78,$C$5:$C$1000,"Auditoría Externa")&gt;0,"Externa",""),IF(COUNTIFS($E$5:$E$1000,E78,$C$5:$C$1000,"SSF")&gt;0,"SSF",""),IF(COUNTIFS($E$5:$E$1000,E78,$C$5:$C$1000,"Comité de Supervisión")&gt;0,"Comité Sup.",""),IF(COUNTIFS($E$5:$E$1000,E78,$C$5:$C$1000,"Consejo de Administración")&gt;0,"Consejo",""),IF(COUNTIFS($E$5:$E$1000,E78,$C$5:$C$1000,"Otros")&gt;0,"Otros","")))</f>
        <v>Interna + Externa + SSF</v>
      </c>
      <c r="X78" s="24" t="n">
        <f aca="false">IF(E78="","",COUNTIFS($E$5:$E$1000,E78,$AB$5:$AB$1000,AB78,$C$5:$C$1000,"&lt;&gt;"&amp;C78))</f>
        <v>1</v>
      </c>
      <c r="Y78" s="20" t="s">
        <v>225</v>
      </c>
      <c r="Z78" s="8" t="n">
        <v>4</v>
      </c>
      <c r="AA78" s="36"/>
      <c r="AB78" s="37" t="n">
        <f aca="false">IF(B78="","",YEAR(B78)*100+MONTH(B78))</f>
        <v>202610</v>
      </c>
      <c r="AC78" s="37" t="str">
        <f aca="false">IF(AND(E78&lt;&gt;"",E78=Cruce!$C$5),COUNTIF($E$5:E78,E78),"")</f>
        <v/>
      </c>
      <c r="AD78" s="37" t="str">
        <f aca="false">IF(E78="","",C78&amp;"|"&amp;Y78&amp;"|"&amp;IF(B78="","s/f",TEXT(B78,"yyyymmdd")))</f>
        <v>Auditoría Interna|Auditoria interna 3|20261012</v>
      </c>
      <c r="AE78" s="37" t="n">
        <f aca="false">IF(E78="",0,IF(COUNTIFS($E$5:E78,E78,$AD$5:AD78,AD78)=1,1,0))</f>
        <v>0</v>
      </c>
    </row>
    <row r="79" customFormat="false" ht="45" hidden="false" customHeight="true" outlineLevel="0" collapsed="false">
      <c r="A79" s="8" t="n">
        <v>75</v>
      </c>
      <c r="B79" s="30" t="n">
        <v>46307</v>
      </c>
      <c r="C79" s="31" t="s">
        <v>129</v>
      </c>
      <c r="D79" s="31" t="s">
        <v>204</v>
      </c>
      <c r="E79" s="32" t="s">
        <v>104</v>
      </c>
      <c r="F79" s="32" t="s">
        <v>229</v>
      </c>
      <c r="G79" s="33" t="s">
        <v>157</v>
      </c>
      <c r="H79" s="31"/>
      <c r="I79" s="24" t="n">
        <f aca="false">IF(B79="","",YEAR(B79))</f>
        <v>2026</v>
      </c>
      <c r="J79" s="34" t="str">
        <f aca="false">IF(B79="","",IF(MONTH(B79)=1,"X",""))</f>
        <v/>
      </c>
      <c r="K79" s="34" t="str">
        <f aca="false">IF(B79="","",IF(MONTH(B79)=2,"X",""))</f>
        <v/>
      </c>
      <c r="L79" s="34" t="str">
        <f aca="false">IF(B79="","",IF(MONTH(B79)=3,"X",""))</f>
        <v/>
      </c>
      <c r="M79" s="34" t="str">
        <f aca="false">IF(B79="","",IF(MONTH(B79)=4,"X",""))</f>
        <v/>
      </c>
      <c r="N79" s="34" t="str">
        <f aca="false">IF(B79="","",IF(MONTH(B79)=5,"X",""))</f>
        <v/>
      </c>
      <c r="O79" s="34" t="str">
        <f aca="false">IF(B79="","",IF(MONTH(B79)=6,"X",""))</f>
        <v/>
      </c>
      <c r="P79" s="34" t="str">
        <f aca="false">IF(B79="","",IF(MONTH(B79)=7,"X",""))</f>
        <v/>
      </c>
      <c r="Q79" s="34" t="str">
        <f aca="false">IF(B79="","",IF(MONTH(B79)=8,"X",""))</f>
        <v/>
      </c>
      <c r="R79" s="34" t="str">
        <f aca="false">IF(B79="","",IF(MONTH(B79)=9,"X",""))</f>
        <v/>
      </c>
      <c r="S79" s="34" t="str">
        <f aca="false">IF(B79="","",IF(MONTH(B79)=10,"X",""))</f>
        <v>X</v>
      </c>
      <c r="T79" s="34" t="str">
        <f aca="false">IF(B79="","",IF(MONTH(B79)=11,"X",""))</f>
        <v/>
      </c>
      <c r="U79" s="34" t="str">
        <f aca="false">IF(B79="","",IF(MONTH(B79)=12,"X",""))</f>
        <v/>
      </c>
      <c r="V79" s="24" t="n">
        <f aca="false">IF(E79="","",COUNTIF($E$5:$E$1000,E79))</f>
        <v>20</v>
      </c>
      <c r="W79" s="35" t="str">
        <f aca="false">IF(E79="","",_xlfn.TEXTJOIN(" + ",TRUE(),IF(COUNTIFS($E$5:$E$1000,E79,$C$5:$C$1000,"Auditoría Interna")&gt;0,"Interna",""),IF(COUNTIFS($E$5:$E$1000,E79,$C$5:$C$1000,"Auditoría Externa")&gt;0,"Externa",""),IF(COUNTIFS($E$5:$E$1000,E79,$C$5:$C$1000,"SSF")&gt;0,"SSF",""),IF(COUNTIFS($E$5:$E$1000,E79,$C$5:$C$1000,"Comité de Supervisión")&gt;0,"Comité Sup.",""),IF(COUNTIFS($E$5:$E$1000,E79,$C$5:$C$1000,"Consejo de Administración")&gt;0,"Consejo",""),IF(COUNTIFS($E$5:$E$1000,E79,$C$5:$C$1000,"Otros")&gt;0,"Otros","")))</f>
        <v>Interna + Externa + SSF</v>
      </c>
      <c r="X79" s="24" t="n">
        <f aca="false">IF(E79="","",COUNTIFS($E$5:$E$1000,E79,$AB$5:$AB$1000,AB79,$C$5:$C$1000,"&lt;&gt;"&amp;C79))</f>
        <v>1</v>
      </c>
      <c r="Y79" s="20" t="s">
        <v>225</v>
      </c>
      <c r="Z79" s="8" t="n">
        <v>5</v>
      </c>
      <c r="AA79" s="36"/>
      <c r="AB79" s="37" t="n">
        <f aca="false">IF(B79="","",YEAR(B79)*100+MONTH(B79))</f>
        <v>202610</v>
      </c>
      <c r="AC79" s="37" t="str">
        <f aca="false">IF(AND(E79&lt;&gt;"",E79=Cruce!$C$5),COUNTIF($E$5:E79,E79),"")</f>
        <v/>
      </c>
      <c r="AD79" s="37" t="str">
        <f aca="false">IF(E79="","",C79&amp;"|"&amp;Y79&amp;"|"&amp;IF(B79="","s/f",TEXT(B79,"yyyymmdd")))</f>
        <v>Auditoría Interna|Auditoria interna 3|20261012</v>
      </c>
      <c r="AE79" s="37" t="n">
        <f aca="false">IF(E79="",0,IF(COUNTIFS($E$5:E79,E79,$AD$5:AD79,AD79)=1,1,0))</f>
        <v>0</v>
      </c>
    </row>
    <row r="80" customFormat="false" ht="45" hidden="false" customHeight="true" outlineLevel="0" collapsed="false">
      <c r="A80" s="8" t="n">
        <v>76</v>
      </c>
      <c r="B80" s="30" t="n">
        <v>46307</v>
      </c>
      <c r="C80" s="31" t="s">
        <v>129</v>
      </c>
      <c r="D80" s="31" t="s">
        <v>204</v>
      </c>
      <c r="E80" s="32" t="s">
        <v>104</v>
      </c>
      <c r="F80" s="32" t="s">
        <v>230</v>
      </c>
      <c r="G80" s="33" t="s">
        <v>157</v>
      </c>
      <c r="H80" s="31"/>
      <c r="I80" s="24" t="n">
        <f aca="false">IF(B80="","",YEAR(B80))</f>
        <v>2026</v>
      </c>
      <c r="J80" s="34" t="str">
        <f aca="false">IF(B80="","",IF(MONTH(B80)=1,"X",""))</f>
        <v/>
      </c>
      <c r="K80" s="34" t="str">
        <f aca="false">IF(B80="","",IF(MONTH(B80)=2,"X",""))</f>
        <v/>
      </c>
      <c r="L80" s="34" t="str">
        <f aca="false">IF(B80="","",IF(MONTH(B80)=3,"X",""))</f>
        <v/>
      </c>
      <c r="M80" s="34" t="str">
        <f aca="false">IF(B80="","",IF(MONTH(B80)=4,"X",""))</f>
        <v/>
      </c>
      <c r="N80" s="34" t="str">
        <f aca="false">IF(B80="","",IF(MONTH(B80)=5,"X",""))</f>
        <v/>
      </c>
      <c r="O80" s="34" t="str">
        <f aca="false">IF(B80="","",IF(MONTH(B80)=6,"X",""))</f>
        <v/>
      </c>
      <c r="P80" s="34" t="str">
        <f aca="false">IF(B80="","",IF(MONTH(B80)=7,"X",""))</f>
        <v/>
      </c>
      <c r="Q80" s="34" t="str">
        <f aca="false">IF(B80="","",IF(MONTH(B80)=8,"X",""))</f>
        <v/>
      </c>
      <c r="R80" s="34" t="str">
        <f aca="false">IF(B80="","",IF(MONTH(B80)=9,"X",""))</f>
        <v/>
      </c>
      <c r="S80" s="34" t="str">
        <f aca="false">IF(B80="","",IF(MONTH(B80)=10,"X",""))</f>
        <v>X</v>
      </c>
      <c r="T80" s="34" t="str">
        <f aca="false">IF(B80="","",IF(MONTH(B80)=11,"X",""))</f>
        <v/>
      </c>
      <c r="U80" s="34" t="str">
        <f aca="false">IF(B80="","",IF(MONTH(B80)=12,"X",""))</f>
        <v/>
      </c>
      <c r="V80" s="24" t="n">
        <f aca="false">IF(E80="","",COUNTIF($E$5:$E$1000,E80))</f>
        <v>20</v>
      </c>
      <c r="W80" s="35" t="str">
        <f aca="false">IF(E80="","",_xlfn.TEXTJOIN(" + ",TRUE(),IF(COUNTIFS($E$5:$E$1000,E80,$C$5:$C$1000,"Auditoría Interna")&gt;0,"Interna",""),IF(COUNTIFS($E$5:$E$1000,E80,$C$5:$C$1000,"Auditoría Externa")&gt;0,"Externa",""),IF(COUNTIFS($E$5:$E$1000,E80,$C$5:$C$1000,"SSF")&gt;0,"SSF",""),IF(COUNTIFS($E$5:$E$1000,E80,$C$5:$C$1000,"Comité de Supervisión")&gt;0,"Comité Sup.",""),IF(COUNTIFS($E$5:$E$1000,E80,$C$5:$C$1000,"Consejo de Administración")&gt;0,"Consejo",""),IF(COUNTIFS($E$5:$E$1000,E80,$C$5:$C$1000,"Otros")&gt;0,"Otros","")))</f>
        <v>Interna + Externa + SSF</v>
      </c>
      <c r="X80" s="24" t="n">
        <f aca="false">IF(E80="","",COUNTIFS($E$5:$E$1000,E80,$AB$5:$AB$1000,AB80,$C$5:$C$1000,"&lt;&gt;"&amp;C80))</f>
        <v>1</v>
      </c>
      <c r="Y80" s="20" t="s">
        <v>225</v>
      </c>
      <c r="Z80" s="8" t="n">
        <v>6</v>
      </c>
      <c r="AA80" s="36"/>
      <c r="AB80" s="37" t="n">
        <f aca="false">IF(B80="","",YEAR(B80)*100+MONTH(B80))</f>
        <v>202610</v>
      </c>
      <c r="AC80" s="37" t="str">
        <f aca="false">IF(AND(E80&lt;&gt;"",E80=Cruce!$C$5),COUNTIF($E$5:E80,E80),"")</f>
        <v/>
      </c>
      <c r="AD80" s="37" t="str">
        <f aca="false">IF(E80="","",C80&amp;"|"&amp;Y80&amp;"|"&amp;IF(B80="","s/f",TEXT(B80,"yyyymmdd")))</f>
        <v>Auditoría Interna|Auditoria interna 3|20261012</v>
      </c>
      <c r="AE80" s="37" t="n">
        <f aca="false">IF(E80="",0,IF(COUNTIFS($E$5:E80,E80,$AD$5:AD80,AD80)=1,1,0))</f>
        <v>0</v>
      </c>
    </row>
    <row r="81" customFormat="false" ht="45" hidden="false" customHeight="true" outlineLevel="0" collapsed="false">
      <c r="A81" s="8" t="n">
        <v>77</v>
      </c>
      <c r="B81" s="30" t="n">
        <v>46307</v>
      </c>
      <c r="C81" s="31" t="s">
        <v>129</v>
      </c>
      <c r="D81" s="31" t="s">
        <v>204</v>
      </c>
      <c r="E81" s="32" t="s">
        <v>104</v>
      </c>
      <c r="F81" s="32" t="s">
        <v>231</v>
      </c>
      <c r="G81" s="33" t="s">
        <v>157</v>
      </c>
      <c r="H81" s="31"/>
      <c r="I81" s="24" t="n">
        <f aca="false">IF(B81="","",YEAR(B81))</f>
        <v>2026</v>
      </c>
      <c r="J81" s="34" t="str">
        <f aca="false">IF(B81="","",IF(MONTH(B81)=1,"X",""))</f>
        <v/>
      </c>
      <c r="K81" s="34" t="str">
        <f aca="false">IF(B81="","",IF(MONTH(B81)=2,"X",""))</f>
        <v/>
      </c>
      <c r="L81" s="34" t="str">
        <f aca="false">IF(B81="","",IF(MONTH(B81)=3,"X",""))</f>
        <v/>
      </c>
      <c r="M81" s="34" t="str">
        <f aca="false">IF(B81="","",IF(MONTH(B81)=4,"X",""))</f>
        <v/>
      </c>
      <c r="N81" s="34" t="str">
        <f aca="false">IF(B81="","",IF(MONTH(B81)=5,"X",""))</f>
        <v/>
      </c>
      <c r="O81" s="34" t="str">
        <f aca="false">IF(B81="","",IF(MONTH(B81)=6,"X",""))</f>
        <v/>
      </c>
      <c r="P81" s="34" t="str">
        <f aca="false">IF(B81="","",IF(MONTH(B81)=7,"X",""))</f>
        <v/>
      </c>
      <c r="Q81" s="34" t="str">
        <f aca="false">IF(B81="","",IF(MONTH(B81)=8,"X",""))</f>
        <v/>
      </c>
      <c r="R81" s="34" t="str">
        <f aca="false">IF(B81="","",IF(MONTH(B81)=9,"X",""))</f>
        <v/>
      </c>
      <c r="S81" s="34" t="str">
        <f aca="false">IF(B81="","",IF(MONTH(B81)=10,"X",""))</f>
        <v>X</v>
      </c>
      <c r="T81" s="34" t="str">
        <f aca="false">IF(B81="","",IF(MONTH(B81)=11,"X",""))</f>
        <v/>
      </c>
      <c r="U81" s="34" t="str">
        <f aca="false">IF(B81="","",IF(MONTH(B81)=12,"X",""))</f>
        <v/>
      </c>
      <c r="V81" s="24" t="n">
        <f aca="false">IF(E81="","",COUNTIF($E$5:$E$1000,E81))</f>
        <v>20</v>
      </c>
      <c r="W81" s="35" t="str">
        <f aca="false">IF(E81="","",_xlfn.TEXTJOIN(" + ",TRUE(),IF(COUNTIFS($E$5:$E$1000,E81,$C$5:$C$1000,"Auditoría Interna")&gt;0,"Interna",""),IF(COUNTIFS($E$5:$E$1000,E81,$C$5:$C$1000,"Auditoría Externa")&gt;0,"Externa",""),IF(COUNTIFS($E$5:$E$1000,E81,$C$5:$C$1000,"SSF")&gt;0,"SSF",""),IF(COUNTIFS($E$5:$E$1000,E81,$C$5:$C$1000,"Comité de Supervisión")&gt;0,"Comité Sup.",""),IF(COUNTIFS($E$5:$E$1000,E81,$C$5:$C$1000,"Consejo de Administración")&gt;0,"Consejo",""),IF(COUNTIFS($E$5:$E$1000,E81,$C$5:$C$1000,"Otros")&gt;0,"Otros","")))</f>
        <v>Interna + Externa + SSF</v>
      </c>
      <c r="X81" s="24" t="n">
        <f aca="false">IF(E81="","",COUNTIFS($E$5:$E$1000,E81,$AB$5:$AB$1000,AB81,$C$5:$C$1000,"&lt;&gt;"&amp;C81))</f>
        <v>1</v>
      </c>
      <c r="Y81" s="20" t="s">
        <v>225</v>
      </c>
      <c r="Z81" s="8" t="n">
        <v>7</v>
      </c>
      <c r="AA81" s="36"/>
      <c r="AB81" s="37" t="n">
        <f aca="false">IF(B81="","",YEAR(B81)*100+MONTH(B81))</f>
        <v>202610</v>
      </c>
      <c r="AC81" s="37" t="str">
        <f aca="false">IF(AND(E81&lt;&gt;"",E81=Cruce!$C$5),COUNTIF($E$5:E81,E81),"")</f>
        <v/>
      </c>
      <c r="AD81" s="37" t="str">
        <f aca="false">IF(E81="","",C81&amp;"|"&amp;Y81&amp;"|"&amp;IF(B81="","s/f",TEXT(B81,"yyyymmdd")))</f>
        <v>Auditoría Interna|Auditoria interna 3|20261012</v>
      </c>
      <c r="AE81" s="37" t="n">
        <f aca="false">IF(E81="",0,IF(COUNTIFS($E$5:E81,E81,$AD$5:AD81,AD81)=1,1,0))</f>
        <v>0</v>
      </c>
    </row>
    <row r="82" customFormat="false" ht="45" hidden="false" customHeight="true" outlineLevel="0" collapsed="false">
      <c r="A82" s="8" t="n">
        <v>78</v>
      </c>
      <c r="B82" s="30" t="n">
        <v>46307</v>
      </c>
      <c r="C82" s="31" t="s">
        <v>129</v>
      </c>
      <c r="D82" s="31" t="s">
        <v>204</v>
      </c>
      <c r="E82" s="32" t="s">
        <v>104</v>
      </c>
      <c r="F82" s="32" t="s">
        <v>232</v>
      </c>
      <c r="G82" s="33" t="s">
        <v>157</v>
      </c>
      <c r="H82" s="31"/>
      <c r="I82" s="24" t="n">
        <f aca="false">IF(B82="","",YEAR(B82))</f>
        <v>2026</v>
      </c>
      <c r="J82" s="34" t="str">
        <f aca="false">IF(B82="","",IF(MONTH(B82)=1,"X",""))</f>
        <v/>
      </c>
      <c r="K82" s="34" t="str">
        <f aca="false">IF(B82="","",IF(MONTH(B82)=2,"X",""))</f>
        <v/>
      </c>
      <c r="L82" s="34" t="str">
        <f aca="false">IF(B82="","",IF(MONTH(B82)=3,"X",""))</f>
        <v/>
      </c>
      <c r="M82" s="34" t="str">
        <f aca="false">IF(B82="","",IF(MONTH(B82)=4,"X",""))</f>
        <v/>
      </c>
      <c r="N82" s="34" t="str">
        <f aca="false">IF(B82="","",IF(MONTH(B82)=5,"X",""))</f>
        <v/>
      </c>
      <c r="O82" s="34" t="str">
        <f aca="false">IF(B82="","",IF(MONTH(B82)=6,"X",""))</f>
        <v/>
      </c>
      <c r="P82" s="34" t="str">
        <f aca="false">IF(B82="","",IF(MONTH(B82)=7,"X",""))</f>
        <v/>
      </c>
      <c r="Q82" s="34" t="str">
        <f aca="false">IF(B82="","",IF(MONTH(B82)=8,"X",""))</f>
        <v/>
      </c>
      <c r="R82" s="34" t="str">
        <f aca="false">IF(B82="","",IF(MONTH(B82)=9,"X",""))</f>
        <v/>
      </c>
      <c r="S82" s="34" t="str">
        <f aca="false">IF(B82="","",IF(MONTH(B82)=10,"X",""))</f>
        <v>X</v>
      </c>
      <c r="T82" s="34" t="str">
        <f aca="false">IF(B82="","",IF(MONTH(B82)=11,"X",""))</f>
        <v/>
      </c>
      <c r="U82" s="34" t="str">
        <f aca="false">IF(B82="","",IF(MONTH(B82)=12,"X",""))</f>
        <v/>
      </c>
      <c r="V82" s="24" t="n">
        <f aca="false">IF(E82="","",COUNTIF($E$5:$E$1000,E82))</f>
        <v>20</v>
      </c>
      <c r="W82" s="35" t="str">
        <f aca="false">IF(E82="","",_xlfn.TEXTJOIN(" + ",TRUE(),IF(COUNTIFS($E$5:$E$1000,E82,$C$5:$C$1000,"Auditoría Interna")&gt;0,"Interna",""),IF(COUNTIFS($E$5:$E$1000,E82,$C$5:$C$1000,"Auditoría Externa")&gt;0,"Externa",""),IF(COUNTIFS($E$5:$E$1000,E82,$C$5:$C$1000,"SSF")&gt;0,"SSF",""),IF(COUNTIFS($E$5:$E$1000,E82,$C$5:$C$1000,"Comité de Supervisión")&gt;0,"Comité Sup.",""),IF(COUNTIFS($E$5:$E$1000,E82,$C$5:$C$1000,"Consejo de Administración")&gt;0,"Consejo",""),IF(COUNTIFS($E$5:$E$1000,E82,$C$5:$C$1000,"Otros")&gt;0,"Otros","")))</f>
        <v>Interna + Externa + SSF</v>
      </c>
      <c r="X82" s="24" t="n">
        <f aca="false">IF(E82="","",COUNTIFS($E$5:$E$1000,E82,$AB$5:$AB$1000,AB82,$C$5:$C$1000,"&lt;&gt;"&amp;C82))</f>
        <v>1</v>
      </c>
      <c r="Y82" s="20" t="s">
        <v>225</v>
      </c>
      <c r="Z82" s="8" t="n">
        <v>8</v>
      </c>
      <c r="AA82" s="36"/>
      <c r="AB82" s="37" t="n">
        <f aca="false">IF(B82="","",YEAR(B82)*100+MONTH(B82))</f>
        <v>202610</v>
      </c>
      <c r="AC82" s="37" t="str">
        <f aca="false">IF(AND(E82&lt;&gt;"",E82=Cruce!$C$5),COUNTIF($E$5:E82,E82),"")</f>
        <v/>
      </c>
      <c r="AD82" s="37" t="str">
        <f aca="false">IF(E82="","",C82&amp;"|"&amp;Y82&amp;"|"&amp;IF(B82="","s/f",TEXT(B82,"yyyymmdd")))</f>
        <v>Auditoría Interna|Auditoria interna 3|20261012</v>
      </c>
      <c r="AE82" s="37" t="n">
        <f aca="false">IF(E82="",0,IF(COUNTIFS($E$5:E82,E82,$AD$5:AD82,AD82)=1,1,0))</f>
        <v>0</v>
      </c>
    </row>
    <row r="83" customFormat="false" ht="45" hidden="false" customHeight="true" outlineLevel="0" collapsed="false">
      <c r="A83" s="8" t="n">
        <v>79</v>
      </c>
      <c r="B83" s="30" t="n">
        <v>46307</v>
      </c>
      <c r="C83" s="31" t="s">
        <v>129</v>
      </c>
      <c r="D83" s="31" t="s">
        <v>204</v>
      </c>
      <c r="E83" s="32" t="s">
        <v>104</v>
      </c>
      <c r="F83" s="32" t="s">
        <v>233</v>
      </c>
      <c r="G83" s="33" t="s">
        <v>157</v>
      </c>
      <c r="H83" s="31"/>
      <c r="I83" s="24" t="n">
        <f aca="false">IF(B83="","",YEAR(B83))</f>
        <v>2026</v>
      </c>
      <c r="J83" s="34" t="str">
        <f aca="false">IF(B83="","",IF(MONTH(B83)=1,"X",""))</f>
        <v/>
      </c>
      <c r="K83" s="34" t="str">
        <f aca="false">IF(B83="","",IF(MONTH(B83)=2,"X",""))</f>
        <v/>
      </c>
      <c r="L83" s="34" t="str">
        <f aca="false">IF(B83="","",IF(MONTH(B83)=3,"X",""))</f>
        <v/>
      </c>
      <c r="M83" s="34" t="str">
        <f aca="false">IF(B83="","",IF(MONTH(B83)=4,"X",""))</f>
        <v/>
      </c>
      <c r="N83" s="34" t="str">
        <f aca="false">IF(B83="","",IF(MONTH(B83)=5,"X",""))</f>
        <v/>
      </c>
      <c r="O83" s="34" t="str">
        <f aca="false">IF(B83="","",IF(MONTH(B83)=6,"X",""))</f>
        <v/>
      </c>
      <c r="P83" s="34" t="str">
        <f aca="false">IF(B83="","",IF(MONTH(B83)=7,"X",""))</f>
        <v/>
      </c>
      <c r="Q83" s="34" t="str">
        <f aca="false">IF(B83="","",IF(MONTH(B83)=8,"X",""))</f>
        <v/>
      </c>
      <c r="R83" s="34" t="str">
        <f aca="false">IF(B83="","",IF(MONTH(B83)=9,"X",""))</f>
        <v/>
      </c>
      <c r="S83" s="34" t="str">
        <f aca="false">IF(B83="","",IF(MONTH(B83)=10,"X",""))</f>
        <v>X</v>
      </c>
      <c r="T83" s="34" t="str">
        <f aca="false">IF(B83="","",IF(MONTH(B83)=11,"X",""))</f>
        <v/>
      </c>
      <c r="U83" s="34" t="str">
        <f aca="false">IF(B83="","",IF(MONTH(B83)=12,"X",""))</f>
        <v/>
      </c>
      <c r="V83" s="24" t="n">
        <f aca="false">IF(E83="","",COUNTIF($E$5:$E$1000,E83))</f>
        <v>20</v>
      </c>
      <c r="W83" s="35" t="str">
        <f aca="false">IF(E83="","",_xlfn.TEXTJOIN(" + ",TRUE(),IF(COUNTIFS($E$5:$E$1000,E83,$C$5:$C$1000,"Auditoría Interna")&gt;0,"Interna",""),IF(COUNTIFS($E$5:$E$1000,E83,$C$5:$C$1000,"Auditoría Externa")&gt;0,"Externa",""),IF(COUNTIFS($E$5:$E$1000,E83,$C$5:$C$1000,"SSF")&gt;0,"SSF",""),IF(COUNTIFS($E$5:$E$1000,E83,$C$5:$C$1000,"Comité de Supervisión")&gt;0,"Comité Sup.",""),IF(COUNTIFS($E$5:$E$1000,E83,$C$5:$C$1000,"Consejo de Administración")&gt;0,"Consejo",""),IF(COUNTIFS($E$5:$E$1000,E83,$C$5:$C$1000,"Otros")&gt;0,"Otros","")))</f>
        <v>Interna + Externa + SSF</v>
      </c>
      <c r="X83" s="24" t="n">
        <f aca="false">IF(E83="","",COUNTIFS($E$5:$E$1000,E83,$AB$5:$AB$1000,AB83,$C$5:$C$1000,"&lt;&gt;"&amp;C83))</f>
        <v>1</v>
      </c>
      <c r="Y83" s="20" t="s">
        <v>225</v>
      </c>
      <c r="Z83" s="8" t="n">
        <v>9</v>
      </c>
      <c r="AA83" s="36"/>
      <c r="AB83" s="37" t="n">
        <f aca="false">IF(B83="","",YEAR(B83)*100+MONTH(B83))</f>
        <v>202610</v>
      </c>
      <c r="AC83" s="37" t="str">
        <f aca="false">IF(AND(E83&lt;&gt;"",E83=Cruce!$C$5),COUNTIF($E$5:E83,E83),"")</f>
        <v/>
      </c>
      <c r="AD83" s="37" t="str">
        <f aca="false">IF(E83="","",C83&amp;"|"&amp;Y83&amp;"|"&amp;IF(B83="","s/f",TEXT(B83,"yyyymmdd")))</f>
        <v>Auditoría Interna|Auditoria interna 3|20261012</v>
      </c>
      <c r="AE83" s="37" t="n">
        <f aca="false">IF(E83="",0,IF(COUNTIFS($E$5:E83,E83,$AD$5:AD83,AD83)=1,1,0))</f>
        <v>0</v>
      </c>
    </row>
    <row r="84" customFormat="false" ht="45" hidden="false" customHeight="true" outlineLevel="0" collapsed="false">
      <c r="A84" s="8" t="n">
        <v>80</v>
      </c>
      <c r="B84" s="30" t="n">
        <v>46307</v>
      </c>
      <c r="C84" s="31" t="s">
        <v>129</v>
      </c>
      <c r="D84" s="31" t="s">
        <v>204</v>
      </c>
      <c r="E84" s="32" t="s">
        <v>104</v>
      </c>
      <c r="F84" s="32" t="s">
        <v>234</v>
      </c>
      <c r="G84" s="33" t="s">
        <v>157</v>
      </c>
      <c r="H84" s="31"/>
      <c r="I84" s="24" t="n">
        <f aca="false">IF(B84="","",YEAR(B84))</f>
        <v>2026</v>
      </c>
      <c r="J84" s="34" t="str">
        <f aca="false">IF(B84="","",IF(MONTH(B84)=1,"X",""))</f>
        <v/>
      </c>
      <c r="K84" s="34" t="str">
        <f aca="false">IF(B84="","",IF(MONTH(B84)=2,"X",""))</f>
        <v/>
      </c>
      <c r="L84" s="34" t="str">
        <f aca="false">IF(B84="","",IF(MONTH(B84)=3,"X",""))</f>
        <v/>
      </c>
      <c r="M84" s="34" t="str">
        <f aca="false">IF(B84="","",IF(MONTH(B84)=4,"X",""))</f>
        <v/>
      </c>
      <c r="N84" s="34" t="str">
        <f aca="false">IF(B84="","",IF(MONTH(B84)=5,"X",""))</f>
        <v/>
      </c>
      <c r="O84" s="34" t="str">
        <f aca="false">IF(B84="","",IF(MONTH(B84)=6,"X",""))</f>
        <v/>
      </c>
      <c r="P84" s="34" t="str">
        <f aca="false">IF(B84="","",IF(MONTH(B84)=7,"X",""))</f>
        <v/>
      </c>
      <c r="Q84" s="34" t="str">
        <f aca="false">IF(B84="","",IF(MONTH(B84)=8,"X",""))</f>
        <v/>
      </c>
      <c r="R84" s="34" t="str">
        <f aca="false">IF(B84="","",IF(MONTH(B84)=9,"X",""))</f>
        <v/>
      </c>
      <c r="S84" s="34" t="str">
        <f aca="false">IF(B84="","",IF(MONTH(B84)=10,"X",""))</f>
        <v>X</v>
      </c>
      <c r="T84" s="34" t="str">
        <f aca="false">IF(B84="","",IF(MONTH(B84)=11,"X",""))</f>
        <v/>
      </c>
      <c r="U84" s="34" t="str">
        <f aca="false">IF(B84="","",IF(MONTH(B84)=12,"X",""))</f>
        <v/>
      </c>
      <c r="V84" s="24" t="n">
        <f aca="false">IF(E84="","",COUNTIF($E$5:$E$1000,E84))</f>
        <v>20</v>
      </c>
      <c r="W84" s="35" t="str">
        <f aca="false">IF(E84="","",_xlfn.TEXTJOIN(" + ",TRUE(),IF(COUNTIFS($E$5:$E$1000,E84,$C$5:$C$1000,"Auditoría Interna")&gt;0,"Interna",""),IF(COUNTIFS($E$5:$E$1000,E84,$C$5:$C$1000,"Auditoría Externa")&gt;0,"Externa",""),IF(COUNTIFS($E$5:$E$1000,E84,$C$5:$C$1000,"SSF")&gt;0,"SSF",""),IF(COUNTIFS($E$5:$E$1000,E84,$C$5:$C$1000,"Comité de Supervisión")&gt;0,"Comité Sup.",""),IF(COUNTIFS($E$5:$E$1000,E84,$C$5:$C$1000,"Consejo de Administración")&gt;0,"Consejo",""),IF(COUNTIFS($E$5:$E$1000,E84,$C$5:$C$1000,"Otros")&gt;0,"Otros","")))</f>
        <v>Interna + Externa + SSF</v>
      </c>
      <c r="X84" s="24" t="n">
        <f aca="false">IF(E84="","",COUNTIFS($E$5:$E$1000,E84,$AB$5:$AB$1000,AB84,$C$5:$C$1000,"&lt;&gt;"&amp;C84))</f>
        <v>1</v>
      </c>
      <c r="Y84" s="20" t="s">
        <v>225</v>
      </c>
      <c r="Z84" s="8" t="n">
        <v>10</v>
      </c>
      <c r="AA84" s="36"/>
      <c r="AB84" s="37" t="n">
        <f aca="false">IF(B84="","",YEAR(B84)*100+MONTH(B84))</f>
        <v>202610</v>
      </c>
      <c r="AC84" s="37" t="str">
        <f aca="false">IF(AND(E84&lt;&gt;"",E84=Cruce!$C$5),COUNTIF($E$5:E84,E84),"")</f>
        <v/>
      </c>
      <c r="AD84" s="37" t="str">
        <f aca="false">IF(E84="","",C84&amp;"|"&amp;Y84&amp;"|"&amp;IF(B84="","s/f",TEXT(B84,"yyyymmdd")))</f>
        <v>Auditoría Interna|Auditoria interna 3|20261012</v>
      </c>
      <c r="AE84" s="37" t="n">
        <f aca="false">IF(E84="",0,IF(COUNTIFS($E$5:E84,E84,$AD$5:AD84,AD84)=1,1,0))</f>
        <v>0</v>
      </c>
    </row>
    <row r="85" customFormat="false" ht="45" hidden="false" customHeight="true" outlineLevel="0" collapsed="false">
      <c r="A85" s="8" t="n">
        <v>81</v>
      </c>
      <c r="B85" s="30" t="n">
        <v>46307</v>
      </c>
      <c r="C85" s="31" t="s">
        <v>129</v>
      </c>
      <c r="D85" s="31" t="s">
        <v>204</v>
      </c>
      <c r="E85" s="32" t="s">
        <v>104</v>
      </c>
      <c r="F85" s="32" t="s">
        <v>235</v>
      </c>
      <c r="G85" s="33" t="s">
        <v>157</v>
      </c>
      <c r="H85" s="31"/>
      <c r="I85" s="24" t="n">
        <f aca="false">IF(B85="","",YEAR(B85))</f>
        <v>2026</v>
      </c>
      <c r="J85" s="34" t="str">
        <f aca="false">IF(B85="","",IF(MONTH(B85)=1,"X",""))</f>
        <v/>
      </c>
      <c r="K85" s="34" t="str">
        <f aca="false">IF(B85="","",IF(MONTH(B85)=2,"X",""))</f>
        <v/>
      </c>
      <c r="L85" s="34" t="str">
        <f aca="false">IF(B85="","",IF(MONTH(B85)=3,"X",""))</f>
        <v/>
      </c>
      <c r="M85" s="34" t="str">
        <f aca="false">IF(B85="","",IF(MONTH(B85)=4,"X",""))</f>
        <v/>
      </c>
      <c r="N85" s="34" t="str">
        <f aca="false">IF(B85="","",IF(MONTH(B85)=5,"X",""))</f>
        <v/>
      </c>
      <c r="O85" s="34" t="str">
        <f aca="false">IF(B85="","",IF(MONTH(B85)=6,"X",""))</f>
        <v/>
      </c>
      <c r="P85" s="34" t="str">
        <f aca="false">IF(B85="","",IF(MONTH(B85)=7,"X",""))</f>
        <v/>
      </c>
      <c r="Q85" s="34" t="str">
        <f aca="false">IF(B85="","",IF(MONTH(B85)=8,"X",""))</f>
        <v/>
      </c>
      <c r="R85" s="34" t="str">
        <f aca="false">IF(B85="","",IF(MONTH(B85)=9,"X",""))</f>
        <v/>
      </c>
      <c r="S85" s="34" t="str">
        <f aca="false">IF(B85="","",IF(MONTH(B85)=10,"X",""))</f>
        <v>X</v>
      </c>
      <c r="T85" s="34" t="str">
        <f aca="false">IF(B85="","",IF(MONTH(B85)=11,"X",""))</f>
        <v/>
      </c>
      <c r="U85" s="34" t="str">
        <f aca="false">IF(B85="","",IF(MONTH(B85)=12,"X",""))</f>
        <v/>
      </c>
      <c r="V85" s="24" t="n">
        <f aca="false">IF(E85="","",COUNTIF($E$5:$E$1000,E85))</f>
        <v>20</v>
      </c>
      <c r="W85" s="35" t="str">
        <f aca="false">IF(E85="","",_xlfn.TEXTJOIN(" + ",TRUE(),IF(COUNTIFS($E$5:$E$1000,E85,$C$5:$C$1000,"Auditoría Interna")&gt;0,"Interna",""),IF(COUNTIFS($E$5:$E$1000,E85,$C$5:$C$1000,"Auditoría Externa")&gt;0,"Externa",""),IF(COUNTIFS($E$5:$E$1000,E85,$C$5:$C$1000,"SSF")&gt;0,"SSF",""),IF(COUNTIFS($E$5:$E$1000,E85,$C$5:$C$1000,"Comité de Supervisión")&gt;0,"Comité Sup.",""),IF(COUNTIFS($E$5:$E$1000,E85,$C$5:$C$1000,"Consejo de Administración")&gt;0,"Consejo",""),IF(COUNTIFS($E$5:$E$1000,E85,$C$5:$C$1000,"Otros")&gt;0,"Otros","")))</f>
        <v>Interna + Externa + SSF</v>
      </c>
      <c r="X85" s="24" t="n">
        <f aca="false">IF(E85="","",COUNTIFS($E$5:$E$1000,E85,$AB$5:$AB$1000,AB85,$C$5:$C$1000,"&lt;&gt;"&amp;C85))</f>
        <v>1</v>
      </c>
      <c r="Y85" s="20" t="s">
        <v>225</v>
      </c>
      <c r="Z85" s="8" t="n">
        <v>11</v>
      </c>
      <c r="AA85" s="36"/>
      <c r="AB85" s="37" t="n">
        <f aca="false">IF(B85="","",YEAR(B85)*100+MONTH(B85))</f>
        <v>202610</v>
      </c>
      <c r="AC85" s="37" t="str">
        <f aca="false">IF(AND(E85&lt;&gt;"",E85=Cruce!$C$5),COUNTIF($E$5:E85,E85),"")</f>
        <v/>
      </c>
      <c r="AD85" s="37" t="str">
        <f aca="false">IF(E85="","",C85&amp;"|"&amp;Y85&amp;"|"&amp;IF(B85="","s/f",TEXT(B85,"yyyymmdd")))</f>
        <v>Auditoría Interna|Auditoria interna 3|20261012</v>
      </c>
      <c r="AE85" s="37" t="n">
        <f aca="false">IF(E85="",0,IF(COUNTIFS($E$5:E85,E85,$AD$5:AD85,AD85)=1,1,0))</f>
        <v>0</v>
      </c>
    </row>
    <row r="86" customFormat="false" ht="45" hidden="false" customHeight="true" outlineLevel="0" collapsed="false">
      <c r="A86" s="8" t="n">
        <v>82</v>
      </c>
      <c r="B86" s="30" t="n">
        <v>46307</v>
      </c>
      <c r="C86" s="31" t="s">
        <v>129</v>
      </c>
      <c r="D86" s="31" t="s">
        <v>204</v>
      </c>
      <c r="E86" s="32" t="s">
        <v>104</v>
      </c>
      <c r="F86" s="32" t="s">
        <v>236</v>
      </c>
      <c r="G86" s="33" t="s">
        <v>157</v>
      </c>
      <c r="H86" s="31"/>
      <c r="I86" s="24" t="n">
        <f aca="false">IF(B86="","",YEAR(B86))</f>
        <v>2026</v>
      </c>
      <c r="J86" s="34" t="str">
        <f aca="false">IF(B86="","",IF(MONTH(B86)=1,"X",""))</f>
        <v/>
      </c>
      <c r="K86" s="34" t="str">
        <f aca="false">IF(B86="","",IF(MONTH(B86)=2,"X",""))</f>
        <v/>
      </c>
      <c r="L86" s="34" t="str">
        <f aca="false">IF(B86="","",IF(MONTH(B86)=3,"X",""))</f>
        <v/>
      </c>
      <c r="M86" s="34" t="str">
        <f aca="false">IF(B86="","",IF(MONTH(B86)=4,"X",""))</f>
        <v/>
      </c>
      <c r="N86" s="34" t="str">
        <f aca="false">IF(B86="","",IF(MONTH(B86)=5,"X",""))</f>
        <v/>
      </c>
      <c r="O86" s="34" t="str">
        <f aca="false">IF(B86="","",IF(MONTH(B86)=6,"X",""))</f>
        <v/>
      </c>
      <c r="P86" s="34" t="str">
        <f aca="false">IF(B86="","",IF(MONTH(B86)=7,"X",""))</f>
        <v/>
      </c>
      <c r="Q86" s="34" t="str">
        <f aca="false">IF(B86="","",IF(MONTH(B86)=8,"X",""))</f>
        <v/>
      </c>
      <c r="R86" s="34" t="str">
        <f aca="false">IF(B86="","",IF(MONTH(B86)=9,"X",""))</f>
        <v/>
      </c>
      <c r="S86" s="34" t="str">
        <f aca="false">IF(B86="","",IF(MONTH(B86)=10,"X",""))</f>
        <v>X</v>
      </c>
      <c r="T86" s="34" t="str">
        <f aca="false">IF(B86="","",IF(MONTH(B86)=11,"X",""))</f>
        <v/>
      </c>
      <c r="U86" s="34" t="str">
        <f aca="false">IF(B86="","",IF(MONTH(B86)=12,"X",""))</f>
        <v/>
      </c>
      <c r="V86" s="24" t="n">
        <f aca="false">IF(E86="","",COUNTIF($E$5:$E$1000,E86))</f>
        <v>20</v>
      </c>
      <c r="W86" s="35" t="str">
        <f aca="false">IF(E86="","",_xlfn.TEXTJOIN(" + ",TRUE(),IF(COUNTIFS($E$5:$E$1000,E86,$C$5:$C$1000,"Auditoría Interna")&gt;0,"Interna",""),IF(COUNTIFS($E$5:$E$1000,E86,$C$5:$C$1000,"Auditoría Externa")&gt;0,"Externa",""),IF(COUNTIFS($E$5:$E$1000,E86,$C$5:$C$1000,"SSF")&gt;0,"SSF",""),IF(COUNTIFS($E$5:$E$1000,E86,$C$5:$C$1000,"Comité de Supervisión")&gt;0,"Comité Sup.",""),IF(COUNTIFS($E$5:$E$1000,E86,$C$5:$C$1000,"Consejo de Administración")&gt;0,"Consejo",""),IF(COUNTIFS($E$5:$E$1000,E86,$C$5:$C$1000,"Otros")&gt;0,"Otros","")))</f>
        <v>Interna + Externa + SSF</v>
      </c>
      <c r="X86" s="24" t="n">
        <f aca="false">IF(E86="","",COUNTIFS($E$5:$E$1000,E86,$AB$5:$AB$1000,AB86,$C$5:$C$1000,"&lt;&gt;"&amp;C86))</f>
        <v>1</v>
      </c>
      <c r="Y86" s="20" t="s">
        <v>225</v>
      </c>
      <c r="Z86" s="8" t="n">
        <v>12</v>
      </c>
      <c r="AA86" s="36"/>
      <c r="AB86" s="37" t="n">
        <f aca="false">IF(B86="","",YEAR(B86)*100+MONTH(B86))</f>
        <v>202610</v>
      </c>
      <c r="AC86" s="37" t="str">
        <f aca="false">IF(AND(E86&lt;&gt;"",E86=Cruce!$C$5),COUNTIF($E$5:E86,E86),"")</f>
        <v/>
      </c>
      <c r="AD86" s="37" t="str">
        <f aca="false">IF(E86="","",C86&amp;"|"&amp;Y86&amp;"|"&amp;IF(B86="","s/f",TEXT(B86,"yyyymmdd")))</f>
        <v>Auditoría Interna|Auditoria interna 3|20261012</v>
      </c>
      <c r="AE86" s="37" t="n">
        <f aca="false">IF(E86="",0,IF(COUNTIFS($E$5:E86,E86,$AD$5:AD86,AD86)=1,1,0))</f>
        <v>0</v>
      </c>
    </row>
    <row r="87" customFormat="false" ht="45" hidden="false" customHeight="true" outlineLevel="0" collapsed="false">
      <c r="A87" s="8" t="n">
        <v>83</v>
      </c>
      <c r="B87" s="30" t="n">
        <v>46307</v>
      </c>
      <c r="C87" s="31" t="s">
        <v>129</v>
      </c>
      <c r="D87" s="31" t="s">
        <v>204</v>
      </c>
      <c r="E87" s="32" t="s">
        <v>104</v>
      </c>
      <c r="F87" s="32" t="s">
        <v>237</v>
      </c>
      <c r="G87" s="33" t="s">
        <v>157</v>
      </c>
      <c r="H87" s="31"/>
      <c r="I87" s="24" t="n">
        <f aca="false">IF(B87="","",YEAR(B87))</f>
        <v>2026</v>
      </c>
      <c r="J87" s="34" t="str">
        <f aca="false">IF(B87="","",IF(MONTH(B87)=1,"X",""))</f>
        <v/>
      </c>
      <c r="K87" s="34" t="str">
        <f aca="false">IF(B87="","",IF(MONTH(B87)=2,"X",""))</f>
        <v/>
      </c>
      <c r="L87" s="34" t="str">
        <f aca="false">IF(B87="","",IF(MONTH(B87)=3,"X",""))</f>
        <v/>
      </c>
      <c r="M87" s="34" t="str">
        <f aca="false">IF(B87="","",IF(MONTH(B87)=4,"X",""))</f>
        <v/>
      </c>
      <c r="N87" s="34" t="str">
        <f aca="false">IF(B87="","",IF(MONTH(B87)=5,"X",""))</f>
        <v/>
      </c>
      <c r="O87" s="34" t="str">
        <f aca="false">IF(B87="","",IF(MONTH(B87)=6,"X",""))</f>
        <v/>
      </c>
      <c r="P87" s="34" t="str">
        <f aca="false">IF(B87="","",IF(MONTH(B87)=7,"X",""))</f>
        <v/>
      </c>
      <c r="Q87" s="34" t="str">
        <f aca="false">IF(B87="","",IF(MONTH(B87)=8,"X",""))</f>
        <v/>
      </c>
      <c r="R87" s="34" t="str">
        <f aca="false">IF(B87="","",IF(MONTH(B87)=9,"X",""))</f>
        <v/>
      </c>
      <c r="S87" s="34" t="str">
        <f aca="false">IF(B87="","",IF(MONTH(B87)=10,"X",""))</f>
        <v>X</v>
      </c>
      <c r="T87" s="34" t="str">
        <f aca="false">IF(B87="","",IF(MONTH(B87)=11,"X",""))</f>
        <v/>
      </c>
      <c r="U87" s="34" t="str">
        <f aca="false">IF(B87="","",IF(MONTH(B87)=12,"X",""))</f>
        <v/>
      </c>
      <c r="V87" s="24" t="n">
        <f aca="false">IF(E87="","",COUNTIF($E$5:$E$1000,E87))</f>
        <v>20</v>
      </c>
      <c r="W87" s="35" t="str">
        <f aca="false">IF(E87="","",_xlfn.TEXTJOIN(" + ",TRUE(),IF(COUNTIFS($E$5:$E$1000,E87,$C$5:$C$1000,"Auditoría Interna")&gt;0,"Interna",""),IF(COUNTIFS($E$5:$E$1000,E87,$C$5:$C$1000,"Auditoría Externa")&gt;0,"Externa",""),IF(COUNTIFS($E$5:$E$1000,E87,$C$5:$C$1000,"SSF")&gt;0,"SSF",""),IF(COUNTIFS($E$5:$E$1000,E87,$C$5:$C$1000,"Comité de Supervisión")&gt;0,"Comité Sup.",""),IF(COUNTIFS($E$5:$E$1000,E87,$C$5:$C$1000,"Consejo de Administración")&gt;0,"Consejo",""),IF(COUNTIFS($E$5:$E$1000,E87,$C$5:$C$1000,"Otros")&gt;0,"Otros","")))</f>
        <v>Interna + Externa + SSF</v>
      </c>
      <c r="X87" s="24" t="n">
        <f aca="false">IF(E87="","",COUNTIFS($E$5:$E$1000,E87,$AB$5:$AB$1000,AB87,$C$5:$C$1000,"&lt;&gt;"&amp;C87))</f>
        <v>1</v>
      </c>
      <c r="Y87" s="20" t="s">
        <v>225</v>
      </c>
      <c r="Z87" s="8" t="n">
        <v>13</v>
      </c>
      <c r="AA87" s="36"/>
      <c r="AB87" s="37" t="n">
        <f aca="false">IF(B87="","",YEAR(B87)*100+MONTH(B87))</f>
        <v>202610</v>
      </c>
      <c r="AC87" s="37" t="str">
        <f aca="false">IF(AND(E87&lt;&gt;"",E87=Cruce!$C$5),COUNTIF($E$5:E87,E87),"")</f>
        <v/>
      </c>
      <c r="AD87" s="37" t="str">
        <f aca="false">IF(E87="","",C87&amp;"|"&amp;Y87&amp;"|"&amp;IF(B87="","s/f",TEXT(B87,"yyyymmdd")))</f>
        <v>Auditoría Interna|Auditoria interna 3|20261012</v>
      </c>
      <c r="AE87" s="37" t="n">
        <f aca="false">IF(E87="",0,IF(COUNTIFS($E$5:E87,E87,$AD$5:AD87,AD87)=1,1,0))</f>
        <v>0</v>
      </c>
    </row>
    <row r="88" customFormat="false" ht="45" hidden="false" customHeight="true" outlineLevel="0" collapsed="false">
      <c r="A88" s="8" t="n">
        <v>84</v>
      </c>
      <c r="B88" s="30" t="n">
        <v>46307</v>
      </c>
      <c r="C88" s="31" t="s">
        <v>129</v>
      </c>
      <c r="D88" s="31" t="s">
        <v>204</v>
      </c>
      <c r="E88" s="32" t="s">
        <v>104</v>
      </c>
      <c r="F88" s="32" t="s">
        <v>238</v>
      </c>
      <c r="G88" s="33" t="s">
        <v>157</v>
      </c>
      <c r="H88" s="31"/>
      <c r="I88" s="24" t="n">
        <f aca="false">IF(B88="","",YEAR(B88))</f>
        <v>2026</v>
      </c>
      <c r="J88" s="34" t="str">
        <f aca="false">IF(B88="","",IF(MONTH(B88)=1,"X",""))</f>
        <v/>
      </c>
      <c r="K88" s="34" t="str">
        <f aca="false">IF(B88="","",IF(MONTH(B88)=2,"X",""))</f>
        <v/>
      </c>
      <c r="L88" s="34" t="str">
        <f aca="false">IF(B88="","",IF(MONTH(B88)=3,"X",""))</f>
        <v/>
      </c>
      <c r="M88" s="34" t="str">
        <f aca="false">IF(B88="","",IF(MONTH(B88)=4,"X",""))</f>
        <v/>
      </c>
      <c r="N88" s="34" t="str">
        <f aca="false">IF(B88="","",IF(MONTH(B88)=5,"X",""))</f>
        <v/>
      </c>
      <c r="O88" s="34" t="str">
        <f aca="false">IF(B88="","",IF(MONTH(B88)=6,"X",""))</f>
        <v/>
      </c>
      <c r="P88" s="34" t="str">
        <f aca="false">IF(B88="","",IF(MONTH(B88)=7,"X",""))</f>
        <v/>
      </c>
      <c r="Q88" s="34" t="str">
        <f aca="false">IF(B88="","",IF(MONTH(B88)=8,"X",""))</f>
        <v/>
      </c>
      <c r="R88" s="34" t="str">
        <f aca="false">IF(B88="","",IF(MONTH(B88)=9,"X",""))</f>
        <v/>
      </c>
      <c r="S88" s="34" t="str">
        <f aca="false">IF(B88="","",IF(MONTH(B88)=10,"X",""))</f>
        <v>X</v>
      </c>
      <c r="T88" s="34" t="str">
        <f aca="false">IF(B88="","",IF(MONTH(B88)=11,"X",""))</f>
        <v/>
      </c>
      <c r="U88" s="34" t="str">
        <f aca="false">IF(B88="","",IF(MONTH(B88)=12,"X",""))</f>
        <v/>
      </c>
      <c r="V88" s="24" t="n">
        <f aca="false">IF(E88="","",COUNTIF($E$5:$E$1000,E88))</f>
        <v>20</v>
      </c>
      <c r="W88" s="35" t="str">
        <f aca="false">IF(E88="","",_xlfn.TEXTJOIN(" + ",TRUE(),IF(COUNTIFS($E$5:$E$1000,E88,$C$5:$C$1000,"Auditoría Interna")&gt;0,"Interna",""),IF(COUNTIFS($E$5:$E$1000,E88,$C$5:$C$1000,"Auditoría Externa")&gt;0,"Externa",""),IF(COUNTIFS($E$5:$E$1000,E88,$C$5:$C$1000,"SSF")&gt;0,"SSF",""),IF(COUNTIFS($E$5:$E$1000,E88,$C$5:$C$1000,"Comité de Supervisión")&gt;0,"Comité Sup.",""),IF(COUNTIFS($E$5:$E$1000,E88,$C$5:$C$1000,"Consejo de Administración")&gt;0,"Consejo",""),IF(COUNTIFS($E$5:$E$1000,E88,$C$5:$C$1000,"Otros")&gt;0,"Otros","")))</f>
        <v>Interna + Externa + SSF</v>
      </c>
      <c r="X88" s="24" t="n">
        <f aca="false">IF(E88="","",COUNTIFS($E$5:$E$1000,E88,$AB$5:$AB$1000,AB88,$C$5:$C$1000,"&lt;&gt;"&amp;C88))</f>
        <v>1</v>
      </c>
      <c r="Y88" s="20" t="s">
        <v>225</v>
      </c>
      <c r="Z88" s="8" t="n">
        <v>14</v>
      </c>
      <c r="AA88" s="36"/>
      <c r="AB88" s="37" t="n">
        <f aca="false">IF(B88="","",YEAR(B88)*100+MONTH(B88))</f>
        <v>202610</v>
      </c>
      <c r="AC88" s="37" t="str">
        <f aca="false">IF(AND(E88&lt;&gt;"",E88=Cruce!$C$5),COUNTIF($E$5:E88,E88),"")</f>
        <v/>
      </c>
      <c r="AD88" s="37" t="str">
        <f aca="false">IF(E88="","",C88&amp;"|"&amp;Y88&amp;"|"&amp;IF(B88="","s/f",TEXT(B88,"yyyymmdd")))</f>
        <v>Auditoría Interna|Auditoria interna 3|20261012</v>
      </c>
      <c r="AE88" s="37" t="n">
        <f aca="false">IF(E88="",0,IF(COUNTIFS($E$5:E88,E88,$AD$5:AD88,AD88)=1,1,0))</f>
        <v>0</v>
      </c>
    </row>
    <row r="89" customFormat="false" ht="45" hidden="false" customHeight="true" outlineLevel="0" collapsed="false">
      <c r="A89" s="8" t="n">
        <v>85</v>
      </c>
      <c r="B89" s="30" t="n">
        <v>46307</v>
      </c>
      <c r="C89" s="31" t="s">
        <v>129</v>
      </c>
      <c r="D89" s="31" t="s">
        <v>204</v>
      </c>
      <c r="E89" s="32" t="s">
        <v>104</v>
      </c>
      <c r="F89" s="32" t="s">
        <v>239</v>
      </c>
      <c r="G89" s="33" t="s">
        <v>157</v>
      </c>
      <c r="H89" s="31"/>
      <c r="I89" s="24" t="n">
        <f aca="false">IF(B89="","",YEAR(B89))</f>
        <v>2026</v>
      </c>
      <c r="J89" s="34" t="str">
        <f aca="false">IF(B89="","",IF(MONTH(B89)=1,"X",""))</f>
        <v/>
      </c>
      <c r="K89" s="34" t="str">
        <f aca="false">IF(B89="","",IF(MONTH(B89)=2,"X",""))</f>
        <v/>
      </c>
      <c r="L89" s="34" t="str">
        <f aca="false">IF(B89="","",IF(MONTH(B89)=3,"X",""))</f>
        <v/>
      </c>
      <c r="M89" s="34" t="str">
        <f aca="false">IF(B89="","",IF(MONTH(B89)=4,"X",""))</f>
        <v/>
      </c>
      <c r="N89" s="34" t="str">
        <f aca="false">IF(B89="","",IF(MONTH(B89)=5,"X",""))</f>
        <v/>
      </c>
      <c r="O89" s="34" t="str">
        <f aca="false">IF(B89="","",IF(MONTH(B89)=6,"X",""))</f>
        <v/>
      </c>
      <c r="P89" s="34" t="str">
        <f aca="false">IF(B89="","",IF(MONTH(B89)=7,"X",""))</f>
        <v/>
      </c>
      <c r="Q89" s="34" t="str">
        <f aca="false">IF(B89="","",IF(MONTH(B89)=8,"X",""))</f>
        <v/>
      </c>
      <c r="R89" s="34" t="str">
        <f aca="false">IF(B89="","",IF(MONTH(B89)=9,"X",""))</f>
        <v/>
      </c>
      <c r="S89" s="34" t="str">
        <f aca="false">IF(B89="","",IF(MONTH(B89)=10,"X",""))</f>
        <v>X</v>
      </c>
      <c r="T89" s="34" t="str">
        <f aca="false">IF(B89="","",IF(MONTH(B89)=11,"X",""))</f>
        <v/>
      </c>
      <c r="U89" s="34" t="str">
        <f aca="false">IF(B89="","",IF(MONTH(B89)=12,"X",""))</f>
        <v/>
      </c>
      <c r="V89" s="24" t="n">
        <f aca="false">IF(E89="","",COUNTIF($E$5:$E$1000,E89))</f>
        <v>20</v>
      </c>
      <c r="W89" s="35" t="str">
        <f aca="false">IF(E89="","",_xlfn.TEXTJOIN(" + ",TRUE(),IF(COUNTIFS($E$5:$E$1000,E89,$C$5:$C$1000,"Auditoría Interna")&gt;0,"Interna",""),IF(COUNTIFS($E$5:$E$1000,E89,$C$5:$C$1000,"Auditoría Externa")&gt;0,"Externa",""),IF(COUNTIFS($E$5:$E$1000,E89,$C$5:$C$1000,"SSF")&gt;0,"SSF",""),IF(COUNTIFS($E$5:$E$1000,E89,$C$5:$C$1000,"Comité de Supervisión")&gt;0,"Comité Sup.",""),IF(COUNTIFS($E$5:$E$1000,E89,$C$5:$C$1000,"Consejo de Administración")&gt;0,"Consejo",""),IF(COUNTIFS($E$5:$E$1000,E89,$C$5:$C$1000,"Otros")&gt;0,"Otros","")))</f>
        <v>Interna + Externa + SSF</v>
      </c>
      <c r="X89" s="24" t="n">
        <f aca="false">IF(E89="","",COUNTIFS($E$5:$E$1000,E89,$AB$5:$AB$1000,AB89,$C$5:$C$1000,"&lt;&gt;"&amp;C89))</f>
        <v>1</v>
      </c>
      <c r="Y89" s="20" t="s">
        <v>225</v>
      </c>
      <c r="Z89" s="8" t="n">
        <v>15</v>
      </c>
      <c r="AA89" s="36"/>
      <c r="AB89" s="37" t="n">
        <f aca="false">IF(B89="","",YEAR(B89)*100+MONTH(B89))</f>
        <v>202610</v>
      </c>
      <c r="AC89" s="37" t="str">
        <f aca="false">IF(AND(E89&lt;&gt;"",E89=Cruce!$C$5),COUNTIF($E$5:E89,E89),"")</f>
        <v/>
      </c>
      <c r="AD89" s="37" t="str">
        <f aca="false">IF(E89="","",C89&amp;"|"&amp;Y89&amp;"|"&amp;IF(B89="","s/f",TEXT(B89,"yyyymmdd")))</f>
        <v>Auditoría Interna|Auditoria interna 3|20261012</v>
      </c>
      <c r="AE89" s="37" t="n">
        <f aca="false">IF(E89="",0,IF(COUNTIFS($E$5:E89,E89,$AD$5:AD89,AD89)=1,1,0))</f>
        <v>0</v>
      </c>
    </row>
    <row r="90" customFormat="false" ht="45" hidden="false" customHeight="true" outlineLevel="0" collapsed="false">
      <c r="A90" s="8" t="n">
        <v>86</v>
      </c>
      <c r="B90" s="30" t="n">
        <v>46307</v>
      </c>
      <c r="C90" s="31" t="s">
        <v>129</v>
      </c>
      <c r="D90" s="31" t="s">
        <v>204</v>
      </c>
      <c r="E90" s="32" t="s">
        <v>104</v>
      </c>
      <c r="F90" s="32" t="s">
        <v>240</v>
      </c>
      <c r="G90" s="33" t="s">
        <v>157</v>
      </c>
      <c r="H90" s="31"/>
      <c r="I90" s="24" t="n">
        <f aca="false">IF(B90="","",YEAR(B90))</f>
        <v>2026</v>
      </c>
      <c r="J90" s="34" t="str">
        <f aca="false">IF(B90="","",IF(MONTH(B90)=1,"X",""))</f>
        <v/>
      </c>
      <c r="K90" s="34" t="str">
        <f aca="false">IF(B90="","",IF(MONTH(B90)=2,"X",""))</f>
        <v/>
      </c>
      <c r="L90" s="34" t="str">
        <f aca="false">IF(B90="","",IF(MONTH(B90)=3,"X",""))</f>
        <v/>
      </c>
      <c r="M90" s="34" t="str">
        <f aca="false">IF(B90="","",IF(MONTH(B90)=4,"X",""))</f>
        <v/>
      </c>
      <c r="N90" s="34" t="str">
        <f aca="false">IF(B90="","",IF(MONTH(B90)=5,"X",""))</f>
        <v/>
      </c>
      <c r="O90" s="34" t="str">
        <f aca="false">IF(B90="","",IF(MONTH(B90)=6,"X",""))</f>
        <v/>
      </c>
      <c r="P90" s="34" t="str">
        <f aca="false">IF(B90="","",IF(MONTH(B90)=7,"X",""))</f>
        <v/>
      </c>
      <c r="Q90" s="34" t="str">
        <f aca="false">IF(B90="","",IF(MONTH(B90)=8,"X",""))</f>
        <v/>
      </c>
      <c r="R90" s="34" t="str">
        <f aca="false">IF(B90="","",IF(MONTH(B90)=9,"X",""))</f>
        <v/>
      </c>
      <c r="S90" s="34" t="str">
        <f aca="false">IF(B90="","",IF(MONTH(B90)=10,"X",""))</f>
        <v>X</v>
      </c>
      <c r="T90" s="34" t="str">
        <f aca="false">IF(B90="","",IF(MONTH(B90)=11,"X",""))</f>
        <v/>
      </c>
      <c r="U90" s="34" t="str">
        <f aca="false">IF(B90="","",IF(MONTH(B90)=12,"X",""))</f>
        <v/>
      </c>
      <c r="V90" s="24" t="n">
        <f aca="false">IF(E90="","",COUNTIF($E$5:$E$1000,E90))</f>
        <v>20</v>
      </c>
      <c r="W90" s="35" t="str">
        <f aca="false">IF(E90="","",_xlfn.TEXTJOIN(" + ",TRUE(),IF(COUNTIFS($E$5:$E$1000,E90,$C$5:$C$1000,"Auditoría Interna")&gt;0,"Interna",""),IF(COUNTIFS($E$5:$E$1000,E90,$C$5:$C$1000,"Auditoría Externa")&gt;0,"Externa",""),IF(COUNTIFS($E$5:$E$1000,E90,$C$5:$C$1000,"SSF")&gt;0,"SSF",""),IF(COUNTIFS($E$5:$E$1000,E90,$C$5:$C$1000,"Comité de Supervisión")&gt;0,"Comité Sup.",""),IF(COUNTIFS($E$5:$E$1000,E90,$C$5:$C$1000,"Consejo de Administración")&gt;0,"Consejo",""),IF(COUNTIFS($E$5:$E$1000,E90,$C$5:$C$1000,"Otros")&gt;0,"Otros","")))</f>
        <v>Interna + Externa + SSF</v>
      </c>
      <c r="X90" s="24" t="n">
        <f aca="false">IF(E90="","",COUNTIFS($E$5:$E$1000,E90,$AB$5:$AB$1000,AB90,$C$5:$C$1000,"&lt;&gt;"&amp;C90))</f>
        <v>1</v>
      </c>
      <c r="Y90" s="20" t="s">
        <v>225</v>
      </c>
      <c r="Z90" s="8" t="n">
        <v>16</v>
      </c>
      <c r="AA90" s="36"/>
      <c r="AB90" s="37" t="n">
        <f aca="false">IF(B90="","",YEAR(B90)*100+MONTH(B90))</f>
        <v>202610</v>
      </c>
      <c r="AC90" s="37" t="str">
        <f aca="false">IF(AND(E90&lt;&gt;"",E90=Cruce!$C$5),COUNTIF($E$5:E90,E90),"")</f>
        <v/>
      </c>
      <c r="AD90" s="37" t="str">
        <f aca="false">IF(E90="","",C90&amp;"|"&amp;Y90&amp;"|"&amp;IF(B90="","s/f",TEXT(B90,"yyyymmdd")))</f>
        <v>Auditoría Interna|Auditoria interna 3|20261012</v>
      </c>
      <c r="AE90" s="37" t="n">
        <f aca="false">IF(E90="",0,IF(COUNTIFS($E$5:E90,E90,$AD$5:AD90,AD90)=1,1,0))</f>
        <v>0</v>
      </c>
    </row>
    <row r="91" customFormat="false" ht="45" hidden="false" customHeight="true" outlineLevel="0" collapsed="false">
      <c r="A91" s="8" t="n">
        <v>87</v>
      </c>
      <c r="B91" s="30" t="n">
        <v>46307</v>
      </c>
      <c r="C91" s="31" t="s">
        <v>129</v>
      </c>
      <c r="D91" s="31" t="s">
        <v>204</v>
      </c>
      <c r="E91" s="32" t="s">
        <v>104</v>
      </c>
      <c r="F91" s="32" t="s">
        <v>241</v>
      </c>
      <c r="G91" s="33" t="s">
        <v>157</v>
      </c>
      <c r="H91" s="31"/>
      <c r="I91" s="24" t="n">
        <f aca="false">IF(B91="","",YEAR(B91))</f>
        <v>2026</v>
      </c>
      <c r="J91" s="34" t="str">
        <f aca="false">IF(B91="","",IF(MONTH(B91)=1,"X",""))</f>
        <v/>
      </c>
      <c r="K91" s="34" t="str">
        <f aca="false">IF(B91="","",IF(MONTH(B91)=2,"X",""))</f>
        <v/>
      </c>
      <c r="L91" s="34" t="str">
        <f aca="false">IF(B91="","",IF(MONTH(B91)=3,"X",""))</f>
        <v/>
      </c>
      <c r="M91" s="34" t="str">
        <f aca="false">IF(B91="","",IF(MONTH(B91)=4,"X",""))</f>
        <v/>
      </c>
      <c r="N91" s="34" t="str">
        <f aca="false">IF(B91="","",IF(MONTH(B91)=5,"X",""))</f>
        <v/>
      </c>
      <c r="O91" s="34" t="str">
        <f aca="false">IF(B91="","",IF(MONTH(B91)=6,"X",""))</f>
        <v/>
      </c>
      <c r="P91" s="34" t="str">
        <f aca="false">IF(B91="","",IF(MONTH(B91)=7,"X",""))</f>
        <v/>
      </c>
      <c r="Q91" s="34" t="str">
        <f aca="false">IF(B91="","",IF(MONTH(B91)=8,"X",""))</f>
        <v/>
      </c>
      <c r="R91" s="34" t="str">
        <f aca="false">IF(B91="","",IF(MONTH(B91)=9,"X",""))</f>
        <v/>
      </c>
      <c r="S91" s="34" t="str">
        <f aca="false">IF(B91="","",IF(MONTH(B91)=10,"X",""))</f>
        <v>X</v>
      </c>
      <c r="T91" s="34" t="str">
        <f aca="false">IF(B91="","",IF(MONTH(B91)=11,"X",""))</f>
        <v/>
      </c>
      <c r="U91" s="34" t="str">
        <f aca="false">IF(B91="","",IF(MONTH(B91)=12,"X",""))</f>
        <v/>
      </c>
      <c r="V91" s="24" t="n">
        <f aca="false">IF(E91="","",COUNTIF($E$5:$E$1000,E91))</f>
        <v>20</v>
      </c>
      <c r="W91" s="35" t="str">
        <f aca="false">IF(E91="","",_xlfn.TEXTJOIN(" + ",TRUE(),IF(COUNTIFS($E$5:$E$1000,E91,$C$5:$C$1000,"Auditoría Interna")&gt;0,"Interna",""),IF(COUNTIFS($E$5:$E$1000,E91,$C$5:$C$1000,"Auditoría Externa")&gt;0,"Externa",""),IF(COUNTIFS($E$5:$E$1000,E91,$C$5:$C$1000,"SSF")&gt;0,"SSF",""),IF(COUNTIFS($E$5:$E$1000,E91,$C$5:$C$1000,"Comité de Supervisión")&gt;0,"Comité Sup.",""),IF(COUNTIFS($E$5:$E$1000,E91,$C$5:$C$1000,"Consejo de Administración")&gt;0,"Consejo",""),IF(COUNTIFS($E$5:$E$1000,E91,$C$5:$C$1000,"Otros")&gt;0,"Otros","")))</f>
        <v>Interna + Externa + SSF</v>
      </c>
      <c r="X91" s="24" t="n">
        <f aca="false">IF(E91="","",COUNTIFS($E$5:$E$1000,E91,$AB$5:$AB$1000,AB91,$C$5:$C$1000,"&lt;&gt;"&amp;C91))</f>
        <v>1</v>
      </c>
      <c r="Y91" s="20" t="s">
        <v>225</v>
      </c>
      <c r="Z91" s="8" t="n">
        <v>17</v>
      </c>
      <c r="AA91" s="36"/>
      <c r="AB91" s="37" t="n">
        <f aca="false">IF(B91="","",YEAR(B91)*100+MONTH(B91))</f>
        <v>202610</v>
      </c>
      <c r="AC91" s="37" t="str">
        <f aca="false">IF(AND(E91&lt;&gt;"",E91=Cruce!$C$5),COUNTIF($E$5:E91,E91),"")</f>
        <v/>
      </c>
      <c r="AD91" s="37" t="str">
        <f aca="false">IF(E91="","",C91&amp;"|"&amp;Y91&amp;"|"&amp;IF(B91="","s/f",TEXT(B91,"yyyymmdd")))</f>
        <v>Auditoría Interna|Auditoria interna 3|20261012</v>
      </c>
      <c r="AE91" s="37" t="n">
        <f aca="false">IF(E91="",0,IF(COUNTIFS($E$5:E91,E91,$AD$5:AD91,AD91)=1,1,0))</f>
        <v>0</v>
      </c>
    </row>
    <row r="92" customFormat="false" ht="45" hidden="false" customHeight="true" outlineLevel="0" collapsed="false">
      <c r="A92" s="8" t="n">
        <v>88</v>
      </c>
      <c r="B92" s="30" t="n">
        <v>46307</v>
      </c>
      <c r="C92" s="31" t="s">
        <v>129</v>
      </c>
      <c r="D92" s="31" t="s">
        <v>204</v>
      </c>
      <c r="E92" s="32" t="s">
        <v>104</v>
      </c>
      <c r="F92" s="32" t="s">
        <v>242</v>
      </c>
      <c r="G92" s="33" t="s">
        <v>157</v>
      </c>
      <c r="H92" s="31"/>
      <c r="I92" s="24" t="n">
        <f aca="false">IF(B92="","",YEAR(B92))</f>
        <v>2026</v>
      </c>
      <c r="J92" s="34" t="str">
        <f aca="false">IF(B92="","",IF(MONTH(B92)=1,"X",""))</f>
        <v/>
      </c>
      <c r="K92" s="34" t="str">
        <f aca="false">IF(B92="","",IF(MONTH(B92)=2,"X",""))</f>
        <v/>
      </c>
      <c r="L92" s="34" t="str">
        <f aca="false">IF(B92="","",IF(MONTH(B92)=3,"X",""))</f>
        <v/>
      </c>
      <c r="M92" s="34" t="str">
        <f aca="false">IF(B92="","",IF(MONTH(B92)=4,"X",""))</f>
        <v/>
      </c>
      <c r="N92" s="34" t="str">
        <f aca="false">IF(B92="","",IF(MONTH(B92)=5,"X",""))</f>
        <v/>
      </c>
      <c r="O92" s="34" t="str">
        <f aca="false">IF(B92="","",IF(MONTH(B92)=6,"X",""))</f>
        <v/>
      </c>
      <c r="P92" s="34" t="str">
        <f aca="false">IF(B92="","",IF(MONTH(B92)=7,"X",""))</f>
        <v/>
      </c>
      <c r="Q92" s="34" t="str">
        <f aca="false">IF(B92="","",IF(MONTH(B92)=8,"X",""))</f>
        <v/>
      </c>
      <c r="R92" s="34" t="str">
        <f aca="false">IF(B92="","",IF(MONTH(B92)=9,"X",""))</f>
        <v/>
      </c>
      <c r="S92" s="34" t="str">
        <f aca="false">IF(B92="","",IF(MONTH(B92)=10,"X",""))</f>
        <v>X</v>
      </c>
      <c r="T92" s="34" t="str">
        <f aca="false">IF(B92="","",IF(MONTH(B92)=11,"X",""))</f>
        <v/>
      </c>
      <c r="U92" s="34" t="str">
        <f aca="false">IF(B92="","",IF(MONTH(B92)=12,"X",""))</f>
        <v/>
      </c>
      <c r="V92" s="24" t="n">
        <f aca="false">IF(E92="","",COUNTIF($E$5:$E$1000,E92))</f>
        <v>20</v>
      </c>
      <c r="W92" s="35" t="str">
        <f aca="false">IF(E92="","",_xlfn.TEXTJOIN(" + ",TRUE(),IF(COUNTIFS($E$5:$E$1000,E92,$C$5:$C$1000,"Auditoría Interna")&gt;0,"Interna",""),IF(COUNTIFS($E$5:$E$1000,E92,$C$5:$C$1000,"Auditoría Externa")&gt;0,"Externa",""),IF(COUNTIFS($E$5:$E$1000,E92,$C$5:$C$1000,"SSF")&gt;0,"SSF",""),IF(COUNTIFS($E$5:$E$1000,E92,$C$5:$C$1000,"Comité de Supervisión")&gt;0,"Comité Sup.",""),IF(COUNTIFS($E$5:$E$1000,E92,$C$5:$C$1000,"Consejo de Administración")&gt;0,"Consejo",""),IF(COUNTIFS($E$5:$E$1000,E92,$C$5:$C$1000,"Otros")&gt;0,"Otros","")))</f>
        <v>Interna + Externa + SSF</v>
      </c>
      <c r="X92" s="24" t="n">
        <f aca="false">IF(E92="","",COUNTIFS($E$5:$E$1000,E92,$AB$5:$AB$1000,AB92,$C$5:$C$1000,"&lt;&gt;"&amp;C92))</f>
        <v>1</v>
      </c>
      <c r="Y92" s="20" t="s">
        <v>225</v>
      </c>
      <c r="Z92" s="8" t="n">
        <v>18</v>
      </c>
      <c r="AA92" s="36"/>
      <c r="AB92" s="37" t="n">
        <f aca="false">IF(B92="","",YEAR(B92)*100+MONTH(B92))</f>
        <v>202610</v>
      </c>
      <c r="AC92" s="37" t="str">
        <f aca="false">IF(AND(E92&lt;&gt;"",E92=Cruce!$C$5),COUNTIF($E$5:E92,E92),"")</f>
        <v/>
      </c>
      <c r="AD92" s="37" t="str">
        <f aca="false">IF(E92="","",C92&amp;"|"&amp;Y92&amp;"|"&amp;IF(B92="","s/f",TEXT(B92,"yyyymmdd")))</f>
        <v>Auditoría Interna|Auditoria interna 3|20261012</v>
      </c>
      <c r="AE92" s="37" t="n">
        <f aca="false">IF(E92="",0,IF(COUNTIFS($E$5:E92,E92,$AD$5:AD92,AD92)=1,1,0))</f>
        <v>0</v>
      </c>
    </row>
    <row r="93" customFormat="false" ht="45" hidden="false" customHeight="true" outlineLevel="0" collapsed="false">
      <c r="A93" s="8" t="n">
        <v>89</v>
      </c>
      <c r="B93" s="30" t="n">
        <v>46307</v>
      </c>
      <c r="C93" s="31" t="s">
        <v>129</v>
      </c>
      <c r="D93" s="31" t="s">
        <v>204</v>
      </c>
      <c r="E93" s="32" t="s">
        <v>104</v>
      </c>
      <c r="F93" s="32" t="s">
        <v>243</v>
      </c>
      <c r="G93" s="33" t="s">
        <v>157</v>
      </c>
      <c r="H93" s="31"/>
      <c r="I93" s="24" t="n">
        <f aca="false">IF(B93="","",YEAR(B93))</f>
        <v>2026</v>
      </c>
      <c r="J93" s="34" t="str">
        <f aca="false">IF(B93="","",IF(MONTH(B93)=1,"X",""))</f>
        <v/>
      </c>
      <c r="K93" s="34" t="str">
        <f aca="false">IF(B93="","",IF(MONTH(B93)=2,"X",""))</f>
        <v/>
      </c>
      <c r="L93" s="34" t="str">
        <f aca="false">IF(B93="","",IF(MONTH(B93)=3,"X",""))</f>
        <v/>
      </c>
      <c r="M93" s="34" t="str">
        <f aca="false">IF(B93="","",IF(MONTH(B93)=4,"X",""))</f>
        <v/>
      </c>
      <c r="N93" s="34" t="str">
        <f aca="false">IF(B93="","",IF(MONTH(B93)=5,"X",""))</f>
        <v/>
      </c>
      <c r="O93" s="34" t="str">
        <f aca="false">IF(B93="","",IF(MONTH(B93)=6,"X",""))</f>
        <v/>
      </c>
      <c r="P93" s="34" t="str">
        <f aca="false">IF(B93="","",IF(MONTH(B93)=7,"X",""))</f>
        <v/>
      </c>
      <c r="Q93" s="34" t="str">
        <f aca="false">IF(B93="","",IF(MONTH(B93)=8,"X",""))</f>
        <v/>
      </c>
      <c r="R93" s="34" t="str">
        <f aca="false">IF(B93="","",IF(MONTH(B93)=9,"X",""))</f>
        <v/>
      </c>
      <c r="S93" s="34" t="str">
        <f aca="false">IF(B93="","",IF(MONTH(B93)=10,"X",""))</f>
        <v>X</v>
      </c>
      <c r="T93" s="34" t="str">
        <f aca="false">IF(B93="","",IF(MONTH(B93)=11,"X",""))</f>
        <v/>
      </c>
      <c r="U93" s="34" t="str">
        <f aca="false">IF(B93="","",IF(MONTH(B93)=12,"X",""))</f>
        <v/>
      </c>
      <c r="V93" s="24" t="n">
        <f aca="false">IF(E93="","",COUNTIF($E$5:$E$1000,E93))</f>
        <v>20</v>
      </c>
      <c r="W93" s="35" t="str">
        <f aca="false">IF(E93="","",_xlfn.TEXTJOIN(" + ",TRUE(),IF(COUNTIFS($E$5:$E$1000,E93,$C$5:$C$1000,"Auditoría Interna")&gt;0,"Interna",""),IF(COUNTIFS($E$5:$E$1000,E93,$C$5:$C$1000,"Auditoría Externa")&gt;0,"Externa",""),IF(COUNTIFS($E$5:$E$1000,E93,$C$5:$C$1000,"SSF")&gt;0,"SSF",""),IF(COUNTIFS($E$5:$E$1000,E93,$C$5:$C$1000,"Comité de Supervisión")&gt;0,"Comité Sup.",""),IF(COUNTIFS($E$5:$E$1000,E93,$C$5:$C$1000,"Consejo de Administración")&gt;0,"Consejo",""),IF(COUNTIFS($E$5:$E$1000,E93,$C$5:$C$1000,"Otros")&gt;0,"Otros","")))</f>
        <v>Interna + Externa + SSF</v>
      </c>
      <c r="X93" s="24" t="n">
        <f aca="false">IF(E93="","",COUNTIFS($E$5:$E$1000,E93,$AB$5:$AB$1000,AB93,$C$5:$C$1000,"&lt;&gt;"&amp;C93))</f>
        <v>1</v>
      </c>
      <c r="Y93" s="20" t="s">
        <v>225</v>
      </c>
      <c r="Z93" s="8" t="n">
        <v>19</v>
      </c>
      <c r="AA93" s="36"/>
      <c r="AB93" s="37" t="n">
        <f aca="false">IF(B93="","",YEAR(B93)*100+MONTH(B93))</f>
        <v>202610</v>
      </c>
      <c r="AC93" s="37" t="str">
        <f aca="false">IF(AND(E93&lt;&gt;"",E93=Cruce!$C$5),COUNTIF($E$5:E93,E93),"")</f>
        <v/>
      </c>
      <c r="AD93" s="37" t="str">
        <f aca="false">IF(E93="","",C93&amp;"|"&amp;Y93&amp;"|"&amp;IF(B93="","s/f",TEXT(B93,"yyyymmdd")))</f>
        <v>Auditoría Interna|Auditoria interna 3|20261012</v>
      </c>
      <c r="AE93" s="37" t="n">
        <f aca="false">IF(E93="",0,IF(COUNTIFS($E$5:E93,E93,$AD$5:AD93,AD93)=1,1,0))</f>
        <v>0</v>
      </c>
    </row>
    <row r="94" customFormat="false" ht="45" hidden="false" customHeight="true" outlineLevel="0" collapsed="false">
      <c r="A94" s="8" t="n">
        <v>90</v>
      </c>
      <c r="B94" s="30"/>
      <c r="C94" s="31" t="s">
        <v>9</v>
      </c>
      <c r="D94" s="31" t="s">
        <v>244</v>
      </c>
      <c r="E94" s="32" t="s">
        <v>245</v>
      </c>
      <c r="F94" s="32" t="s">
        <v>246</v>
      </c>
      <c r="G94" s="33"/>
      <c r="H94" s="31"/>
      <c r="I94" s="24" t="str">
        <f aca="false">IF(B94="","",YEAR(B94))</f>
        <v/>
      </c>
      <c r="J94" s="34" t="str">
        <f aca="false">IF(B94="","",IF(MONTH(B94)=1,"X",""))</f>
        <v/>
      </c>
      <c r="K94" s="34" t="str">
        <f aca="false">IF(B94="","",IF(MONTH(B94)=2,"X",""))</f>
        <v/>
      </c>
      <c r="L94" s="34" t="str">
        <f aca="false">IF(B94="","",IF(MONTH(B94)=3,"X",""))</f>
        <v/>
      </c>
      <c r="M94" s="34" t="str">
        <f aca="false">IF(B94="","",IF(MONTH(B94)=4,"X",""))</f>
        <v/>
      </c>
      <c r="N94" s="34" t="str">
        <f aca="false">IF(B94="","",IF(MONTH(B94)=5,"X",""))</f>
        <v/>
      </c>
      <c r="O94" s="34" t="str">
        <f aca="false">IF(B94="","",IF(MONTH(B94)=6,"X",""))</f>
        <v/>
      </c>
      <c r="P94" s="34" t="str">
        <f aca="false">IF(B94="","",IF(MONTH(B94)=7,"X",""))</f>
        <v/>
      </c>
      <c r="Q94" s="34" t="str">
        <f aca="false">IF(B94="","",IF(MONTH(B94)=8,"X",""))</f>
        <v/>
      </c>
      <c r="R94" s="34" t="str">
        <f aca="false">IF(B94="","",IF(MONTH(B94)=9,"X",""))</f>
        <v/>
      </c>
      <c r="S94" s="34" t="str">
        <f aca="false">IF(B94="","",IF(MONTH(B94)=10,"X",""))</f>
        <v/>
      </c>
      <c r="T94" s="34" t="str">
        <f aca="false">IF(B94="","",IF(MONTH(B94)=11,"X",""))</f>
        <v/>
      </c>
      <c r="U94" s="34" t="str">
        <f aca="false">IF(B94="","",IF(MONTH(B94)=12,"X",""))</f>
        <v/>
      </c>
      <c r="V94" s="24" t="n">
        <f aca="false">IF(E94="","",COUNTIF($E$5:$E$1000,E94))</f>
        <v>1</v>
      </c>
      <c r="W94" s="35" t="str">
        <f aca="false">IF(E94="","",_xlfn.TEXTJOIN(" + ",TRUE(),IF(COUNTIFS($E$5:$E$1000,E94,$C$5:$C$1000,"Auditoría Interna")&gt;0,"Interna",""),IF(COUNTIFS($E$5:$E$1000,E94,$C$5:$C$1000,"Auditoría Externa")&gt;0,"Externa",""),IF(COUNTIFS($E$5:$E$1000,E94,$C$5:$C$1000,"SSF")&gt;0,"SSF",""),IF(COUNTIFS($E$5:$E$1000,E94,$C$5:$C$1000,"Comité de Supervisión")&gt;0,"Comité Sup.",""),IF(COUNTIFS($E$5:$E$1000,E94,$C$5:$C$1000,"Consejo de Administración")&gt;0,"Consejo",""),IF(COUNTIFS($E$5:$E$1000,E94,$C$5:$C$1000,"Otros")&gt;0,"Otros","")))</f>
        <v>SSF</v>
      </c>
      <c r="X94" s="24" t="n">
        <f aca="false">IF(E94="","",COUNTIFS($E$5:$E$1000,E94,$AB$5:$AB$1000,AB94,$C$5:$C$1000,"&lt;&gt;"&amp;C94))</f>
        <v>0</v>
      </c>
      <c r="Y94" s="20" t="s">
        <v>73</v>
      </c>
      <c r="Z94" s="8" t="n">
        <v>12</v>
      </c>
      <c r="AA94" s="36" t="s">
        <v>247</v>
      </c>
      <c r="AB94" s="37" t="str">
        <f aca="false">IF(B94="","",YEAR(B94)*100+MONTH(B94))</f>
        <v/>
      </c>
      <c r="AC94" s="37" t="str">
        <f aca="false">IF(AND(E94&lt;&gt;"",E94=Cruce!$C$5),COUNTIF($E$5:E94,E94),"")</f>
        <v/>
      </c>
      <c r="AD94" s="37" t="str">
        <f aca="false">IF(E94="","",C94&amp;"|"&amp;Y94&amp;"|"&amp;IF(B94="","s/f",TEXT(B94,"yyyymmdd")))</f>
        <v>SSF|Resumen visita presencialSSF|s/f</v>
      </c>
      <c r="AE94" s="37" t="n">
        <f aca="false">IF(E94="",0,IF(COUNTIFS($E$5:E94,E94,$AD$5:AD94,AD94)=1,1,0))</f>
        <v>1</v>
      </c>
    </row>
    <row r="95" customFormat="false" ht="15" hidden="false" customHeight="true" outlineLevel="0" collapsed="false">
      <c r="A95" s="31"/>
      <c r="B95" s="30"/>
      <c r="C95" s="31"/>
      <c r="D95" s="31"/>
      <c r="E95" s="32"/>
      <c r="F95" s="32"/>
      <c r="G95" s="33"/>
      <c r="H95" s="31"/>
      <c r="I95" s="24" t="str">
        <f aca="false">IF(B95="","",YEAR(B95))</f>
        <v/>
      </c>
      <c r="J95" s="34" t="str">
        <f aca="false">IF(B95="","",IF(MONTH(B95)=1,"X",""))</f>
        <v/>
      </c>
      <c r="K95" s="34" t="str">
        <f aca="false">IF(B95="","",IF(MONTH(B95)=2,"X",""))</f>
        <v/>
      </c>
      <c r="L95" s="34" t="str">
        <f aca="false">IF(B95="","",IF(MONTH(B95)=3,"X",""))</f>
        <v/>
      </c>
      <c r="M95" s="34" t="str">
        <f aca="false">IF(B95="","",IF(MONTH(B95)=4,"X",""))</f>
        <v/>
      </c>
      <c r="N95" s="34" t="str">
        <f aca="false">IF(B95="","",IF(MONTH(B95)=5,"X",""))</f>
        <v/>
      </c>
      <c r="O95" s="34" t="str">
        <f aca="false">IF(B95="","",IF(MONTH(B95)=6,"X",""))</f>
        <v/>
      </c>
      <c r="P95" s="34" t="str">
        <f aca="false">IF(B95="","",IF(MONTH(B95)=7,"X",""))</f>
        <v/>
      </c>
      <c r="Q95" s="34" t="str">
        <f aca="false">IF(B95="","",IF(MONTH(B95)=8,"X",""))</f>
        <v/>
      </c>
      <c r="R95" s="34" t="str">
        <f aca="false">IF(B95="","",IF(MONTH(B95)=9,"X",""))</f>
        <v/>
      </c>
      <c r="S95" s="34" t="str">
        <f aca="false">IF(B95="","",IF(MONTH(B95)=10,"X",""))</f>
        <v/>
      </c>
      <c r="T95" s="34" t="str">
        <f aca="false">IF(B95="","",IF(MONTH(B95)=11,"X",""))</f>
        <v/>
      </c>
      <c r="U95" s="34" t="str">
        <f aca="false">IF(B95="","",IF(MONTH(B95)=12,"X",""))</f>
        <v/>
      </c>
      <c r="V95" s="24" t="str">
        <f aca="false">IF(E95="","",COUNTIF($E$5:$E$1000,E95))</f>
        <v/>
      </c>
      <c r="W95" s="35" t="str">
        <f aca="false">IF(E95="","",_xlfn.TEXTJOIN(" + ",TRUE(),IF(COUNTIFS($E$5:$E$1000,E95,$C$5:$C$1000,"Auditoría Interna")&gt;0,"Interna",""),IF(COUNTIFS($E$5:$E$1000,E95,$C$5:$C$1000,"Auditoría Externa")&gt;0,"Externa",""),IF(COUNTIFS($E$5:$E$1000,E95,$C$5:$C$1000,"SSF")&gt;0,"SSF",""),IF(COUNTIFS($E$5:$E$1000,E95,$C$5:$C$1000,"Comité de Supervisión")&gt;0,"Comité Sup.",""),IF(COUNTIFS($E$5:$E$1000,E95,$C$5:$C$1000,"Consejo de Administración")&gt;0,"Consejo",""),IF(COUNTIFS($E$5:$E$1000,E95,$C$5:$C$1000,"Otros")&gt;0,"Otros","")))</f>
        <v/>
      </c>
      <c r="X95" s="24" t="str">
        <f aca="false">IF(E95="","",COUNTIFS($E$5:$E$1000,E95,$AB$5:$AB$1000,AB95,$C$5:$C$1000,"&lt;&gt;"&amp;C95))</f>
        <v/>
      </c>
      <c r="Y95" s="33"/>
      <c r="Z95" s="31"/>
      <c r="AA95" s="33"/>
      <c r="AB95" s="37" t="str">
        <f aca="false">IF(B95="","",YEAR(B95)*100+MONTH(B95))</f>
        <v/>
      </c>
      <c r="AC95" s="37" t="str">
        <f aca="false">IF(AND(E95&lt;&gt;"",E95=Cruce!$C$5),COUNTIF($E$5:E95,E95),"")</f>
        <v/>
      </c>
      <c r="AD95" s="37" t="str">
        <f aca="false">IF(E95="","",C95&amp;"|"&amp;Y95&amp;"|"&amp;IF(B95="","s/f",TEXT(B95,"yyyymmdd")))</f>
        <v/>
      </c>
      <c r="AE95" s="37" t="n">
        <f aca="false">IF(E95="",0,IF(COUNTIFS($E$5:E95,E95,$AD$5:AD95,AD95)=1,1,0))</f>
        <v>0</v>
      </c>
    </row>
    <row r="96" customFormat="false" ht="15" hidden="false" customHeight="true" outlineLevel="0" collapsed="false">
      <c r="A96" s="31"/>
      <c r="B96" s="30"/>
      <c r="C96" s="31"/>
      <c r="D96" s="31"/>
      <c r="E96" s="32"/>
      <c r="F96" s="32"/>
      <c r="G96" s="33"/>
      <c r="H96" s="31"/>
      <c r="I96" s="24" t="str">
        <f aca="false">IF(B96="","",YEAR(B96))</f>
        <v/>
      </c>
      <c r="J96" s="34" t="str">
        <f aca="false">IF(B96="","",IF(MONTH(B96)=1,"X",""))</f>
        <v/>
      </c>
      <c r="K96" s="34" t="str">
        <f aca="false">IF(B96="","",IF(MONTH(B96)=2,"X",""))</f>
        <v/>
      </c>
      <c r="L96" s="34" t="str">
        <f aca="false">IF(B96="","",IF(MONTH(B96)=3,"X",""))</f>
        <v/>
      </c>
      <c r="M96" s="34" t="str">
        <f aca="false">IF(B96="","",IF(MONTH(B96)=4,"X",""))</f>
        <v/>
      </c>
      <c r="N96" s="34" t="str">
        <f aca="false">IF(B96="","",IF(MONTH(B96)=5,"X",""))</f>
        <v/>
      </c>
      <c r="O96" s="34" t="str">
        <f aca="false">IF(B96="","",IF(MONTH(B96)=6,"X",""))</f>
        <v/>
      </c>
      <c r="P96" s="34" t="str">
        <f aca="false">IF(B96="","",IF(MONTH(B96)=7,"X",""))</f>
        <v/>
      </c>
      <c r="Q96" s="34" t="str">
        <f aca="false">IF(B96="","",IF(MONTH(B96)=8,"X",""))</f>
        <v/>
      </c>
      <c r="R96" s="34" t="str">
        <f aca="false">IF(B96="","",IF(MONTH(B96)=9,"X",""))</f>
        <v/>
      </c>
      <c r="S96" s="34" t="str">
        <f aca="false">IF(B96="","",IF(MONTH(B96)=10,"X",""))</f>
        <v/>
      </c>
      <c r="T96" s="34" t="str">
        <f aca="false">IF(B96="","",IF(MONTH(B96)=11,"X",""))</f>
        <v/>
      </c>
      <c r="U96" s="34" t="str">
        <f aca="false">IF(B96="","",IF(MONTH(B96)=12,"X",""))</f>
        <v/>
      </c>
      <c r="V96" s="24" t="str">
        <f aca="false">IF(E96="","",COUNTIF($E$5:$E$1000,E96))</f>
        <v/>
      </c>
      <c r="W96" s="35" t="str">
        <f aca="false">IF(E96="","",_xlfn.TEXTJOIN(" + ",TRUE(),IF(COUNTIFS($E$5:$E$1000,E96,$C$5:$C$1000,"Auditoría Interna")&gt;0,"Interna",""),IF(COUNTIFS($E$5:$E$1000,E96,$C$5:$C$1000,"Auditoría Externa")&gt;0,"Externa",""),IF(COUNTIFS($E$5:$E$1000,E96,$C$5:$C$1000,"SSF")&gt;0,"SSF",""),IF(COUNTIFS($E$5:$E$1000,E96,$C$5:$C$1000,"Comité de Supervisión")&gt;0,"Comité Sup.",""),IF(COUNTIFS($E$5:$E$1000,E96,$C$5:$C$1000,"Consejo de Administración")&gt;0,"Consejo",""),IF(COUNTIFS($E$5:$E$1000,E96,$C$5:$C$1000,"Otros")&gt;0,"Otros","")))</f>
        <v/>
      </c>
      <c r="X96" s="24" t="str">
        <f aca="false">IF(E96="","",COUNTIFS($E$5:$E$1000,E96,$AB$5:$AB$1000,AB96,$C$5:$C$1000,"&lt;&gt;"&amp;C96))</f>
        <v/>
      </c>
      <c r="Y96" s="33"/>
      <c r="Z96" s="31"/>
      <c r="AA96" s="33"/>
      <c r="AB96" s="37" t="str">
        <f aca="false">IF(B96="","",YEAR(B96)*100+MONTH(B96))</f>
        <v/>
      </c>
      <c r="AC96" s="37" t="str">
        <f aca="false">IF(AND(E96&lt;&gt;"",E96=Cruce!$C$5),COUNTIF($E$5:E96,E96),"")</f>
        <v/>
      </c>
      <c r="AD96" s="37" t="str">
        <f aca="false">IF(E96="","",C96&amp;"|"&amp;Y96&amp;"|"&amp;IF(B96="","s/f",TEXT(B96,"yyyymmdd")))</f>
        <v/>
      </c>
      <c r="AE96" s="37" t="n">
        <f aca="false">IF(E96="",0,IF(COUNTIFS($E$5:E96,E96,$AD$5:AD96,AD96)=1,1,0))</f>
        <v>0</v>
      </c>
    </row>
    <row r="97" customFormat="false" ht="15" hidden="false" customHeight="true" outlineLevel="0" collapsed="false">
      <c r="A97" s="31"/>
      <c r="B97" s="30"/>
      <c r="C97" s="31"/>
      <c r="D97" s="31"/>
      <c r="E97" s="32"/>
      <c r="F97" s="32"/>
      <c r="G97" s="33"/>
      <c r="H97" s="31"/>
      <c r="I97" s="24" t="str">
        <f aca="false">IF(B97="","",YEAR(B97))</f>
        <v/>
      </c>
      <c r="J97" s="34" t="str">
        <f aca="false">IF(B97="","",IF(MONTH(B97)=1,"X",""))</f>
        <v/>
      </c>
      <c r="K97" s="34" t="str">
        <f aca="false">IF(B97="","",IF(MONTH(B97)=2,"X",""))</f>
        <v/>
      </c>
      <c r="L97" s="34" t="str">
        <f aca="false">IF(B97="","",IF(MONTH(B97)=3,"X",""))</f>
        <v/>
      </c>
      <c r="M97" s="34" t="str">
        <f aca="false">IF(B97="","",IF(MONTH(B97)=4,"X",""))</f>
        <v/>
      </c>
      <c r="N97" s="34" t="str">
        <f aca="false">IF(B97="","",IF(MONTH(B97)=5,"X",""))</f>
        <v/>
      </c>
      <c r="O97" s="34" t="str">
        <f aca="false">IF(B97="","",IF(MONTH(B97)=6,"X",""))</f>
        <v/>
      </c>
      <c r="P97" s="34" t="str">
        <f aca="false">IF(B97="","",IF(MONTH(B97)=7,"X",""))</f>
        <v/>
      </c>
      <c r="Q97" s="34" t="str">
        <f aca="false">IF(B97="","",IF(MONTH(B97)=8,"X",""))</f>
        <v/>
      </c>
      <c r="R97" s="34" t="str">
        <f aca="false">IF(B97="","",IF(MONTH(B97)=9,"X",""))</f>
        <v/>
      </c>
      <c r="S97" s="34" t="str">
        <f aca="false">IF(B97="","",IF(MONTH(B97)=10,"X",""))</f>
        <v/>
      </c>
      <c r="T97" s="34" t="str">
        <f aca="false">IF(B97="","",IF(MONTH(B97)=11,"X",""))</f>
        <v/>
      </c>
      <c r="U97" s="34" t="str">
        <f aca="false">IF(B97="","",IF(MONTH(B97)=12,"X",""))</f>
        <v/>
      </c>
      <c r="V97" s="24" t="str">
        <f aca="false">IF(E97="","",COUNTIF($E$5:$E$1000,E97))</f>
        <v/>
      </c>
      <c r="W97" s="35" t="str">
        <f aca="false">IF(E97="","",_xlfn.TEXTJOIN(" + ",TRUE(),IF(COUNTIFS($E$5:$E$1000,E97,$C$5:$C$1000,"Auditoría Interna")&gt;0,"Interna",""),IF(COUNTIFS($E$5:$E$1000,E97,$C$5:$C$1000,"Auditoría Externa")&gt;0,"Externa",""),IF(COUNTIFS($E$5:$E$1000,E97,$C$5:$C$1000,"SSF")&gt;0,"SSF",""),IF(COUNTIFS($E$5:$E$1000,E97,$C$5:$C$1000,"Comité de Supervisión")&gt;0,"Comité Sup.",""),IF(COUNTIFS($E$5:$E$1000,E97,$C$5:$C$1000,"Consejo de Administración")&gt;0,"Consejo",""),IF(COUNTIFS($E$5:$E$1000,E97,$C$5:$C$1000,"Otros")&gt;0,"Otros","")))</f>
        <v/>
      </c>
      <c r="X97" s="24" t="str">
        <f aca="false">IF(E97="","",COUNTIFS($E$5:$E$1000,E97,$AB$5:$AB$1000,AB97,$C$5:$C$1000,"&lt;&gt;"&amp;C97))</f>
        <v/>
      </c>
      <c r="Y97" s="33"/>
      <c r="Z97" s="31"/>
      <c r="AA97" s="33"/>
      <c r="AB97" s="37" t="str">
        <f aca="false">IF(B97="","",YEAR(B97)*100+MONTH(B97))</f>
        <v/>
      </c>
      <c r="AC97" s="37" t="str">
        <f aca="false">IF(AND(E97&lt;&gt;"",E97=Cruce!$C$5),COUNTIF($E$5:E97,E97),"")</f>
        <v/>
      </c>
      <c r="AD97" s="37" t="str">
        <f aca="false">IF(E97="","",C97&amp;"|"&amp;Y97&amp;"|"&amp;IF(B97="","s/f",TEXT(B97,"yyyymmdd")))</f>
        <v/>
      </c>
      <c r="AE97" s="37" t="n">
        <f aca="false">IF(E97="",0,IF(COUNTIFS($E$5:E97,E97,$AD$5:AD97,AD97)=1,1,0))</f>
        <v>0</v>
      </c>
    </row>
    <row r="98" customFormat="false" ht="15" hidden="false" customHeight="true" outlineLevel="0" collapsed="false">
      <c r="A98" s="31"/>
      <c r="B98" s="30"/>
      <c r="C98" s="31"/>
      <c r="D98" s="31"/>
      <c r="E98" s="32"/>
      <c r="F98" s="32"/>
      <c r="G98" s="33"/>
      <c r="H98" s="31"/>
      <c r="I98" s="24" t="str">
        <f aca="false">IF(B98="","",YEAR(B98))</f>
        <v/>
      </c>
      <c r="J98" s="34" t="str">
        <f aca="false">IF(B98="","",IF(MONTH(B98)=1,"X",""))</f>
        <v/>
      </c>
      <c r="K98" s="34" t="str">
        <f aca="false">IF(B98="","",IF(MONTH(B98)=2,"X",""))</f>
        <v/>
      </c>
      <c r="L98" s="34" t="str">
        <f aca="false">IF(B98="","",IF(MONTH(B98)=3,"X",""))</f>
        <v/>
      </c>
      <c r="M98" s="34" t="str">
        <f aca="false">IF(B98="","",IF(MONTH(B98)=4,"X",""))</f>
        <v/>
      </c>
      <c r="N98" s="34" t="str">
        <f aca="false">IF(B98="","",IF(MONTH(B98)=5,"X",""))</f>
        <v/>
      </c>
      <c r="O98" s="34" t="str">
        <f aca="false">IF(B98="","",IF(MONTH(B98)=6,"X",""))</f>
        <v/>
      </c>
      <c r="P98" s="34" t="str">
        <f aca="false">IF(B98="","",IF(MONTH(B98)=7,"X",""))</f>
        <v/>
      </c>
      <c r="Q98" s="34" t="str">
        <f aca="false">IF(B98="","",IF(MONTH(B98)=8,"X",""))</f>
        <v/>
      </c>
      <c r="R98" s="34" t="str">
        <f aca="false">IF(B98="","",IF(MONTH(B98)=9,"X",""))</f>
        <v/>
      </c>
      <c r="S98" s="34" t="str">
        <f aca="false">IF(B98="","",IF(MONTH(B98)=10,"X",""))</f>
        <v/>
      </c>
      <c r="T98" s="34" t="str">
        <f aca="false">IF(B98="","",IF(MONTH(B98)=11,"X",""))</f>
        <v/>
      </c>
      <c r="U98" s="34" t="str">
        <f aca="false">IF(B98="","",IF(MONTH(B98)=12,"X",""))</f>
        <v/>
      </c>
      <c r="V98" s="24" t="str">
        <f aca="false">IF(E98="","",COUNTIF($E$5:$E$1000,E98))</f>
        <v/>
      </c>
      <c r="W98" s="35" t="str">
        <f aca="false">IF(E98="","",_xlfn.TEXTJOIN(" + ",TRUE(),IF(COUNTIFS($E$5:$E$1000,E98,$C$5:$C$1000,"Auditoría Interna")&gt;0,"Interna",""),IF(COUNTIFS($E$5:$E$1000,E98,$C$5:$C$1000,"Auditoría Externa")&gt;0,"Externa",""),IF(COUNTIFS($E$5:$E$1000,E98,$C$5:$C$1000,"SSF")&gt;0,"SSF",""),IF(COUNTIFS($E$5:$E$1000,E98,$C$5:$C$1000,"Comité de Supervisión")&gt;0,"Comité Sup.",""),IF(COUNTIFS($E$5:$E$1000,E98,$C$5:$C$1000,"Consejo de Administración")&gt;0,"Consejo",""),IF(COUNTIFS($E$5:$E$1000,E98,$C$5:$C$1000,"Otros")&gt;0,"Otros","")))</f>
        <v/>
      </c>
      <c r="X98" s="24" t="str">
        <f aca="false">IF(E98="","",COUNTIFS($E$5:$E$1000,E98,$AB$5:$AB$1000,AB98,$C$5:$C$1000,"&lt;&gt;"&amp;C98))</f>
        <v/>
      </c>
      <c r="Y98" s="33"/>
      <c r="Z98" s="31"/>
      <c r="AA98" s="33"/>
      <c r="AB98" s="37" t="str">
        <f aca="false">IF(B98="","",YEAR(B98)*100+MONTH(B98))</f>
        <v/>
      </c>
      <c r="AC98" s="37" t="str">
        <f aca="false">IF(AND(E98&lt;&gt;"",E98=Cruce!$C$5),COUNTIF($E$5:E98,E98),"")</f>
        <v/>
      </c>
      <c r="AD98" s="37" t="str">
        <f aca="false">IF(E98="","",C98&amp;"|"&amp;Y98&amp;"|"&amp;IF(B98="","s/f",TEXT(B98,"yyyymmdd")))</f>
        <v/>
      </c>
      <c r="AE98" s="37" t="n">
        <f aca="false">IF(E98="",0,IF(COUNTIFS($E$5:E98,E98,$AD$5:AD98,AD98)=1,1,0))</f>
        <v>0</v>
      </c>
    </row>
    <row r="99" customFormat="false" ht="15" hidden="false" customHeight="true" outlineLevel="0" collapsed="false">
      <c r="A99" s="31"/>
      <c r="B99" s="30"/>
      <c r="C99" s="31"/>
      <c r="D99" s="31"/>
      <c r="E99" s="32"/>
      <c r="F99" s="32"/>
      <c r="G99" s="33"/>
      <c r="H99" s="31"/>
      <c r="I99" s="24" t="str">
        <f aca="false">IF(B99="","",YEAR(B99))</f>
        <v/>
      </c>
      <c r="J99" s="34" t="str">
        <f aca="false">IF(B99="","",IF(MONTH(B99)=1,"X",""))</f>
        <v/>
      </c>
      <c r="K99" s="34" t="str">
        <f aca="false">IF(B99="","",IF(MONTH(B99)=2,"X",""))</f>
        <v/>
      </c>
      <c r="L99" s="34" t="str">
        <f aca="false">IF(B99="","",IF(MONTH(B99)=3,"X",""))</f>
        <v/>
      </c>
      <c r="M99" s="34" t="str">
        <f aca="false">IF(B99="","",IF(MONTH(B99)=4,"X",""))</f>
        <v/>
      </c>
      <c r="N99" s="34" t="str">
        <f aca="false">IF(B99="","",IF(MONTH(B99)=5,"X",""))</f>
        <v/>
      </c>
      <c r="O99" s="34" t="str">
        <f aca="false">IF(B99="","",IF(MONTH(B99)=6,"X",""))</f>
        <v/>
      </c>
      <c r="P99" s="34" t="str">
        <f aca="false">IF(B99="","",IF(MONTH(B99)=7,"X",""))</f>
        <v/>
      </c>
      <c r="Q99" s="34" t="str">
        <f aca="false">IF(B99="","",IF(MONTH(B99)=8,"X",""))</f>
        <v/>
      </c>
      <c r="R99" s="34" t="str">
        <f aca="false">IF(B99="","",IF(MONTH(B99)=9,"X",""))</f>
        <v/>
      </c>
      <c r="S99" s="34" t="str">
        <f aca="false">IF(B99="","",IF(MONTH(B99)=10,"X",""))</f>
        <v/>
      </c>
      <c r="T99" s="34" t="str">
        <f aca="false">IF(B99="","",IF(MONTH(B99)=11,"X",""))</f>
        <v/>
      </c>
      <c r="U99" s="34" t="str">
        <f aca="false">IF(B99="","",IF(MONTH(B99)=12,"X",""))</f>
        <v/>
      </c>
      <c r="V99" s="24" t="str">
        <f aca="false">IF(E99="","",COUNTIF($E$5:$E$1000,E99))</f>
        <v/>
      </c>
      <c r="W99" s="35" t="str">
        <f aca="false">IF(E99="","",_xlfn.TEXTJOIN(" + ",TRUE(),IF(COUNTIFS($E$5:$E$1000,E99,$C$5:$C$1000,"Auditoría Interna")&gt;0,"Interna",""),IF(COUNTIFS($E$5:$E$1000,E99,$C$5:$C$1000,"Auditoría Externa")&gt;0,"Externa",""),IF(COUNTIFS($E$5:$E$1000,E99,$C$5:$C$1000,"SSF")&gt;0,"SSF",""),IF(COUNTIFS($E$5:$E$1000,E99,$C$5:$C$1000,"Comité de Supervisión")&gt;0,"Comité Sup.",""),IF(COUNTIFS($E$5:$E$1000,E99,$C$5:$C$1000,"Consejo de Administración")&gt;0,"Consejo",""),IF(COUNTIFS($E$5:$E$1000,E99,$C$5:$C$1000,"Otros")&gt;0,"Otros","")))</f>
        <v/>
      </c>
      <c r="X99" s="24" t="str">
        <f aca="false">IF(E99="","",COUNTIFS($E$5:$E$1000,E99,$AB$5:$AB$1000,AB99,$C$5:$C$1000,"&lt;&gt;"&amp;C99))</f>
        <v/>
      </c>
      <c r="Y99" s="33"/>
      <c r="Z99" s="31"/>
      <c r="AA99" s="33"/>
      <c r="AB99" s="37" t="str">
        <f aca="false">IF(B99="","",YEAR(B99)*100+MONTH(B99))</f>
        <v/>
      </c>
      <c r="AC99" s="37" t="str">
        <f aca="false">IF(AND(E99&lt;&gt;"",E99=Cruce!$C$5),COUNTIF($E$5:E99,E99),"")</f>
        <v/>
      </c>
      <c r="AD99" s="37" t="str">
        <f aca="false">IF(E99="","",C99&amp;"|"&amp;Y99&amp;"|"&amp;IF(B99="","s/f",TEXT(B99,"yyyymmdd")))</f>
        <v/>
      </c>
      <c r="AE99" s="37" t="n">
        <f aca="false">IF(E99="",0,IF(COUNTIFS($E$5:E99,E99,$AD$5:AD99,AD99)=1,1,0))</f>
        <v>0</v>
      </c>
    </row>
    <row r="100" customFormat="false" ht="15" hidden="false" customHeight="true" outlineLevel="0" collapsed="false">
      <c r="A100" s="31"/>
      <c r="B100" s="30"/>
      <c r="C100" s="31"/>
      <c r="D100" s="31"/>
      <c r="E100" s="32"/>
      <c r="F100" s="32"/>
      <c r="G100" s="33"/>
      <c r="H100" s="31"/>
      <c r="I100" s="24" t="str">
        <f aca="false">IF(B100="","",YEAR(B100))</f>
        <v/>
      </c>
      <c r="J100" s="34" t="str">
        <f aca="false">IF(B100="","",IF(MONTH(B100)=1,"X",""))</f>
        <v/>
      </c>
      <c r="K100" s="34" t="str">
        <f aca="false">IF(B100="","",IF(MONTH(B100)=2,"X",""))</f>
        <v/>
      </c>
      <c r="L100" s="34" t="str">
        <f aca="false">IF(B100="","",IF(MONTH(B100)=3,"X",""))</f>
        <v/>
      </c>
      <c r="M100" s="34" t="str">
        <f aca="false">IF(B100="","",IF(MONTH(B100)=4,"X",""))</f>
        <v/>
      </c>
      <c r="N100" s="34" t="str">
        <f aca="false">IF(B100="","",IF(MONTH(B100)=5,"X",""))</f>
        <v/>
      </c>
      <c r="O100" s="34" t="str">
        <f aca="false">IF(B100="","",IF(MONTH(B100)=6,"X",""))</f>
        <v/>
      </c>
      <c r="P100" s="34" t="str">
        <f aca="false">IF(B100="","",IF(MONTH(B100)=7,"X",""))</f>
        <v/>
      </c>
      <c r="Q100" s="34" t="str">
        <f aca="false">IF(B100="","",IF(MONTH(B100)=8,"X",""))</f>
        <v/>
      </c>
      <c r="R100" s="34" t="str">
        <f aca="false">IF(B100="","",IF(MONTH(B100)=9,"X",""))</f>
        <v/>
      </c>
      <c r="S100" s="34" t="str">
        <f aca="false">IF(B100="","",IF(MONTH(B100)=10,"X",""))</f>
        <v/>
      </c>
      <c r="T100" s="34" t="str">
        <f aca="false">IF(B100="","",IF(MONTH(B100)=11,"X",""))</f>
        <v/>
      </c>
      <c r="U100" s="34" t="str">
        <f aca="false">IF(B100="","",IF(MONTH(B100)=12,"X",""))</f>
        <v/>
      </c>
      <c r="V100" s="24" t="str">
        <f aca="false">IF(E100="","",COUNTIF($E$5:$E$1000,E100))</f>
        <v/>
      </c>
      <c r="W100" s="35" t="str">
        <f aca="false">IF(E100="","",_xlfn.TEXTJOIN(" + ",TRUE(),IF(COUNTIFS($E$5:$E$1000,E100,$C$5:$C$1000,"Auditoría Interna")&gt;0,"Interna",""),IF(COUNTIFS($E$5:$E$1000,E100,$C$5:$C$1000,"Auditoría Externa")&gt;0,"Externa",""),IF(COUNTIFS($E$5:$E$1000,E100,$C$5:$C$1000,"SSF")&gt;0,"SSF",""),IF(COUNTIFS($E$5:$E$1000,E100,$C$5:$C$1000,"Comité de Supervisión")&gt;0,"Comité Sup.",""),IF(COUNTIFS($E$5:$E$1000,E100,$C$5:$C$1000,"Consejo de Administración")&gt;0,"Consejo",""),IF(COUNTIFS($E$5:$E$1000,E100,$C$5:$C$1000,"Otros")&gt;0,"Otros","")))</f>
        <v/>
      </c>
      <c r="X100" s="24" t="str">
        <f aca="false">IF(E100="","",COUNTIFS($E$5:$E$1000,E100,$AB$5:$AB$1000,AB100,$C$5:$C$1000,"&lt;&gt;"&amp;C100))</f>
        <v/>
      </c>
      <c r="Y100" s="33"/>
      <c r="Z100" s="31"/>
      <c r="AA100" s="33"/>
      <c r="AB100" s="37" t="str">
        <f aca="false">IF(B100="","",YEAR(B100)*100+MONTH(B100))</f>
        <v/>
      </c>
      <c r="AC100" s="37" t="str">
        <f aca="false">IF(AND(E100&lt;&gt;"",E100=Cruce!$C$5),COUNTIF($E$5:E100,E100),"")</f>
        <v/>
      </c>
      <c r="AD100" s="37" t="str">
        <f aca="false">IF(E100="","",C100&amp;"|"&amp;Y100&amp;"|"&amp;IF(B100="","s/f",TEXT(B100,"yyyymmdd")))</f>
        <v/>
      </c>
      <c r="AE100" s="37" t="n">
        <f aca="false">IF(E100="",0,IF(COUNTIFS($E$5:E100,E100,$AD$5:AD100,AD100)=1,1,0))</f>
        <v>0</v>
      </c>
    </row>
    <row r="101" customFormat="false" ht="15" hidden="false" customHeight="true" outlineLevel="0" collapsed="false">
      <c r="A101" s="31"/>
      <c r="B101" s="30"/>
      <c r="C101" s="31"/>
      <c r="D101" s="31"/>
      <c r="E101" s="32"/>
      <c r="F101" s="32"/>
      <c r="G101" s="33"/>
      <c r="H101" s="31"/>
      <c r="I101" s="24" t="str">
        <f aca="false">IF(B101="","",YEAR(B101))</f>
        <v/>
      </c>
      <c r="J101" s="34" t="str">
        <f aca="false">IF(B101="","",IF(MONTH(B101)=1,"X",""))</f>
        <v/>
      </c>
      <c r="K101" s="34" t="str">
        <f aca="false">IF(B101="","",IF(MONTH(B101)=2,"X",""))</f>
        <v/>
      </c>
      <c r="L101" s="34" t="str">
        <f aca="false">IF(B101="","",IF(MONTH(B101)=3,"X",""))</f>
        <v/>
      </c>
      <c r="M101" s="34" t="str">
        <f aca="false">IF(B101="","",IF(MONTH(B101)=4,"X",""))</f>
        <v/>
      </c>
      <c r="N101" s="34" t="str">
        <f aca="false">IF(B101="","",IF(MONTH(B101)=5,"X",""))</f>
        <v/>
      </c>
      <c r="O101" s="34" t="str">
        <f aca="false">IF(B101="","",IF(MONTH(B101)=6,"X",""))</f>
        <v/>
      </c>
      <c r="P101" s="34" t="str">
        <f aca="false">IF(B101="","",IF(MONTH(B101)=7,"X",""))</f>
        <v/>
      </c>
      <c r="Q101" s="34" t="str">
        <f aca="false">IF(B101="","",IF(MONTH(B101)=8,"X",""))</f>
        <v/>
      </c>
      <c r="R101" s="34" t="str">
        <f aca="false">IF(B101="","",IF(MONTH(B101)=9,"X",""))</f>
        <v/>
      </c>
      <c r="S101" s="34" t="str">
        <f aca="false">IF(B101="","",IF(MONTH(B101)=10,"X",""))</f>
        <v/>
      </c>
      <c r="T101" s="34" t="str">
        <f aca="false">IF(B101="","",IF(MONTH(B101)=11,"X",""))</f>
        <v/>
      </c>
      <c r="U101" s="34" t="str">
        <f aca="false">IF(B101="","",IF(MONTH(B101)=12,"X",""))</f>
        <v/>
      </c>
      <c r="V101" s="24" t="str">
        <f aca="false">IF(E101="","",COUNTIF($E$5:$E$1000,E101))</f>
        <v/>
      </c>
      <c r="W101" s="35" t="str">
        <f aca="false">IF(E101="","",_xlfn.TEXTJOIN(" + ",TRUE(),IF(COUNTIFS($E$5:$E$1000,E101,$C$5:$C$1000,"Auditoría Interna")&gt;0,"Interna",""),IF(COUNTIFS($E$5:$E$1000,E101,$C$5:$C$1000,"Auditoría Externa")&gt;0,"Externa",""),IF(COUNTIFS($E$5:$E$1000,E101,$C$5:$C$1000,"SSF")&gt;0,"SSF",""),IF(COUNTIFS($E$5:$E$1000,E101,$C$5:$C$1000,"Comité de Supervisión")&gt;0,"Comité Sup.",""),IF(COUNTIFS($E$5:$E$1000,E101,$C$5:$C$1000,"Consejo de Administración")&gt;0,"Consejo",""),IF(COUNTIFS($E$5:$E$1000,E101,$C$5:$C$1000,"Otros")&gt;0,"Otros","")))</f>
        <v/>
      </c>
      <c r="X101" s="24" t="str">
        <f aca="false">IF(E101="","",COUNTIFS($E$5:$E$1000,E101,$AB$5:$AB$1000,AB101,$C$5:$C$1000,"&lt;&gt;"&amp;C101))</f>
        <v/>
      </c>
      <c r="Y101" s="33"/>
      <c r="Z101" s="31"/>
      <c r="AA101" s="33"/>
      <c r="AB101" s="37" t="str">
        <f aca="false">IF(B101="","",YEAR(B101)*100+MONTH(B101))</f>
        <v/>
      </c>
      <c r="AC101" s="37" t="str">
        <f aca="false">IF(AND(E101&lt;&gt;"",E101=Cruce!$C$5),COUNTIF($E$5:E101,E101),"")</f>
        <v/>
      </c>
      <c r="AD101" s="37" t="str">
        <f aca="false">IF(E101="","",C101&amp;"|"&amp;Y101&amp;"|"&amp;IF(B101="","s/f",TEXT(B101,"yyyymmdd")))</f>
        <v/>
      </c>
      <c r="AE101" s="37" t="n">
        <f aca="false">IF(E101="",0,IF(COUNTIFS($E$5:E101,E101,$AD$5:AD101,AD101)=1,1,0))</f>
        <v>0</v>
      </c>
    </row>
    <row r="102" customFormat="false" ht="15" hidden="false" customHeight="true" outlineLevel="0" collapsed="false">
      <c r="A102" s="31"/>
      <c r="B102" s="30"/>
      <c r="C102" s="31"/>
      <c r="D102" s="31"/>
      <c r="E102" s="32"/>
      <c r="F102" s="32"/>
      <c r="G102" s="33"/>
      <c r="H102" s="31"/>
      <c r="I102" s="24" t="str">
        <f aca="false">IF(B102="","",YEAR(B102))</f>
        <v/>
      </c>
      <c r="J102" s="34" t="str">
        <f aca="false">IF(B102="","",IF(MONTH(B102)=1,"X",""))</f>
        <v/>
      </c>
      <c r="K102" s="34" t="str">
        <f aca="false">IF(B102="","",IF(MONTH(B102)=2,"X",""))</f>
        <v/>
      </c>
      <c r="L102" s="34" t="str">
        <f aca="false">IF(B102="","",IF(MONTH(B102)=3,"X",""))</f>
        <v/>
      </c>
      <c r="M102" s="34" t="str">
        <f aca="false">IF(B102="","",IF(MONTH(B102)=4,"X",""))</f>
        <v/>
      </c>
      <c r="N102" s="34" t="str">
        <f aca="false">IF(B102="","",IF(MONTH(B102)=5,"X",""))</f>
        <v/>
      </c>
      <c r="O102" s="34" t="str">
        <f aca="false">IF(B102="","",IF(MONTH(B102)=6,"X",""))</f>
        <v/>
      </c>
      <c r="P102" s="34" t="str">
        <f aca="false">IF(B102="","",IF(MONTH(B102)=7,"X",""))</f>
        <v/>
      </c>
      <c r="Q102" s="34" t="str">
        <f aca="false">IF(B102="","",IF(MONTH(B102)=8,"X",""))</f>
        <v/>
      </c>
      <c r="R102" s="34" t="str">
        <f aca="false">IF(B102="","",IF(MONTH(B102)=9,"X",""))</f>
        <v/>
      </c>
      <c r="S102" s="34" t="str">
        <f aca="false">IF(B102="","",IF(MONTH(B102)=10,"X",""))</f>
        <v/>
      </c>
      <c r="T102" s="34" t="str">
        <f aca="false">IF(B102="","",IF(MONTH(B102)=11,"X",""))</f>
        <v/>
      </c>
      <c r="U102" s="34" t="str">
        <f aca="false">IF(B102="","",IF(MONTH(B102)=12,"X",""))</f>
        <v/>
      </c>
      <c r="V102" s="24" t="str">
        <f aca="false">IF(E102="","",COUNTIF($E$5:$E$1000,E102))</f>
        <v/>
      </c>
      <c r="W102" s="35" t="str">
        <f aca="false">IF(E102="","",_xlfn.TEXTJOIN(" + ",TRUE(),IF(COUNTIFS($E$5:$E$1000,E102,$C$5:$C$1000,"Auditoría Interna")&gt;0,"Interna",""),IF(COUNTIFS($E$5:$E$1000,E102,$C$5:$C$1000,"Auditoría Externa")&gt;0,"Externa",""),IF(COUNTIFS($E$5:$E$1000,E102,$C$5:$C$1000,"SSF")&gt;0,"SSF",""),IF(COUNTIFS($E$5:$E$1000,E102,$C$5:$C$1000,"Comité de Supervisión")&gt;0,"Comité Sup.",""),IF(COUNTIFS($E$5:$E$1000,E102,$C$5:$C$1000,"Consejo de Administración")&gt;0,"Consejo",""),IF(COUNTIFS($E$5:$E$1000,E102,$C$5:$C$1000,"Otros")&gt;0,"Otros","")))</f>
        <v/>
      </c>
      <c r="X102" s="24" t="str">
        <f aca="false">IF(E102="","",COUNTIFS($E$5:$E$1000,E102,$AB$5:$AB$1000,AB102,$C$5:$C$1000,"&lt;&gt;"&amp;C102))</f>
        <v/>
      </c>
      <c r="Y102" s="33"/>
      <c r="Z102" s="31"/>
      <c r="AA102" s="33"/>
      <c r="AB102" s="37" t="str">
        <f aca="false">IF(B102="","",YEAR(B102)*100+MONTH(B102))</f>
        <v/>
      </c>
      <c r="AC102" s="37" t="str">
        <f aca="false">IF(AND(E102&lt;&gt;"",E102=Cruce!$C$5),COUNTIF($E$5:E102,E102),"")</f>
        <v/>
      </c>
      <c r="AD102" s="37" t="str">
        <f aca="false">IF(E102="","",C102&amp;"|"&amp;Y102&amp;"|"&amp;IF(B102="","s/f",TEXT(B102,"yyyymmdd")))</f>
        <v/>
      </c>
      <c r="AE102" s="37" t="n">
        <f aca="false">IF(E102="",0,IF(COUNTIFS($E$5:E102,E102,$AD$5:AD102,AD102)=1,1,0))</f>
        <v>0</v>
      </c>
    </row>
    <row r="103" customFormat="false" ht="15" hidden="false" customHeight="true" outlineLevel="0" collapsed="false">
      <c r="A103" s="31"/>
      <c r="B103" s="30"/>
      <c r="C103" s="31"/>
      <c r="D103" s="31"/>
      <c r="E103" s="32"/>
      <c r="F103" s="32"/>
      <c r="G103" s="33"/>
      <c r="H103" s="31"/>
      <c r="I103" s="24" t="str">
        <f aca="false">IF(B103="","",YEAR(B103))</f>
        <v/>
      </c>
      <c r="J103" s="34" t="str">
        <f aca="false">IF(B103="","",IF(MONTH(B103)=1,"X",""))</f>
        <v/>
      </c>
      <c r="K103" s="34" t="str">
        <f aca="false">IF(B103="","",IF(MONTH(B103)=2,"X",""))</f>
        <v/>
      </c>
      <c r="L103" s="34" t="str">
        <f aca="false">IF(B103="","",IF(MONTH(B103)=3,"X",""))</f>
        <v/>
      </c>
      <c r="M103" s="34" t="str">
        <f aca="false">IF(B103="","",IF(MONTH(B103)=4,"X",""))</f>
        <v/>
      </c>
      <c r="N103" s="34" t="str">
        <f aca="false">IF(B103="","",IF(MONTH(B103)=5,"X",""))</f>
        <v/>
      </c>
      <c r="O103" s="34" t="str">
        <f aca="false">IF(B103="","",IF(MONTH(B103)=6,"X",""))</f>
        <v/>
      </c>
      <c r="P103" s="34" t="str">
        <f aca="false">IF(B103="","",IF(MONTH(B103)=7,"X",""))</f>
        <v/>
      </c>
      <c r="Q103" s="34" t="str">
        <f aca="false">IF(B103="","",IF(MONTH(B103)=8,"X",""))</f>
        <v/>
      </c>
      <c r="R103" s="34" t="str">
        <f aca="false">IF(B103="","",IF(MONTH(B103)=9,"X",""))</f>
        <v/>
      </c>
      <c r="S103" s="34" t="str">
        <f aca="false">IF(B103="","",IF(MONTH(B103)=10,"X",""))</f>
        <v/>
      </c>
      <c r="T103" s="34" t="str">
        <f aca="false">IF(B103="","",IF(MONTH(B103)=11,"X",""))</f>
        <v/>
      </c>
      <c r="U103" s="34" t="str">
        <f aca="false">IF(B103="","",IF(MONTH(B103)=12,"X",""))</f>
        <v/>
      </c>
      <c r="V103" s="24" t="str">
        <f aca="false">IF(E103="","",COUNTIF($E$5:$E$1000,E103))</f>
        <v/>
      </c>
      <c r="W103" s="35" t="str">
        <f aca="false">IF(E103="","",_xlfn.TEXTJOIN(" + ",TRUE(),IF(COUNTIFS($E$5:$E$1000,E103,$C$5:$C$1000,"Auditoría Interna")&gt;0,"Interna",""),IF(COUNTIFS($E$5:$E$1000,E103,$C$5:$C$1000,"Auditoría Externa")&gt;0,"Externa",""),IF(COUNTIFS($E$5:$E$1000,E103,$C$5:$C$1000,"SSF")&gt;0,"SSF",""),IF(COUNTIFS($E$5:$E$1000,E103,$C$5:$C$1000,"Comité de Supervisión")&gt;0,"Comité Sup.",""),IF(COUNTIFS($E$5:$E$1000,E103,$C$5:$C$1000,"Consejo de Administración")&gt;0,"Consejo",""),IF(COUNTIFS($E$5:$E$1000,E103,$C$5:$C$1000,"Otros")&gt;0,"Otros","")))</f>
        <v/>
      </c>
      <c r="X103" s="24" t="str">
        <f aca="false">IF(E103="","",COUNTIFS($E$5:$E$1000,E103,$AB$5:$AB$1000,AB103,$C$5:$C$1000,"&lt;&gt;"&amp;C103))</f>
        <v/>
      </c>
      <c r="Y103" s="33"/>
      <c r="Z103" s="31"/>
      <c r="AA103" s="33"/>
      <c r="AB103" s="37" t="str">
        <f aca="false">IF(B103="","",YEAR(B103)*100+MONTH(B103))</f>
        <v/>
      </c>
      <c r="AC103" s="37" t="str">
        <f aca="false">IF(AND(E103&lt;&gt;"",E103=Cruce!$C$5),COUNTIF($E$5:E103,E103),"")</f>
        <v/>
      </c>
      <c r="AD103" s="37" t="str">
        <f aca="false">IF(E103="","",C103&amp;"|"&amp;Y103&amp;"|"&amp;IF(B103="","s/f",TEXT(B103,"yyyymmdd")))</f>
        <v/>
      </c>
      <c r="AE103" s="37" t="n">
        <f aca="false">IF(E103="",0,IF(COUNTIFS($E$5:E103,E103,$AD$5:AD103,AD103)=1,1,0))</f>
        <v>0</v>
      </c>
    </row>
    <row r="104" customFormat="false" ht="15" hidden="false" customHeight="true" outlineLevel="0" collapsed="false">
      <c r="A104" s="31"/>
      <c r="B104" s="30"/>
      <c r="C104" s="31"/>
      <c r="D104" s="31"/>
      <c r="E104" s="32"/>
      <c r="F104" s="32"/>
      <c r="G104" s="33"/>
      <c r="H104" s="31"/>
      <c r="I104" s="24" t="str">
        <f aca="false">IF(B104="","",YEAR(B104))</f>
        <v/>
      </c>
      <c r="J104" s="34" t="str">
        <f aca="false">IF(B104="","",IF(MONTH(B104)=1,"X",""))</f>
        <v/>
      </c>
      <c r="K104" s="34" t="str">
        <f aca="false">IF(B104="","",IF(MONTH(B104)=2,"X",""))</f>
        <v/>
      </c>
      <c r="L104" s="34" t="str">
        <f aca="false">IF(B104="","",IF(MONTH(B104)=3,"X",""))</f>
        <v/>
      </c>
      <c r="M104" s="34" t="str">
        <f aca="false">IF(B104="","",IF(MONTH(B104)=4,"X",""))</f>
        <v/>
      </c>
      <c r="N104" s="34" t="str">
        <f aca="false">IF(B104="","",IF(MONTH(B104)=5,"X",""))</f>
        <v/>
      </c>
      <c r="O104" s="34" t="str">
        <f aca="false">IF(B104="","",IF(MONTH(B104)=6,"X",""))</f>
        <v/>
      </c>
      <c r="P104" s="34" t="str">
        <f aca="false">IF(B104="","",IF(MONTH(B104)=7,"X",""))</f>
        <v/>
      </c>
      <c r="Q104" s="34" t="str">
        <f aca="false">IF(B104="","",IF(MONTH(B104)=8,"X",""))</f>
        <v/>
      </c>
      <c r="R104" s="34" t="str">
        <f aca="false">IF(B104="","",IF(MONTH(B104)=9,"X",""))</f>
        <v/>
      </c>
      <c r="S104" s="34" t="str">
        <f aca="false">IF(B104="","",IF(MONTH(B104)=10,"X",""))</f>
        <v/>
      </c>
      <c r="T104" s="34" t="str">
        <f aca="false">IF(B104="","",IF(MONTH(B104)=11,"X",""))</f>
        <v/>
      </c>
      <c r="U104" s="34" t="str">
        <f aca="false">IF(B104="","",IF(MONTH(B104)=12,"X",""))</f>
        <v/>
      </c>
      <c r="V104" s="24" t="str">
        <f aca="false">IF(E104="","",COUNTIF($E$5:$E$1000,E104))</f>
        <v/>
      </c>
      <c r="W104" s="35" t="str">
        <f aca="false">IF(E104="","",_xlfn.TEXTJOIN(" + ",TRUE(),IF(COUNTIFS($E$5:$E$1000,E104,$C$5:$C$1000,"Auditoría Interna")&gt;0,"Interna",""),IF(COUNTIFS($E$5:$E$1000,E104,$C$5:$C$1000,"Auditoría Externa")&gt;0,"Externa",""),IF(COUNTIFS($E$5:$E$1000,E104,$C$5:$C$1000,"SSF")&gt;0,"SSF",""),IF(COUNTIFS($E$5:$E$1000,E104,$C$5:$C$1000,"Comité de Supervisión")&gt;0,"Comité Sup.",""),IF(COUNTIFS($E$5:$E$1000,E104,$C$5:$C$1000,"Consejo de Administración")&gt;0,"Consejo",""),IF(COUNTIFS($E$5:$E$1000,E104,$C$5:$C$1000,"Otros")&gt;0,"Otros","")))</f>
        <v/>
      </c>
      <c r="X104" s="24" t="str">
        <f aca="false">IF(E104="","",COUNTIFS($E$5:$E$1000,E104,$AB$5:$AB$1000,AB104,$C$5:$C$1000,"&lt;&gt;"&amp;C104))</f>
        <v/>
      </c>
      <c r="Y104" s="33"/>
      <c r="Z104" s="31"/>
      <c r="AA104" s="33"/>
      <c r="AB104" s="37" t="str">
        <f aca="false">IF(B104="","",YEAR(B104)*100+MONTH(B104))</f>
        <v/>
      </c>
      <c r="AC104" s="37" t="str">
        <f aca="false">IF(AND(E104&lt;&gt;"",E104=Cruce!$C$5),COUNTIF($E$5:E104,E104),"")</f>
        <v/>
      </c>
      <c r="AD104" s="37" t="str">
        <f aca="false">IF(E104="","",C104&amp;"|"&amp;Y104&amp;"|"&amp;IF(B104="","s/f",TEXT(B104,"yyyymmdd")))</f>
        <v/>
      </c>
      <c r="AE104" s="37" t="n">
        <f aca="false">IF(E104="",0,IF(COUNTIFS($E$5:E104,E104,$AD$5:AD104,AD104)=1,1,0))</f>
        <v>0</v>
      </c>
    </row>
    <row r="105" customFormat="false" ht="15" hidden="false" customHeight="true" outlineLevel="0" collapsed="false">
      <c r="A105" s="31"/>
      <c r="B105" s="30"/>
      <c r="C105" s="31"/>
      <c r="D105" s="31"/>
      <c r="E105" s="32"/>
      <c r="F105" s="32"/>
      <c r="G105" s="33"/>
      <c r="H105" s="31"/>
      <c r="I105" s="24" t="str">
        <f aca="false">IF(B105="","",YEAR(B105))</f>
        <v/>
      </c>
      <c r="J105" s="34" t="str">
        <f aca="false">IF(B105="","",IF(MONTH(B105)=1,"X",""))</f>
        <v/>
      </c>
      <c r="K105" s="34" t="str">
        <f aca="false">IF(B105="","",IF(MONTH(B105)=2,"X",""))</f>
        <v/>
      </c>
      <c r="L105" s="34" t="str">
        <f aca="false">IF(B105="","",IF(MONTH(B105)=3,"X",""))</f>
        <v/>
      </c>
      <c r="M105" s="34" t="str">
        <f aca="false">IF(B105="","",IF(MONTH(B105)=4,"X",""))</f>
        <v/>
      </c>
      <c r="N105" s="34" t="str">
        <f aca="false">IF(B105="","",IF(MONTH(B105)=5,"X",""))</f>
        <v/>
      </c>
      <c r="O105" s="34" t="str">
        <f aca="false">IF(B105="","",IF(MONTH(B105)=6,"X",""))</f>
        <v/>
      </c>
      <c r="P105" s="34" t="str">
        <f aca="false">IF(B105="","",IF(MONTH(B105)=7,"X",""))</f>
        <v/>
      </c>
      <c r="Q105" s="34" t="str">
        <f aca="false">IF(B105="","",IF(MONTH(B105)=8,"X",""))</f>
        <v/>
      </c>
      <c r="R105" s="34" t="str">
        <f aca="false">IF(B105="","",IF(MONTH(B105)=9,"X",""))</f>
        <v/>
      </c>
      <c r="S105" s="34" t="str">
        <f aca="false">IF(B105="","",IF(MONTH(B105)=10,"X",""))</f>
        <v/>
      </c>
      <c r="T105" s="34" t="str">
        <f aca="false">IF(B105="","",IF(MONTH(B105)=11,"X",""))</f>
        <v/>
      </c>
      <c r="U105" s="34" t="str">
        <f aca="false">IF(B105="","",IF(MONTH(B105)=12,"X",""))</f>
        <v/>
      </c>
      <c r="V105" s="24" t="str">
        <f aca="false">IF(E105="","",COUNTIF($E$5:$E$1000,E105))</f>
        <v/>
      </c>
      <c r="W105" s="35" t="str">
        <f aca="false">IF(E105="","",_xlfn.TEXTJOIN(" + ",TRUE(),IF(COUNTIFS($E$5:$E$1000,E105,$C$5:$C$1000,"Auditoría Interna")&gt;0,"Interna",""),IF(COUNTIFS($E$5:$E$1000,E105,$C$5:$C$1000,"Auditoría Externa")&gt;0,"Externa",""),IF(COUNTIFS($E$5:$E$1000,E105,$C$5:$C$1000,"SSF")&gt;0,"SSF",""),IF(COUNTIFS($E$5:$E$1000,E105,$C$5:$C$1000,"Comité de Supervisión")&gt;0,"Comité Sup.",""),IF(COUNTIFS($E$5:$E$1000,E105,$C$5:$C$1000,"Consejo de Administración")&gt;0,"Consejo",""),IF(COUNTIFS($E$5:$E$1000,E105,$C$5:$C$1000,"Otros")&gt;0,"Otros","")))</f>
        <v/>
      </c>
      <c r="X105" s="24" t="str">
        <f aca="false">IF(E105="","",COUNTIFS($E$5:$E$1000,E105,$AB$5:$AB$1000,AB105,$C$5:$C$1000,"&lt;&gt;"&amp;C105))</f>
        <v/>
      </c>
      <c r="Y105" s="33"/>
      <c r="Z105" s="31"/>
      <c r="AA105" s="33"/>
      <c r="AB105" s="37" t="str">
        <f aca="false">IF(B105="","",YEAR(B105)*100+MONTH(B105))</f>
        <v/>
      </c>
      <c r="AC105" s="37" t="str">
        <f aca="false">IF(AND(E105&lt;&gt;"",E105=Cruce!$C$5),COUNTIF($E$5:E105,E105),"")</f>
        <v/>
      </c>
      <c r="AD105" s="37" t="str">
        <f aca="false">IF(E105="","",C105&amp;"|"&amp;Y105&amp;"|"&amp;IF(B105="","s/f",TEXT(B105,"yyyymmdd")))</f>
        <v/>
      </c>
      <c r="AE105" s="37" t="n">
        <f aca="false">IF(E105="",0,IF(COUNTIFS($E$5:E105,E105,$AD$5:AD105,AD105)=1,1,0))</f>
        <v>0</v>
      </c>
    </row>
    <row r="106" customFormat="false" ht="15" hidden="false" customHeight="true" outlineLevel="0" collapsed="false">
      <c r="A106" s="31"/>
      <c r="B106" s="30"/>
      <c r="C106" s="31"/>
      <c r="D106" s="31"/>
      <c r="E106" s="32"/>
      <c r="F106" s="32"/>
      <c r="G106" s="33"/>
      <c r="H106" s="31"/>
      <c r="I106" s="24" t="str">
        <f aca="false">IF(B106="","",YEAR(B106))</f>
        <v/>
      </c>
      <c r="J106" s="34" t="str">
        <f aca="false">IF(B106="","",IF(MONTH(B106)=1,"X",""))</f>
        <v/>
      </c>
      <c r="K106" s="34" t="str">
        <f aca="false">IF(B106="","",IF(MONTH(B106)=2,"X",""))</f>
        <v/>
      </c>
      <c r="L106" s="34" t="str">
        <f aca="false">IF(B106="","",IF(MONTH(B106)=3,"X",""))</f>
        <v/>
      </c>
      <c r="M106" s="34" t="str">
        <f aca="false">IF(B106="","",IF(MONTH(B106)=4,"X",""))</f>
        <v/>
      </c>
      <c r="N106" s="34" t="str">
        <f aca="false">IF(B106="","",IF(MONTH(B106)=5,"X",""))</f>
        <v/>
      </c>
      <c r="O106" s="34" t="str">
        <f aca="false">IF(B106="","",IF(MONTH(B106)=6,"X",""))</f>
        <v/>
      </c>
      <c r="P106" s="34" t="str">
        <f aca="false">IF(B106="","",IF(MONTH(B106)=7,"X",""))</f>
        <v/>
      </c>
      <c r="Q106" s="34" t="str">
        <f aca="false">IF(B106="","",IF(MONTH(B106)=8,"X",""))</f>
        <v/>
      </c>
      <c r="R106" s="34" t="str">
        <f aca="false">IF(B106="","",IF(MONTH(B106)=9,"X",""))</f>
        <v/>
      </c>
      <c r="S106" s="34" t="str">
        <f aca="false">IF(B106="","",IF(MONTH(B106)=10,"X",""))</f>
        <v/>
      </c>
      <c r="T106" s="34" t="str">
        <f aca="false">IF(B106="","",IF(MONTH(B106)=11,"X",""))</f>
        <v/>
      </c>
      <c r="U106" s="34" t="str">
        <f aca="false">IF(B106="","",IF(MONTH(B106)=12,"X",""))</f>
        <v/>
      </c>
      <c r="V106" s="24" t="str">
        <f aca="false">IF(E106="","",COUNTIF($E$5:$E$1000,E106))</f>
        <v/>
      </c>
      <c r="W106" s="35" t="str">
        <f aca="false">IF(E106="","",_xlfn.TEXTJOIN(" + ",TRUE(),IF(COUNTIFS($E$5:$E$1000,E106,$C$5:$C$1000,"Auditoría Interna")&gt;0,"Interna",""),IF(COUNTIFS($E$5:$E$1000,E106,$C$5:$C$1000,"Auditoría Externa")&gt;0,"Externa",""),IF(COUNTIFS($E$5:$E$1000,E106,$C$5:$C$1000,"SSF")&gt;0,"SSF",""),IF(COUNTIFS($E$5:$E$1000,E106,$C$5:$C$1000,"Comité de Supervisión")&gt;0,"Comité Sup.",""),IF(COUNTIFS($E$5:$E$1000,E106,$C$5:$C$1000,"Consejo de Administración")&gt;0,"Consejo",""),IF(COUNTIFS($E$5:$E$1000,E106,$C$5:$C$1000,"Otros")&gt;0,"Otros","")))</f>
        <v/>
      </c>
      <c r="X106" s="24" t="str">
        <f aca="false">IF(E106="","",COUNTIFS($E$5:$E$1000,E106,$AB$5:$AB$1000,AB106,$C$5:$C$1000,"&lt;&gt;"&amp;C106))</f>
        <v/>
      </c>
      <c r="Y106" s="33"/>
      <c r="Z106" s="31"/>
      <c r="AA106" s="33"/>
      <c r="AB106" s="37" t="str">
        <f aca="false">IF(B106="","",YEAR(B106)*100+MONTH(B106))</f>
        <v/>
      </c>
      <c r="AC106" s="37" t="str">
        <f aca="false">IF(AND(E106&lt;&gt;"",E106=Cruce!$C$5),COUNTIF($E$5:E106,E106),"")</f>
        <v/>
      </c>
      <c r="AD106" s="37" t="str">
        <f aca="false">IF(E106="","",C106&amp;"|"&amp;Y106&amp;"|"&amp;IF(B106="","s/f",TEXT(B106,"yyyymmdd")))</f>
        <v/>
      </c>
      <c r="AE106" s="37" t="n">
        <f aca="false">IF(E106="",0,IF(COUNTIFS($E$5:E106,E106,$AD$5:AD106,AD106)=1,1,0))</f>
        <v>0</v>
      </c>
    </row>
    <row r="107" customFormat="false" ht="15" hidden="false" customHeight="true" outlineLevel="0" collapsed="false">
      <c r="A107" s="31"/>
      <c r="B107" s="30"/>
      <c r="C107" s="31"/>
      <c r="D107" s="31"/>
      <c r="E107" s="32"/>
      <c r="F107" s="32"/>
      <c r="G107" s="33"/>
      <c r="H107" s="31"/>
      <c r="I107" s="24" t="str">
        <f aca="false">IF(B107="","",YEAR(B107))</f>
        <v/>
      </c>
      <c r="J107" s="34" t="str">
        <f aca="false">IF(B107="","",IF(MONTH(B107)=1,"X",""))</f>
        <v/>
      </c>
      <c r="K107" s="34" t="str">
        <f aca="false">IF(B107="","",IF(MONTH(B107)=2,"X",""))</f>
        <v/>
      </c>
      <c r="L107" s="34" t="str">
        <f aca="false">IF(B107="","",IF(MONTH(B107)=3,"X",""))</f>
        <v/>
      </c>
      <c r="M107" s="34" t="str">
        <f aca="false">IF(B107="","",IF(MONTH(B107)=4,"X",""))</f>
        <v/>
      </c>
      <c r="N107" s="34" t="str">
        <f aca="false">IF(B107="","",IF(MONTH(B107)=5,"X",""))</f>
        <v/>
      </c>
      <c r="O107" s="34" t="str">
        <f aca="false">IF(B107="","",IF(MONTH(B107)=6,"X",""))</f>
        <v/>
      </c>
      <c r="P107" s="34" t="str">
        <f aca="false">IF(B107="","",IF(MONTH(B107)=7,"X",""))</f>
        <v/>
      </c>
      <c r="Q107" s="34" t="str">
        <f aca="false">IF(B107="","",IF(MONTH(B107)=8,"X",""))</f>
        <v/>
      </c>
      <c r="R107" s="34" t="str">
        <f aca="false">IF(B107="","",IF(MONTH(B107)=9,"X",""))</f>
        <v/>
      </c>
      <c r="S107" s="34" t="str">
        <f aca="false">IF(B107="","",IF(MONTH(B107)=10,"X",""))</f>
        <v/>
      </c>
      <c r="T107" s="34" t="str">
        <f aca="false">IF(B107="","",IF(MONTH(B107)=11,"X",""))</f>
        <v/>
      </c>
      <c r="U107" s="34" t="str">
        <f aca="false">IF(B107="","",IF(MONTH(B107)=12,"X",""))</f>
        <v/>
      </c>
      <c r="V107" s="24" t="str">
        <f aca="false">IF(E107="","",COUNTIF($E$5:$E$1000,E107))</f>
        <v/>
      </c>
      <c r="W107" s="35" t="str">
        <f aca="false">IF(E107="","",_xlfn.TEXTJOIN(" + ",TRUE(),IF(COUNTIFS($E$5:$E$1000,E107,$C$5:$C$1000,"Auditoría Interna")&gt;0,"Interna",""),IF(COUNTIFS($E$5:$E$1000,E107,$C$5:$C$1000,"Auditoría Externa")&gt;0,"Externa",""),IF(COUNTIFS($E$5:$E$1000,E107,$C$5:$C$1000,"SSF")&gt;0,"SSF",""),IF(COUNTIFS($E$5:$E$1000,E107,$C$5:$C$1000,"Comité de Supervisión")&gt;0,"Comité Sup.",""),IF(COUNTIFS($E$5:$E$1000,E107,$C$5:$C$1000,"Consejo de Administración")&gt;0,"Consejo",""),IF(COUNTIFS($E$5:$E$1000,E107,$C$5:$C$1000,"Otros")&gt;0,"Otros","")))</f>
        <v/>
      </c>
      <c r="X107" s="24" t="str">
        <f aca="false">IF(E107="","",COUNTIFS($E$5:$E$1000,E107,$AB$5:$AB$1000,AB107,$C$5:$C$1000,"&lt;&gt;"&amp;C107))</f>
        <v/>
      </c>
      <c r="Y107" s="33"/>
      <c r="Z107" s="31"/>
      <c r="AA107" s="33"/>
      <c r="AB107" s="37" t="str">
        <f aca="false">IF(B107="","",YEAR(B107)*100+MONTH(B107))</f>
        <v/>
      </c>
      <c r="AC107" s="37" t="str">
        <f aca="false">IF(AND(E107&lt;&gt;"",E107=Cruce!$C$5),COUNTIF($E$5:E107,E107),"")</f>
        <v/>
      </c>
      <c r="AD107" s="37" t="str">
        <f aca="false">IF(E107="","",C107&amp;"|"&amp;Y107&amp;"|"&amp;IF(B107="","s/f",TEXT(B107,"yyyymmdd")))</f>
        <v/>
      </c>
      <c r="AE107" s="37" t="n">
        <f aca="false">IF(E107="",0,IF(COUNTIFS($E$5:E107,E107,$AD$5:AD107,AD107)=1,1,0))</f>
        <v>0</v>
      </c>
    </row>
    <row r="108" customFormat="false" ht="15" hidden="false" customHeight="true" outlineLevel="0" collapsed="false">
      <c r="A108" s="31"/>
      <c r="B108" s="30"/>
      <c r="C108" s="31"/>
      <c r="D108" s="31"/>
      <c r="E108" s="32"/>
      <c r="F108" s="32"/>
      <c r="G108" s="33"/>
      <c r="H108" s="31"/>
      <c r="I108" s="24" t="str">
        <f aca="false">IF(B108="","",YEAR(B108))</f>
        <v/>
      </c>
      <c r="J108" s="34" t="str">
        <f aca="false">IF(B108="","",IF(MONTH(B108)=1,"X",""))</f>
        <v/>
      </c>
      <c r="K108" s="34" t="str">
        <f aca="false">IF(B108="","",IF(MONTH(B108)=2,"X",""))</f>
        <v/>
      </c>
      <c r="L108" s="34" t="str">
        <f aca="false">IF(B108="","",IF(MONTH(B108)=3,"X",""))</f>
        <v/>
      </c>
      <c r="M108" s="34" t="str">
        <f aca="false">IF(B108="","",IF(MONTH(B108)=4,"X",""))</f>
        <v/>
      </c>
      <c r="N108" s="34" t="str">
        <f aca="false">IF(B108="","",IF(MONTH(B108)=5,"X",""))</f>
        <v/>
      </c>
      <c r="O108" s="34" t="str">
        <f aca="false">IF(B108="","",IF(MONTH(B108)=6,"X",""))</f>
        <v/>
      </c>
      <c r="P108" s="34" t="str">
        <f aca="false">IF(B108="","",IF(MONTH(B108)=7,"X",""))</f>
        <v/>
      </c>
      <c r="Q108" s="34" t="str">
        <f aca="false">IF(B108="","",IF(MONTH(B108)=8,"X",""))</f>
        <v/>
      </c>
      <c r="R108" s="34" t="str">
        <f aca="false">IF(B108="","",IF(MONTH(B108)=9,"X",""))</f>
        <v/>
      </c>
      <c r="S108" s="34" t="str">
        <f aca="false">IF(B108="","",IF(MONTH(B108)=10,"X",""))</f>
        <v/>
      </c>
      <c r="T108" s="34" t="str">
        <f aca="false">IF(B108="","",IF(MONTH(B108)=11,"X",""))</f>
        <v/>
      </c>
      <c r="U108" s="34" t="str">
        <f aca="false">IF(B108="","",IF(MONTH(B108)=12,"X",""))</f>
        <v/>
      </c>
      <c r="V108" s="24" t="str">
        <f aca="false">IF(E108="","",COUNTIF($E$5:$E$1000,E108))</f>
        <v/>
      </c>
      <c r="W108" s="35" t="str">
        <f aca="false">IF(E108="","",_xlfn.TEXTJOIN(" + ",TRUE(),IF(COUNTIFS($E$5:$E$1000,E108,$C$5:$C$1000,"Auditoría Interna")&gt;0,"Interna",""),IF(COUNTIFS($E$5:$E$1000,E108,$C$5:$C$1000,"Auditoría Externa")&gt;0,"Externa",""),IF(COUNTIFS($E$5:$E$1000,E108,$C$5:$C$1000,"SSF")&gt;0,"SSF",""),IF(COUNTIFS($E$5:$E$1000,E108,$C$5:$C$1000,"Comité de Supervisión")&gt;0,"Comité Sup.",""),IF(COUNTIFS($E$5:$E$1000,E108,$C$5:$C$1000,"Consejo de Administración")&gt;0,"Consejo",""),IF(COUNTIFS($E$5:$E$1000,E108,$C$5:$C$1000,"Otros")&gt;0,"Otros","")))</f>
        <v/>
      </c>
      <c r="X108" s="24" t="str">
        <f aca="false">IF(E108="","",COUNTIFS($E$5:$E$1000,E108,$AB$5:$AB$1000,AB108,$C$5:$C$1000,"&lt;&gt;"&amp;C108))</f>
        <v/>
      </c>
      <c r="Y108" s="33"/>
      <c r="Z108" s="31"/>
      <c r="AA108" s="33"/>
      <c r="AB108" s="37" t="str">
        <f aca="false">IF(B108="","",YEAR(B108)*100+MONTH(B108))</f>
        <v/>
      </c>
      <c r="AC108" s="37" t="str">
        <f aca="false">IF(AND(E108&lt;&gt;"",E108=Cruce!$C$5),COUNTIF($E$5:E108,E108),"")</f>
        <v/>
      </c>
      <c r="AD108" s="37" t="str">
        <f aca="false">IF(E108="","",C108&amp;"|"&amp;Y108&amp;"|"&amp;IF(B108="","s/f",TEXT(B108,"yyyymmdd")))</f>
        <v/>
      </c>
      <c r="AE108" s="37" t="n">
        <f aca="false">IF(E108="",0,IF(COUNTIFS($E$5:E108,E108,$AD$5:AD108,AD108)=1,1,0))</f>
        <v>0</v>
      </c>
    </row>
    <row r="109" customFormat="false" ht="15" hidden="false" customHeight="true" outlineLevel="0" collapsed="false">
      <c r="A109" s="31"/>
      <c r="B109" s="30"/>
      <c r="C109" s="31"/>
      <c r="D109" s="31"/>
      <c r="E109" s="32"/>
      <c r="F109" s="32"/>
      <c r="G109" s="33"/>
      <c r="H109" s="31"/>
      <c r="I109" s="24" t="str">
        <f aca="false">IF(B109="","",YEAR(B109))</f>
        <v/>
      </c>
      <c r="J109" s="34" t="str">
        <f aca="false">IF(B109="","",IF(MONTH(B109)=1,"X",""))</f>
        <v/>
      </c>
      <c r="K109" s="34" t="str">
        <f aca="false">IF(B109="","",IF(MONTH(B109)=2,"X",""))</f>
        <v/>
      </c>
      <c r="L109" s="34" t="str">
        <f aca="false">IF(B109="","",IF(MONTH(B109)=3,"X",""))</f>
        <v/>
      </c>
      <c r="M109" s="34" t="str">
        <f aca="false">IF(B109="","",IF(MONTH(B109)=4,"X",""))</f>
        <v/>
      </c>
      <c r="N109" s="34" t="str">
        <f aca="false">IF(B109="","",IF(MONTH(B109)=5,"X",""))</f>
        <v/>
      </c>
      <c r="O109" s="34" t="str">
        <f aca="false">IF(B109="","",IF(MONTH(B109)=6,"X",""))</f>
        <v/>
      </c>
      <c r="P109" s="34" t="str">
        <f aca="false">IF(B109="","",IF(MONTH(B109)=7,"X",""))</f>
        <v/>
      </c>
      <c r="Q109" s="34" t="str">
        <f aca="false">IF(B109="","",IF(MONTH(B109)=8,"X",""))</f>
        <v/>
      </c>
      <c r="R109" s="34" t="str">
        <f aca="false">IF(B109="","",IF(MONTH(B109)=9,"X",""))</f>
        <v/>
      </c>
      <c r="S109" s="34" t="str">
        <f aca="false">IF(B109="","",IF(MONTH(B109)=10,"X",""))</f>
        <v/>
      </c>
      <c r="T109" s="34" t="str">
        <f aca="false">IF(B109="","",IF(MONTH(B109)=11,"X",""))</f>
        <v/>
      </c>
      <c r="U109" s="34" t="str">
        <f aca="false">IF(B109="","",IF(MONTH(B109)=12,"X",""))</f>
        <v/>
      </c>
      <c r="V109" s="24" t="str">
        <f aca="false">IF(E109="","",COUNTIF($E$5:$E$1000,E109))</f>
        <v/>
      </c>
      <c r="W109" s="35" t="str">
        <f aca="false">IF(E109="","",_xlfn.TEXTJOIN(" + ",TRUE(),IF(COUNTIFS($E$5:$E$1000,E109,$C$5:$C$1000,"Auditoría Interna")&gt;0,"Interna",""),IF(COUNTIFS($E$5:$E$1000,E109,$C$5:$C$1000,"Auditoría Externa")&gt;0,"Externa",""),IF(COUNTIFS($E$5:$E$1000,E109,$C$5:$C$1000,"SSF")&gt;0,"SSF",""),IF(COUNTIFS($E$5:$E$1000,E109,$C$5:$C$1000,"Comité de Supervisión")&gt;0,"Comité Sup.",""),IF(COUNTIFS($E$5:$E$1000,E109,$C$5:$C$1000,"Consejo de Administración")&gt;0,"Consejo",""),IF(COUNTIFS($E$5:$E$1000,E109,$C$5:$C$1000,"Otros")&gt;0,"Otros","")))</f>
        <v/>
      </c>
      <c r="X109" s="24" t="str">
        <f aca="false">IF(E109="","",COUNTIFS($E$5:$E$1000,E109,$AB$5:$AB$1000,AB109,$C$5:$C$1000,"&lt;&gt;"&amp;C109))</f>
        <v/>
      </c>
      <c r="Y109" s="33"/>
      <c r="Z109" s="31"/>
      <c r="AA109" s="33"/>
      <c r="AB109" s="37" t="str">
        <f aca="false">IF(B109="","",YEAR(B109)*100+MONTH(B109))</f>
        <v/>
      </c>
      <c r="AC109" s="37" t="str">
        <f aca="false">IF(AND(E109&lt;&gt;"",E109=Cruce!$C$5),COUNTIF($E$5:E109,E109),"")</f>
        <v/>
      </c>
      <c r="AD109" s="37" t="str">
        <f aca="false">IF(E109="","",C109&amp;"|"&amp;Y109&amp;"|"&amp;IF(B109="","s/f",TEXT(B109,"yyyymmdd")))</f>
        <v/>
      </c>
      <c r="AE109" s="37" t="n">
        <f aca="false">IF(E109="",0,IF(COUNTIFS($E$5:E109,E109,$AD$5:AD109,AD109)=1,1,0))</f>
        <v>0</v>
      </c>
    </row>
    <row r="110" customFormat="false" ht="15" hidden="false" customHeight="true" outlineLevel="0" collapsed="false">
      <c r="A110" s="31"/>
      <c r="B110" s="30"/>
      <c r="C110" s="31"/>
      <c r="D110" s="31"/>
      <c r="E110" s="32"/>
      <c r="F110" s="32"/>
      <c r="G110" s="33"/>
      <c r="H110" s="31"/>
      <c r="I110" s="24" t="str">
        <f aca="false">IF(B110="","",YEAR(B110))</f>
        <v/>
      </c>
      <c r="J110" s="34" t="str">
        <f aca="false">IF(B110="","",IF(MONTH(B110)=1,"X",""))</f>
        <v/>
      </c>
      <c r="K110" s="34" t="str">
        <f aca="false">IF(B110="","",IF(MONTH(B110)=2,"X",""))</f>
        <v/>
      </c>
      <c r="L110" s="34" t="str">
        <f aca="false">IF(B110="","",IF(MONTH(B110)=3,"X",""))</f>
        <v/>
      </c>
      <c r="M110" s="34" t="str">
        <f aca="false">IF(B110="","",IF(MONTH(B110)=4,"X",""))</f>
        <v/>
      </c>
      <c r="N110" s="34" t="str">
        <f aca="false">IF(B110="","",IF(MONTH(B110)=5,"X",""))</f>
        <v/>
      </c>
      <c r="O110" s="34" t="str">
        <f aca="false">IF(B110="","",IF(MONTH(B110)=6,"X",""))</f>
        <v/>
      </c>
      <c r="P110" s="34" t="str">
        <f aca="false">IF(B110="","",IF(MONTH(B110)=7,"X",""))</f>
        <v/>
      </c>
      <c r="Q110" s="34" t="str">
        <f aca="false">IF(B110="","",IF(MONTH(B110)=8,"X",""))</f>
        <v/>
      </c>
      <c r="R110" s="34" t="str">
        <f aca="false">IF(B110="","",IF(MONTH(B110)=9,"X",""))</f>
        <v/>
      </c>
      <c r="S110" s="34" t="str">
        <f aca="false">IF(B110="","",IF(MONTH(B110)=10,"X",""))</f>
        <v/>
      </c>
      <c r="T110" s="34" t="str">
        <f aca="false">IF(B110="","",IF(MONTH(B110)=11,"X",""))</f>
        <v/>
      </c>
      <c r="U110" s="34" t="str">
        <f aca="false">IF(B110="","",IF(MONTH(B110)=12,"X",""))</f>
        <v/>
      </c>
      <c r="V110" s="24" t="str">
        <f aca="false">IF(E110="","",COUNTIF($E$5:$E$1000,E110))</f>
        <v/>
      </c>
      <c r="W110" s="35" t="str">
        <f aca="false">IF(E110="","",_xlfn.TEXTJOIN(" + ",TRUE(),IF(COUNTIFS($E$5:$E$1000,E110,$C$5:$C$1000,"Auditoría Interna")&gt;0,"Interna",""),IF(COUNTIFS($E$5:$E$1000,E110,$C$5:$C$1000,"Auditoría Externa")&gt;0,"Externa",""),IF(COUNTIFS($E$5:$E$1000,E110,$C$5:$C$1000,"SSF")&gt;0,"SSF",""),IF(COUNTIFS($E$5:$E$1000,E110,$C$5:$C$1000,"Comité de Supervisión")&gt;0,"Comité Sup.",""),IF(COUNTIFS($E$5:$E$1000,E110,$C$5:$C$1000,"Consejo de Administración")&gt;0,"Consejo",""),IF(COUNTIFS($E$5:$E$1000,E110,$C$5:$C$1000,"Otros")&gt;0,"Otros","")))</f>
        <v/>
      </c>
      <c r="X110" s="24" t="str">
        <f aca="false">IF(E110="","",COUNTIFS($E$5:$E$1000,E110,$AB$5:$AB$1000,AB110,$C$5:$C$1000,"&lt;&gt;"&amp;C110))</f>
        <v/>
      </c>
      <c r="Y110" s="33"/>
      <c r="Z110" s="31"/>
      <c r="AA110" s="33"/>
      <c r="AB110" s="37" t="str">
        <f aca="false">IF(B110="","",YEAR(B110)*100+MONTH(B110))</f>
        <v/>
      </c>
      <c r="AC110" s="37" t="str">
        <f aca="false">IF(AND(E110&lt;&gt;"",E110=Cruce!$C$5),COUNTIF($E$5:E110,E110),"")</f>
        <v/>
      </c>
      <c r="AD110" s="37" t="str">
        <f aca="false">IF(E110="","",C110&amp;"|"&amp;Y110&amp;"|"&amp;IF(B110="","s/f",TEXT(B110,"yyyymmdd")))</f>
        <v/>
      </c>
      <c r="AE110" s="37" t="n">
        <f aca="false">IF(E110="",0,IF(COUNTIFS($E$5:E110,E110,$AD$5:AD110,AD110)=1,1,0))</f>
        <v>0</v>
      </c>
    </row>
    <row r="111" customFormat="false" ht="15" hidden="false" customHeight="true" outlineLevel="0" collapsed="false">
      <c r="A111" s="31"/>
      <c r="B111" s="30"/>
      <c r="C111" s="31"/>
      <c r="D111" s="31"/>
      <c r="E111" s="32"/>
      <c r="F111" s="32"/>
      <c r="G111" s="33"/>
      <c r="H111" s="31"/>
      <c r="I111" s="24" t="str">
        <f aca="false">IF(B111="","",YEAR(B111))</f>
        <v/>
      </c>
      <c r="J111" s="34" t="str">
        <f aca="false">IF(B111="","",IF(MONTH(B111)=1,"X",""))</f>
        <v/>
      </c>
      <c r="K111" s="34" t="str">
        <f aca="false">IF(B111="","",IF(MONTH(B111)=2,"X",""))</f>
        <v/>
      </c>
      <c r="L111" s="34" t="str">
        <f aca="false">IF(B111="","",IF(MONTH(B111)=3,"X",""))</f>
        <v/>
      </c>
      <c r="M111" s="34" t="str">
        <f aca="false">IF(B111="","",IF(MONTH(B111)=4,"X",""))</f>
        <v/>
      </c>
      <c r="N111" s="34" t="str">
        <f aca="false">IF(B111="","",IF(MONTH(B111)=5,"X",""))</f>
        <v/>
      </c>
      <c r="O111" s="34" t="str">
        <f aca="false">IF(B111="","",IF(MONTH(B111)=6,"X",""))</f>
        <v/>
      </c>
      <c r="P111" s="34" t="str">
        <f aca="false">IF(B111="","",IF(MONTH(B111)=7,"X",""))</f>
        <v/>
      </c>
      <c r="Q111" s="34" t="str">
        <f aca="false">IF(B111="","",IF(MONTH(B111)=8,"X",""))</f>
        <v/>
      </c>
      <c r="R111" s="34" t="str">
        <f aca="false">IF(B111="","",IF(MONTH(B111)=9,"X",""))</f>
        <v/>
      </c>
      <c r="S111" s="34" t="str">
        <f aca="false">IF(B111="","",IF(MONTH(B111)=10,"X",""))</f>
        <v/>
      </c>
      <c r="T111" s="34" t="str">
        <f aca="false">IF(B111="","",IF(MONTH(B111)=11,"X",""))</f>
        <v/>
      </c>
      <c r="U111" s="34" t="str">
        <f aca="false">IF(B111="","",IF(MONTH(B111)=12,"X",""))</f>
        <v/>
      </c>
      <c r="V111" s="24" t="str">
        <f aca="false">IF(E111="","",COUNTIF($E$5:$E$1000,E111))</f>
        <v/>
      </c>
      <c r="W111" s="35" t="str">
        <f aca="false">IF(E111="","",_xlfn.TEXTJOIN(" + ",TRUE(),IF(COUNTIFS($E$5:$E$1000,E111,$C$5:$C$1000,"Auditoría Interna")&gt;0,"Interna",""),IF(COUNTIFS($E$5:$E$1000,E111,$C$5:$C$1000,"Auditoría Externa")&gt;0,"Externa",""),IF(COUNTIFS($E$5:$E$1000,E111,$C$5:$C$1000,"SSF")&gt;0,"SSF",""),IF(COUNTIFS($E$5:$E$1000,E111,$C$5:$C$1000,"Comité de Supervisión")&gt;0,"Comité Sup.",""),IF(COUNTIFS($E$5:$E$1000,E111,$C$5:$C$1000,"Consejo de Administración")&gt;0,"Consejo",""),IF(COUNTIFS($E$5:$E$1000,E111,$C$5:$C$1000,"Otros")&gt;0,"Otros","")))</f>
        <v/>
      </c>
      <c r="X111" s="24" t="str">
        <f aca="false">IF(E111="","",COUNTIFS($E$5:$E$1000,E111,$AB$5:$AB$1000,AB111,$C$5:$C$1000,"&lt;&gt;"&amp;C111))</f>
        <v/>
      </c>
      <c r="Y111" s="33"/>
      <c r="Z111" s="31"/>
      <c r="AA111" s="33"/>
      <c r="AB111" s="37" t="str">
        <f aca="false">IF(B111="","",YEAR(B111)*100+MONTH(B111))</f>
        <v/>
      </c>
      <c r="AC111" s="37" t="str">
        <f aca="false">IF(AND(E111&lt;&gt;"",E111=Cruce!$C$5),COUNTIF($E$5:E111,E111),"")</f>
        <v/>
      </c>
      <c r="AD111" s="37" t="str">
        <f aca="false">IF(E111="","",C111&amp;"|"&amp;Y111&amp;"|"&amp;IF(B111="","s/f",TEXT(B111,"yyyymmdd")))</f>
        <v/>
      </c>
      <c r="AE111" s="37" t="n">
        <f aca="false">IF(E111="",0,IF(COUNTIFS($E$5:E111,E111,$AD$5:AD111,AD111)=1,1,0))</f>
        <v>0</v>
      </c>
    </row>
    <row r="112" customFormat="false" ht="15" hidden="false" customHeight="true" outlineLevel="0" collapsed="false">
      <c r="A112" s="31"/>
      <c r="B112" s="30"/>
      <c r="C112" s="31"/>
      <c r="D112" s="31"/>
      <c r="E112" s="32"/>
      <c r="F112" s="32"/>
      <c r="G112" s="33"/>
      <c r="H112" s="31"/>
      <c r="I112" s="24" t="str">
        <f aca="false">IF(B112="","",YEAR(B112))</f>
        <v/>
      </c>
      <c r="J112" s="34" t="str">
        <f aca="false">IF(B112="","",IF(MONTH(B112)=1,"X",""))</f>
        <v/>
      </c>
      <c r="K112" s="34" t="str">
        <f aca="false">IF(B112="","",IF(MONTH(B112)=2,"X",""))</f>
        <v/>
      </c>
      <c r="L112" s="34" t="str">
        <f aca="false">IF(B112="","",IF(MONTH(B112)=3,"X",""))</f>
        <v/>
      </c>
      <c r="M112" s="34" t="str">
        <f aca="false">IF(B112="","",IF(MONTH(B112)=4,"X",""))</f>
        <v/>
      </c>
      <c r="N112" s="34" t="str">
        <f aca="false">IF(B112="","",IF(MONTH(B112)=5,"X",""))</f>
        <v/>
      </c>
      <c r="O112" s="34" t="str">
        <f aca="false">IF(B112="","",IF(MONTH(B112)=6,"X",""))</f>
        <v/>
      </c>
      <c r="P112" s="34" t="str">
        <f aca="false">IF(B112="","",IF(MONTH(B112)=7,"X",""))</f>
        <v/>
      </c>
      <c r="Q112" s="34" t="str">
        <f aca="false">IF(B112="","",IF(MONTH(B112)=8,"X",""))</f>
        <v/>
      </c>
      <c r="R112" s="34" t="str">
        <f aca="false">IF(B112="","",IF(MONTH(B112)=9,"X",""))</f>
        <v/>
      </c>
      <c r="S112" s="34" t="str">
        <f aca="false">IF(B112="","",IF(MONTH(B112)=10,"X",""))</f>
        <v/>
      </c>
      <c r="T112" s="34" t="str">
        <f aca="false">IF(B112="","",IF(MONTH(B112)=11,"X",""))</f>
        <v/>
      </c>
      <c r="U112" s="34" t="str">
        <f aca="false">IF(B112="","",IF(MONTH(B112)=12,"X",""))</f>
        <v/>
      </c>
      <c r="V112" s="24" t="str">
        <f aca="false">IF(E112="","",COUNTIF($E$5:$E$1000,E112))</f>
        <v/>
      </c>
      <c r="W112" s="35" t="str">
        <f aca="false">IF(E112="","",_xlfn.TEXTJOIN(" + ",TRUE(),IF(COUNTIFS($E$5:$E$1000,E112,$C$5:$C$1000,"Auditoría Interna")&gt;0,"Interna",""),IF(COUNTIFS($E$5:$E$1000,E112,$C$5:$C$1000,"Auditoría Externa")&gt;0,"Externa",""),IF(COUNTIFS($E$5:$E$1000,E112,$C$5:$C$1000,"SSF")&gt;0,"SSF",""),IF(COUNTIFS($E$5:$E$1000,E112,$C$5:$C$1000,"Comité de Supervisión")&gt;0,"Comité Sup.",""),IF(COUNTIFS($E$5:$E$1000,E112,$C$5:$C$1000,"Consejo de Administración")&gt;0,"Consejo",""),IF(COUNTIFS($E$5:$E$1000,E112,$C$5:$C$1000,"Otros")&gt;0,"Otros","")))</f>
        <v/>
      </c>
      <c r="X112" s="24" t="str">
        <f aca="false">IF(E112="","",COUNTIFS($E$5:$E$1000,E112,$AB$5:$AB$1000,AB112,$C$5:$C$1000,"&lt;&gt;"&amp;C112))</f>
        <v/>
      </c>
      <c r="Y112" s="33"/>
      <c r="Z112" s="31"/>
      <c r="AA112" s="33"/>
      <c r="AB112" s="37" t="str">
        <f aca="false">IF(B112="","",YEAR(B112)*100+MONTH(B112))</f>
        <v/>
      </c>
      <c r="AC112" s="37" t="str">
        <f aca="false">IF(AND(E112&lt;&gt;"",E112=Cruce!$C$5),COUNTIF($E$5:E112,E112),"")</f>
        <v/>
      </c>
      <c r="AD112" s="37" t="str">
        <f aca="false">IF(E112="","",C112&amp;"|"&amp;Y112&amp;"|"&amp;IF(B112="","s/f",TEXT(B112,"yyyymmdd")))</f>
        <v/>
      </c>
      <c r="AE112" s="37" t="n">
        <f aca="false">IF(E112="",0,IF(COUNTIFS($E$5:E112,E112,$AD$5:AD112,AD112)=1,1,0))</f>
        <v>0</v>
      </c>
    </row>
    <row r="113" customFormat="false" ht="15" hidden="false" customHeight="true" outlineLevel="0" collapsed="false">
      <c r="A113" s="31"/>
      <c r="B113" s="30"/>
      <c r="C113" s="31"/>
      <c r="D113" s="31"/>
      <c r="E113" s="32"/>
      <c r="F113" s="32"/>
      <c r="G113" s="33"/>
      <c r="H113" s="31"/>
      <c r="I113" s="24" t="str">
        <f aca="false">IF(B113="","",YEAR(B113))</f>
        <v/>
      </c>
      <c r="J113" s="34" t="str">
        <f aca="false">IF(B113="","",IF(MONTH(B113)=1,"X",""))</f>
        <v/>
      </c>
      <c r="K113" s="34" t="str">
        <f aca="false">IF(B113="","",IF(MONTH(B113)=2,"X",""))</f>
        <v/>
      </c>
      <c r="L113" s="34" t="str">
        <f aca="false">IF(B113="","",IF(MONTH(B113)=3,"X",""))</f>
        <v/>
      </c>
      <c r="M113" s="34" t="str">
        <f aca="false">IF(B113="","",IF(MONTH(B113)=4,"X",""))</f>
        <v/>
      </c>
      <c r="N113" s="34" t="str">
        <f aca="false">IF(B113="","",IF(MONTH(B113)=5,"X",""))</f>
        <v/>
      </c>
      <c r="O113" s="34" t="str">
        <f aca="false">IF(B113="","",IF(MONTH(B113)=6,"X",""))</f>
        <v/>
      </c>
      <c r="P113" s="34" t="str">
        <f aca="false">IF(B113="","",IF(MONTH(B113)=7,"X",""))</f>
        <v/>
      </c>
      <c r="Q113" s="34" t="str">
        <f aca="false">IF(B113="","",IF(MONTH(B113)=8,"X",""))</f>
        <v/>
      </c>
      <c r="R113" s="34" t="str">
        <f aca="false">IF(B113="","",IF(MONTH(B113)=9,"X",""))</f>
        <v/>
      </c>
      <c r="S113" s="34" t="str">
        <f aca="false">IF(B113="","",IF(MONTH(B113)=10,"X",""))</f>
        <v/>
      </c>
      <c r="T113" s="34" t="str">
        <f aca="false">IF(B113="","",IF(MONTH(B113)=11,"X",""))</f>
        <v/>
      </c>
      <c r="U113" s="34" t="str">
        <f aca="false">IF(B113="","",IF(MONTH(B113)=12,"X",""))</f>
        <v/>
      </c>
      <c r="V113" s="24" t="str">
        <f aca="false">IF(E113="","",COUNTIF($E$5:$E$1000,E113))</f>
        <v/>
      </c>
      <c r="W113" s="35" t="str">
        <f aca="false">IF(E113="","",_xlfn.TEXTJOIN(" + ",TRUE(),IF(COUNTIFS($E$5:$E$1000,E113,$C$5:$C$1000,"Auditoría Interna")&gt;0,"Interna",""),IF(COUNTIFS($E$5:$E$1000,E113,$C$5:$C$1000,"Auditoría Externa")&gt;0,"Externa",""),IF(COUNTIFS($E$5:$E$1000,E113,$C$5:$C$1000,"SSF")&gt;0,"SSF",""),IF(COUNTIFS($E$5:$E$1000,E113,$C$5:$C$1000,"Comité de Supervisión")&gt;0,"Comité Sup.",""),IF(COUNTIFS($E$5:$E$1000,E113,$C$5:$C$1000,"Consejo de Administración")&gt;0,"Consejo",""),IF(COUNTIFS($E$5:$E$1000,E113,$C$5:$C$1000,"Otros")&gt;0,"Otros","")))</f>
        <v/>
      </c>
      <c r="X113" s="24" t="str">
        <f aca="false">IF(E113="","",COUNTIFS($E$5:$E$1000,E113,$AB$5:$AB$1000,AB113,$C$5:$C$1000,"&lt;&gt;"&amp;C113))</f>
        <v/>
      </c>
      <c r="Y113" s="33"/>
      <c r="Z113" s="31"/>
      <c r="AA113" s="33"/>
      <c r="AB113" s="37" t="str">
        <f aca="false">IF(B113="","",YEAR(B113)*100+MONTH(B113))</f>
        <v/>
      </c>
      <c r="AC113" s="37" t="str">
        <f aca="false">IF(AND(E113&lt;&gt;"",E113=Cruce!$C$5),COUNTIF($E$5:E113,E113),"")</f>
        <v/>
      </c>
      <c r="AD113" s="37" t="str">
        <f aca="false">IF(E113="","",C113&amp;"|"&amp;Y113&amp;"|"&amp;IF(B113="","s/f",TEXT(B113,"yyyymmdd")))</f>
        <v/>
      </c>
      <c r="AE113" s="37" t="n">
        <f aca="false">IF(E113="",0,IF(COUNTIFS($E$5:E113,E113,$AD$5:AD113,AD113)=1,1,0))</f>
        <v>0</v>
      </c>
    </row>
    <row r="114" customFormat="false" ht="15" hidden="false" customHeight="true" outlineLevel="0" collapsed="false">
      <c r="A114" s="31"/>
      <c r="B114" s="30"/>
      <c r="C114" s="31"/>
      <c r="D114" s="31"/>
      <c r="E114" s="32"/>
      <c r="F114" s="32"/>
      <c r="G114" s="33"/>
      <c r="H114" s="31"/>
      <c r="I114" s="24" t="str">
        <f aca="false">IF(B114="","",YEAR(B114))</f>
        <v/>
      </c>
      <c r="J114" s="34" t="str">
        <f aca="false">IF(B114="","",IF(MONTH(B114)=1,"X",""))</f>
        <v/>
      </c>
      <c r="K114" s="34" t="str">
        <f aca="false">IF(B114="","",IF(MONTH(B114)=2,"X",""))</f>
        <v/>
      </c>
      <c r="L114" s="34" t="str">
        <f aca="false">IF(B114="","",IF(MONTH(B114)=3,"X",""))</f>
        <v/>
      </c>
      <c r="M114" s="34" t="str">
        <f aca="false">IF(B114="","",IF(MONTH(B114)=4,"X",""))</f>
        <v/>
      </c>
      <c r="N114" s="34" t="str">
        <f aca="false">IF(B114="","",IF(MONTH(B114)=5,"X",""))</f>
        <v/>
      </c>
      <c r="O114" s="34" t="str">
        <f aca="false">IF(B114="","",IF(MONTH(B114)=6,"X",""))</f>
        <v/>
      </c>
      <c r="P114" s="34" t="str">
        <f aca="false">IF(B114="","",IF(MONTH(B114)=7,"X",""))</f>
        <v/>
      </c>
      <c r="Q114" s="34" t="str">
        <f aca="false">IF(B114="","",IF(MONTH(B114)=8,"X",""))</f>
        <v/>
      </c>
      <c r="R114" s="34" t="str">
        <f aca="false">IF(B114="","",IF(MONTH(B114)=9,"X",""))</f>
        <v/>
      </c>
      <c r="S114" s="34" t="str">
        <f aca="false">IF(B114="","",IF(MONTH(B114)=10,"X",""))</f>
        <v/>
      </c>
      <c r="T114" s="34" t="str">
        <f aca="false">IF(B114="","",IF(MONTH(B114)=11,"X",""))</f>
        <v/>
      </c>
      <c r="U114" s="34" t="str">
        <f aca="false">IF(B114="","",IF(MONTH(B114)=12,"X",""))</f>
        <v/>
      </c>
      <c r="V114" s="24" t="str">
        <f aca="false">IF(E114="","",COUNTIF($E$5:$E$1000,E114))</f>
        <v/>
      </c>
      <c r="W114" s="35" t="str">
        <f aca="false">IF(E114="","",_xlfn.TEXTJOIN(" + ",TRUE(),IF(COUNTIFS($E$5:$E$1000,E114,$C$5:$C$1000,"Auditoría Interna")&gt;0,"Interna",""),IF(COUNTIFS($E$5:$E$1000,E114,$C$5:$C$1000,"Auditoría Externa")&gt;0,"Externa",""),IF(COUNTIFS($E$5:$E$1000,E114,$C$5:$C$1000,"SSF")&gt;0,"SSF",""),IF(COUNTIFS($E$5:$E$1000,E114,$C$5:$C$1000,"Comité de Supervisión")&gt;0,"Comité Sup.",""),IF(COUNTIFS($E$5:$E$1000,E114,$C$5:$C$1000,"Consejo de Administración")&gt;0,"Consejo",""),IF(COUNTIFS($E$5:$E$1000,E114,$C$5:$C$1000,"Otros")&gt;0,"Otros","")))</f>
        <v/>
      </c>
      <c r="X114" s="24" t="str">
        <f aca="false">IF(E114="","",COUNTIFS($E$5:$E$1000,E114,$AB$5:$AB$1000,AB114,$C$5:$C$1000,"&lt;&gt;"&amp;C114))</f>
        <v/>
      </c>
      <c r="Y114" s="33"/>
      <c r="Z114" s="31"/>
      <c r="AA114" s="33"/>
      <c r="AB114" s="37" t="str">
        <f aca="false">IF(B114="","",YEAR(B114)*100+MONTH(B114))</f>
        <v/>
      </c>
      <c r="AC114" s="37" t="str">
        <f aca="false">IF(AND(E114&lt;&gt;"",E114=Cruce!$C$5),COUNTIF($E$5:E114,E114),"")</f>
        <v/>
      </c>
      <c r="AD114" s="37" t="str">
        <f aca="false">IF(E114="","",C114&amp;"|"&amp;Y114&amp;"|"&amp;IF(B114="","s/f",TEXT(B114,"yyyymmdd")))</f>
        <v/>
      </c>
      <c r="AE114" s="37" t="n">
        <f aca="false">IF(E114="",0,IF(COUNTIFS($E$5:E114,E114,$AD$5:AD114,AD114)=1,1,0))</f>
        <v>0</v>
      </c>
    </row>
    <row r="115" customFormat="false" ht="15" hidden="false" customHeight="true" outlineLevel="0" collapsed="false">
      <c r="A115" s="31"/>
      <c r="B115" s="30"/>
      <c r="C115" s="31"/>
      <c r="D115" s="31"/>
      <c r="E115" s="32"/>
      <c r="F115" s="32"/>
      <c r="G115" s="33"/>
      <c r="H115" s="31"/>
      <c r="I115" s="24" t="str">
        <f aca="false">IF(B115="","",YEAR(B115))</f>
        <v/>
      </c>
      <c r="J115" s="34" t="str">
        <f aca="false">IF(B115="","",IF(MONTH(B115)=1,"X",""))</f>
        <v/>
      </c>
      <c r="K115" s="34" t="str">
        <f aca="false">IF(B115="","",IF(MONTH(B115)=2,"X",""))</f>
        <v/>
      </c>
      <c r="L115" s="34" t="str">
        <f aca="false">IF(B115="","",IF(MONTH(B115)=3,"X",""))</f>
        <v/>
      </c>
      <c r="M115" s="34" t="str">
        <f aca="false">IF(B115="","",IF(MONTH(B115)=4,"X",""))</f>
        <v/>
      </c>
      <c r="N115" s="34" t="str">
        <f aca="false">IF(B115="","",IF(MONTH(B115)=5,"X",""))</f>
        <v/>
      </c>
      <c r="O115" s="34" t="str">
        <f aca="false">IF(B115="","",IF(MONTH(B115)=6,"X",""))</f>
        <v/>
      </c>
      <c r="P115" s="34" t="str">
        <f aca="false">IF(B115="","",IF(MONTH(B115)=7,"X",""))</f>
        <v/>
      </c>
      <c r="Q115" s="34" t="str">
        <f aca="false">IF(B115="","",IF(MONTH(B115)=8,"X",""))</f>
        <v/>
      </c>
      <c r="R115" s="34" t="str">
        <f aca="false">IF(B115="","",IF(MONTH(B115)=9,"X",""))</f>
        <v/>
      </c>
      <c r="S115" s="34" t="str">
        <f aca="false">IF(B115="","",IF(MONTH(B115)=10,"X",""))</f>
        <v/>
      </c>
      <c r="T115" s="34" t="str">
        <f aca="false">IF(B115="","",IF(MONTH(B115)=11,"X",""))</f>
        <v/>
      </c>
      <c r="U115" s="34" t="str">
        <f aca="false">IF(B115="","",IF(MONTH(B115)=12,"X",""))</f>
        <v/>
      </c>
      <c r="V115" s="24" t="str">
        <f aca="false">IF(E115="","",COUNTIF($E$5:$E$1000,E115))</f>
        <v/>
      </c>
      <c r="W115" s="35" t="str">
        <f aca="false">IF(E115="","",_xlfn.TEXTJOIN(" + ",TRUE(),IF(COUNTIFS($E$5:$E$1000,E115,$C$5:$C$1000,"Auditoría Interna")&gt;0,"Interna",""),IF(COUNTIFS($E$5:$E$1000,E115,$C$5:$C$1000,"Auditoría Externa")&gt;0,"Externa",""),IF(COUNTIFS($E$5:$E$1000,E115,$C$5:$C$1000,"SSF")&gt;0,"SSF",""),IF(COUNTIFS($E$5:$E$1000,E115,$C$5:$C$1000,"Comité de Supervisión")&gt;0,"Comité Sup.",""),IF(COUNTIFS($E$5:$E$1000,E115,$C$5:$C$1000,"Consejo de Administración")&gt;0,"Consejo",""),IF(COUNTIFS($E$5:$E$1000,E115,$C$5:$C$1000,"Otros")&gt;0,"Otros","")))</f>
        <v/>
      </c>
      <c r="X115" s="24" t="str">
        <f aca="false">IF(E115="","",COUNTIFS($E$5:$E$1000,E115,$AB$5:$AB$1000,AB115,$C$5:$C$1000,"&lt;&gt;"&amp;C115))</f>
        <v/>
      </c>
      <c r="Y115" s="33"/>
      <c r="Z115" s="31"/>
      <c r="AA115" s="33"/>
      <c r="AB115" s="37" t="str">
        <f aca="false">IF(B115="","",YEAR(B115)*100+MONTH(B115))</f>
        <v/>
      </c>
      <c r="AC115" s="37" t="str">
        <f aca="false">IF(AND(E115&lt;&gt;"",E115=Cruce!$C$5),COUNTIF($E$5:E115,E115),"")</f>
        <v/>
      </c>
      <c r="AD115" s="37" t="str">
        <f aca="false">IF(E115="","",C115&amp;"|"&amp;Y115&amp;"|"&amp;IF(B115="","s/f",TEXT(B115,"yyyymmdd")))</f>
        <v/>
      </c>
      <c r="AE115" s="37" t="n">
        <f aca="false">IF(E115="",0,IF(COUNTIFS($E$5:E115,E115,$AD$5:AD115,AD115)=1,1,0))</f>
        <v>0</v>
      </c>
    </row>
    <row r="116" customFormat="false" ht="15" hidden="false" customHeight="true" outlineLevel="0" collapsed="false">
      <c r="A116" s="31"/>
      <c r="B116" s="30"/>
      <c r="C116" s="31"/>
      <c r="D116" s="31"/>
      <c r="E116" s="32"/>
      <c r="F116" s="32"/>
      <c r="G116" s="33"/>
      <c r="H116" s="31"/>
      <c r="I116" s="24" t="str">
        <f aca="false">IF(B116="","",YEAR(B116))</f>
        <v/>
      </c>
      <c r="J116" s="34" t="str">
        <f aca="false">IF(B116="","",IF(MONTH(B116)=1,"X",""))</f>
        <v/>
      </c>
      <c r="K116" s="34" t="str">
        <f aca="false">IF(B116="","",IF(MONTH(B116)=2,"X",""))</f>
        <v/>
      </c>
      <c r="L116" s="34" t="str">
        <f aca="false">IF(B116="","",IF(MONTH(B116)=3,"X",""))</f>
        <v/>
      </c>
      <c r="M116" s="34" t="str">
        <f aca="false">IF(B116="","",IF(MONTH(B116)=4,"X",""))</f>
        <v/>
      </c>
      <c r="N116" s="34" t="str">
        <f aca="false">IF(B116="","",IF(MONTH(B116)=5,"X",""))</f>
        <v/>
      </c>
      <c r="O116" s="34" t="str">
        <f aca="false">IF(B116="","",IF(MONTH(B116)=6,"X",""))</f>
        <v/>
      </c>
      <c r="P116" s="34" t="str">
        <f aca="false">IF(B116="","",IF(MONTH(B116)=7,"X",""))</f>
        <v/>
      </c>
      <c r="Q116" s="34" t="str">
        <f aca="false">IF(B116="","",IF(MONTH(B116)=8,"X",""))</f>
        <v/>
      </c>
      <c r="R116" s="34" t="str">
        <f aca="false">IF(B116="","",IF(MONTH(B116)=9,"X",""))</f>
        <v/>
      </c>
      <c r="S116" s="34" t="str">
        <f aca="false">IF(B116="","",IF(MONTH(B116)=10,"X",""))</f>
        <v/>
      </c>
      <c r="T116" s="34" t="str">
        <f aca="false">IF(B116="","",IF(MONTH(B116)=11,"X",""))</f>
        <v/>
      </c>
      <c r="U116" s="34" t="str">
        <f aca="false">IF(B116="","",IF(MONTH(B116)=12,"X",""))</f>
        <v/>
      </c>
      <c r="V116" s="24" t="str">
        <f aca="false">IF(E116="","",COUNTIF($E$5:$E$1000,E116))</f>
        <v/>
      </c>
      <c r="W116" s="35" t="str">
        <f aca="false">IF(E116="","",_xlfn.TEXTJOIN(" + ",TRUE(),IF(COUNTIFS($E$5:$E$1000,E116,$C$5:$C$1000,"Auditoría Interna")&gt;0,"Interna",""),IF(COUNTIFS($E$5:$E$1000,E116,$C$5:$C$1000,"Auditoría Externa")&gt;0,"Externa",""),IF(COUNTIFS($E$5:$E$1000,E116,$C$5:$C$1000,"SSF")&gt;0,"SSF",""),IF(COUNTIFS($E$5:$E$1000,E116,$C$5:$C$1000,"Comité de Supervisión")&gt;0,"Comité Sup.",""),IF(COUNTIFS($E$5:$E$1000,E116,$C$5:$C$1000,"Consejo de Administración")&gt;0,"Consejo",""),IF(COUNTIFS($E$5:$E$1000,E116,$C$5:$C$1000,"Otros")&gt;0,"Otros","")))</f>
        <v/>
      </c>
      <c r="X116" s="24" t="str">
        <f aca="false">IF(E116="","",COUNTIFS($E$5:$E$1000,E116,$AB$5:$AB$1000,AB116,$C$5:$C$1000,"&lt;&gt;"&amp;C116))</f>
        <v/>
      </c>
      <c r="Y116" s="33"/>
      <c r="Z116" s="31"/>
      <c r="AA116" s="33"/>
      <c r="AB116" s="37" t="str">
        <f aca="false">IF(B116="","",YEAR(B116)*100+MONTH(B116))</f>
        <v/>
      </c>
      <c r="AC116" s="37" t="str">
        <f aca="false">IF(AND(E116&lt;&gt;"",E116=Cruce!$C$5),COUNTIF($E$5:E116,E116),"")</f>
        <v/>
      </c>
      <c r="AD116" s="37" t="str">
        <f aca="false">IF(E116="","",C116&amp;"|"&amp;Y116&amp;"|"&amp;IF(B116="","s/f",TEXT(B116,"yyyymmdd")))</f>
        <v/>
      </c>
      <c r="AE116" s="37" t="n">
        <f aca="false">IF(E116="",0,IF(COUNTIFS($E$5:E116,E116,$AD$5:AD116,AD116)=1,1,0))</f>
        <v>0</v>
      </c>
    </row>
    <row r="117" customFormat="false" ht="15" hidden="false" customHeight="true" outlineLevel="0" collapsed="false">
      <c r="A117" s="31"/>
      <c r="B117" s="30"/>
      <c r="C117" s="31"/>
      <c r="D117" s="31"/>
      <c r="E117" s="32"/>
      <c r="F117" s="32"/>
      <c r="G117" s="33"/>
      <c r="H117" s="31"/>
      <c r="I117" s="24" t="str">
        <f aca="false">IF(B117="","",YEAR(B117))</f>
        <v/>
      </c>
      <c r="J117" s="34" t="str">
        <f aca="false">IF(B117="","",IF(MONTH(B117)=1,"X",""))</f>
        <v/>
      </c>
      <c r="K117" s="34" t="str">
        <f aca="false">IF(B117="","",IF(MONTH(B117)=2,"X",""))</f>
        <v/>
      </c>
      <c r="L117" s="34" t="str">
        <f aca="false">IF(B117="","",IF(MONTH(B117)=3,"X",""))</f>
        <v/>
      </c>
      <c r="M117" s="34" t="str">
        <f aca="false">IF(B117="","",IF(MONTH(B117)=4,"X",""))</f>
        <v/>
      </c>
      <c r="N117" s="34" t="str">
        <f aca="false">IF(B117="","",IF(MONTH(B117)=5,"X",""))</f>
        <v/>
      </c>
      <c r="O117" s="34" t="str">
        <f aca="false">IF(B117="","",IF(MONTH(B117)=6,"X",""))</f>
        <v/>
      </c>
      <c r="P117" s="34" t="str">
        <f aca="false">IF(B117="","",IF(MONTH(B117)=7,"X",""))</f>
        <v/>
      </c>
      <c r="Q117" s="34" t="str">
        <f aca="false">IF(B117="","",IF(MONTH(B117)=8,"X",""))</f>
        <v/>
      </c>
      <c r="R117" s="34" t="str">
        <f aca="false">IF(B117="","",IF(MONTH(B117)=9,"X",""))</f>
        <v/>
      </c>
      <c r="S117" s="34" t="str">
        <f aca="false">IF(B117="","",IF(MONTH(B117)=10,"X",""))</f>
        <v/>
      </c>
      <c r="T117" s="34" t="str">
        <f aca="false">IF(B117="","",IF(MONTH(B117)=11,"X",""))</f>
        <v/>
      </c>
      <c r="U117" s="34" t="str">
        <f aca="false">IF(B117="","",IF(MONTH(B117)=12,"X",""))</f>
        <v/>
      </c>
      <c r="V117" s="24" t="str">
        <f aca="false">IF(E117="","",COUNTIF($E$5:$E$1000,E117))</f>
        <v/>
      </c>
      <c r="W117" s="35" t="str">
        <f aca="false">IF(E117="","",_xlfn.TEXTJOIN(" + ",TRUE(),IF(COUNTIFS($E$5:$E$1000,E117,$C$5:$C$1000,"Auditoría Interna")&gt;0,"Interna",""),IF(COUNTIFS($E$5:$E$1000,E117,$C$5:$C$1000,"Auditoría Externa")&gt;0,"Externa",""),IF(COUNTIFS($E$5:$E$1000,E117,$C$5:$C$1000,"SSF")&gt;0,"SSF",""),IF(COUNTIFS($E$5:$E$1000,E117,$C$5:$C$1000,"Comité de Supervisión")&gt;0,"Comité Sup.",""),IF(COUNTIFS($E$5:$E$1000,E117,$C$5:$C$1000,"Consejo de Administración")&gt;0,"Consejo",""),IF(COUNTIFS($E$5:$E$1000,E117,$C$5:$C$1000,"Otros")&gt;0,"Otros","")))</f>
        <v/>
      </c>
      <c r="X117" s="24" t="str">
        <f aca="false">IF(E117="","",COUNTIFS($E$5:$E$1000,E117,$AB$5:$AB$1000,AB117,$C$5:$C$1000,"&lt;&gt;"&amp;C117))</f>
        <v/>
      </c>
      <c r="Y117" s="33"/>
      <c r="Z117" s="31"/>
      <c r="AA117" s="33"/>
      <c r="AB117" s="37" t="str">
        <f aca="false">IF(B117="","",YEAR(B117)*100+MONTH(B117))</f>
        <v/>
      </c>
      <c r="AC117" s="37" t="str">
        <f aca="false">IF(AND(E117&lt;&gt;"",E117=Cruce!$C$5),COUNTIF($E$5:E117,E117),"")</f>
        <v/>
      </c>
      <c r="AD117" s="37" t="str">
        <f aca="false">IF(E117="","",C117&amp;"|"&amp;Y117&amp;"|"&amp;IF(B117="","s/f",TEXT(B117,"yyyymmdd")))</f>
        <v/>
      </c>
      <c r="AE117" s="37" t="n">
        <f aca="false">IF(E117="",0,IF(COUNTIFS($E$5:E117,E117,$AD$5:AD117,AD117)=1,1,0))</f>
        <v>0</v>
      </c>
    </row>
    <row r="118" customFormat="false" ht="15" hidden="false" customHeight="true" outlineLevel="0" collapsed="false">
      <c r="A118" s="31"/>
      <c r="B118" s="30"/>
      <c r="C118" s="31"/>
      <c r="D118" s="31"/>
      <c r="E118" s="32"/>
      <c r="F118" s="32"/>
      <c r="G118" s="33"/>
      <c r="H118" s="31"/>
      <c r="I118" s="24" t="str">
        <f aca="false">IF(B118="","",YEAR(B118))</f>
        <v/>
      </c>
      <c r="J118" s="34" t="str">
        <f aca="false">IF(B118="","",IF(MONTH(B118)=1,"X",""))</f>
        <v/>
      </c>
      <c r="K118" s="34" t="str">
        <f aca="false">IF(B118="","",IF(MONTH(B118)=2,"X",""))</f>
        <v/>
      </c>
      <c r="L118" s="34" t="str">
        <f aca="false">IF(B118="","",IF(MONTH(B118)=3,"X",""))</f>
        <v/>
      </c>
      <c r="M118" s="34" t="str">
        <f aca="false">IF(B118="","",IF(MONTH(B118)=4,"X",""))</f>
        <v/>
      </c>
      <c r="N118" s="34" t="str">
        <f aca="false">IF(B118="","",IF(MONTH(B118)=5,"X",""))</f>
        <v/>
      </c>
      <c r="O118" s="34" t="str">
        <f aca="false">IF(B118="","",IF(MONTH(B118)=6,"X",""))</f>
        <v/>
      </c>
      <c r="P118" s="34" t="str">
        <f aca="false">IF(B118="","",IF(MONTH(B118)=7,"X",""))</f>
        <v/>
      </c>
      <c r="Q118" s="34" t="str">
        <f aca="false">IF(B118="","",IF(MONTH(B118)=8,"X",""))</f>
        <v/>
      </c>
      <c r="R118" s="34" t="str">
        <f aca="false">IF(B118="","",IF(MONTH(B118)=9,"X",""))</f>
        <v/>
      </c>
      <c r="S118" s="34" t="str">
        <f aca="false">IF(B118="","",IF(MONTH(B118)=10,"X",""))</f>
        <v/>
      </c>
      <c r="T118" s="34" t="str">
        <f aca="false">IF(B118="","",IF(MONTH(B118)=11,"X",""))</f>
        <v/>
      </c>
      <c r="U118" s="34" t="str">
        <f aca="false">IF(B118="","",IF(MONTH(B118)=12,"X",""))</f>
        <v/>
      </c>
      <c r="V118" s="24" t="str">
        <f aca="false">IF(E118="","",COUNTIF($E$5:$E$1000,E118))</f>
        <v/>
      </c>
      <c r="W118" s="35" t="str">
        <f aca="false">IF(E118="","",_xlfn.TEXTJOIN(" + ",TRUE(),IF(COUNTIFS($E$5:$E$1000,E118,$C$5:$C$1000,"Auditoría Interna")&gt;0,"Interna",""),IF(COUNTIFS($E$5:$E$1000,E118,$C$5:$C$1000,"Auditoría Externa")&gt;0,"Externa",""),IF(COUNTIFS($E$5:$E$1000,E118,$C$5:$C$1000,"SSF")&gt;0,"SSF",""),IF(COUNTIFS($E$5:$E$1000,E118,$C$5:$C$1000,"Comité de Supervisión")&gt;0,"Comité Sup.",""),IF(COUNTIFS($E$5:$E$1000,E118,$C$5:$C$1000,"Consejo de Administración")&gt;0,"Consejo",""),IF(COUNTIFS($E$5:$E$1000,E118,$C$5:$C$1000,"Otros")&gt;0,"Otros","")))</f>
        <v/>
      </c>
      <c r="X118" s="24" t="str">
        <f aca="false">IF(E118="","",COUNTIFS($E$5:$E$1000,E118,$AB$5:$AB$1000,AB118,$C$5:$C$1000,"&lt;&gt;"&amp;C118))</f>
        <v/>
      </c>
      <c r="Y118" s="33"/>
      <c r="Z118" s="31"/>
      <c r="AA118" s="33"/>
      <c r="AB118" s="37" t="str">
        <f aca="false">IF(B118="","",YEAR(B118)*100+MONTH(B118))</f>
        <v/>
      </c>
      <c r="AC118" s="37" t="str">
        <f aca="false">IF(AND(E118&lt;&gt;"",E118=Cruce!$C$5),COUNTIF($E$5:E118,E118),"")</f>
        <v/>
      </c>
      <c r="AD118" s="37" t="str">
        <f aca="false">IF(E118="","",C118&amp;"|"&amp;Y118&amp;"|"&amp;IF(B118="","s/f",TEXT(B118,"yyyymmdd")))</f>
        <v/>
      </c>
      <c r="AE118" s="37" t="n">
        <f aca="false">IF(E118="",0,IF(COUNTIFS($E$5:E118,E118,$AD$5:AD118,AD118)=1,1,0))</f>
        <v>0</v>
      </c>
    </row>
    <row r="119" customFormat="false" ht="15" hidden="false" customHeight="true" outlineLevel="0" collapsed="false">
      <c r="A119" s="31"/>
      <c r="B119" s="30"/>
      <c r="C119" s="31"/>
      <c r="D119" s="31"/>
      <c r="E119" s="32"/>
      <c r="F119" s="32"/>
      <c r="G119" s="33"/>
      <c r="H119" s="31"/>
      <c r="I119" s="24" t="str">
        <f aca="false">IF(B119="","",YEAR(B119))</f>
        <v/>
      </c>
      <c r="J119" s="34" t="str">
        <f aca="false">IF(B119="","",IF(MONTH(B119)=1,"X",""))</f>
        <v/>
      </c>
      <c r="K119" s="34" t="str">
        <f aca="false">IF(B119="","",IF(MONTH(B119)=2,"X",""))</f>
        <v/>
      </c>
      <c r="L119" s="34" t="str">
        <f aca="false">IF(B119="","",IF(MONTH(B119)=3,"X",""))</f>
        <v/>
      </c>
      <c r="M119" s="34" t="str">
        <f aca="false">IF(B119="","",IF(MONTH(B119)=4,"X",""))</f>
        <v/>
      </c>
      <c r="N119" s="34" t="str">
        <f aca="false">IF(B119="","",IF(MONTH(B119)=5,"X",""))</f>
        <v/>
      </c>
      <c r="O119" s="34" t="str">
        <f aca="false">IF(B119="","",IF(MONTH(B119)=6,"X",""))</f>
        <v/>
      </c>
      <c r="P119" s="34" t="str">
        <f aca="false">IF(B119="","",IF(MONTH(B119)=7,"X",""))</f>
        <v/>
      </c>
      <c r="Q119" s="34" t="str">
        <f aca="false">IF(B119="","",IF(MONTH(B119)=8,"X",""))</f>
        <v/>
      </c>
      <c r="R119" s="34" t="str">
        <f aca="false">IF(B119="","",IF(MONTH(B119)=9,"X",""))</f>
        <v/>
      </c>
      <c r="S119" s="34" t="str">
        <f aca="false">IF(B119="","",IF(MONTH(B119)=10,"X",""))</f>
        <v/>
      </c>
      <c r="T119" s="34" t="str">
        <f aca="false">IF(B119="","",IF(MONTH(B119)=11,"X",""))</f>
        <v/>
      </c>
      <c r="U119" s="34" t="str">
        <f aca="false">IF(B119="","",IF(MONTH(B119)=12,"X",""))</f>
        <v/>
      </c>
      <c r="V119" s="24" t="str">
        <f aca="false">IF(E119="","",COUNTIF($E$5:$E$1000,E119))</f>
        <v/>
      </c>
      <c r="W119" s="35" t="str">
        <f aca="false">IF(E119="","",_xlfn.TEXTJOIN(" + ",TRUE(),IF(COUNTIFS($E$5:$E$1000,E119,$C$5:$C$1000,"Auditoría Interna")&gt;0,"Interna",""),IF(COUNTIFS($E$5:$E$1000,E119,$C$5:$C$1000,"Auditoría Externa")&gt;0,"Externa",""),IF(COUNTIFS($E$5:$E$1000,E119,$C$5:$C$1000,"SSF")&gt;0,"SSF",""),IF(COUNTIFS($E$5:$E$1000,E119,$C$5:$C$1000,"Comité de Supervisión")&gt;0,"Comité Sup.",""),IF(COUNTIFS($E$5:$E$1000,E119,$C$5:$C$1000,"Consejo de Administración")&gt;0,"Consejo",""),IF(COUNTIFS($E$5:$E$1000,E119,$C$5:$C$1000,"Otros")&gt;0,"Otros","")))</f>
        <v/>
      </c>
      <c r="X119" s="24" t="str">
        <f aca="false">IF(E119="","",COUNTIFS($E$5:$E$1000,E119,$AB$5:$AB$1000,AB119,$C$5:$C$1000,"&lt;&gt;"&amp;C119))</f>
        <v/>
      </c>
      <c r="Y119" s="33"/>
      <c r="Z119" s="31"/>
      <c r="AA119" s="33"/>
      <c r="AB119" s="37" t="str">
        <f aca="false">IF(B119="","",YEAR(B119)*100+MONTH(B119))</f>
        <v/>
      </c>
      <c r="AC119" s="37" t="str">
        <f aca="false">IF(AND(E119&lt;&gt;"",E119=Cruce!$C$5),COUNTIF($E$5:E119,E119),"")</f>
        <v/>
      </c>
      <c r="AD119" s="37" t="str">
        <f aca="false">IF(E119="","",C119&amp;"|"&amp;Y119&amp;"|"&amp;IF(B119="","s/f",TEXT(B119,"yyyymmdd")))</f>
        <v/>
      </c>
      <c r="AE119" s="37" t="n">
        <f aca="false">IF(E119="",0,IF(COUNTIFS($E$5:E119,E119,$AD$5:AD119,AD119)=1,1,0))</f>
        <v>0</v>
      </c>
    </row>
    <row r="120" customFormat="false" ht="15" hidden="false" customHeight="true" outlineLevel="0" collapsed="false">
      <c r="A120" s="31"/>
      <c r="B120" s="30"/>
      <c r="C120" s="31"/>
      <c r="D120" s="31"/>
      <c r="E120" s="32"/>
      <c r="F120" s="32"/>
      <c r="G120" s="33"/>
      <c r="H120" s="31"/>
      <c r="I120" s="24" t="str">
        <f aca="false">IF(B120="","",YEAR(B120))</f>
        <v/>
      </c>
      <c r="J120" s="34" t="str">
        <f aca="false">IF(B120="","",IF(MONTH(B120)=1,"X",""))</f>
        <v/>
      </c>
      <c r="K120" s="34" t="str">
        <f aca="false">IF(B120="","",IF(MONTH(B120)=2,"X",""))</f>
        <v/>
      </c>
      <c r="L120" s="34" t="str">
        <f aca="false">IF(B120="","",IF(MONTH(B120)=3,"X",""))</f>
        <v/>
      </c>
      <c r="M120" s="34" t="str">
        <f aca="false">IF(B120="","",IF(MONTH(B120)=4,"X",""))</f>
        <v/>
      </c>
      <c r="N120" s="34" t="str">
        <f aca="false">IF(B120="","",IF(MONTH(B120)=5,"X",""))</f>
        <v/>
      </c>
      <c r="O120" s="34" t="str">
        <f aca="false">IF(B120="","",IF(MONTH(B120)=6,"X",""))</f>
        <v/>
      </c>
      <c r="P120" s="34" t="str">
        <f aca="false">IF(B120="","",IF(MONTH(B120)=7,"X",""))</f>
        <v/>
      </c>
      <c r="Q120" s="34" t="str">
        <f aca="false">IF(B120="","",IF(MONTH(B120)=8,"X",""))</f>
        <v/>
      </c>
      <c r="R120" s="34" t="str">
        <f aca="false">IF(B120="","",IF(MONTH(B120)=9,"X",""))</f>
        <v/>
      </c>
      <c r="S120" s="34" t="str">
        <f aca="false">IF(B120="","",IF(MONTH(B120)=10,"X",""))</f>
        <v/>
      </c>
      <c r="T120" s="34" t="str">
        <f aca="false">IF(B120="","",IF(MONTH(B120)=11,"X",""))</f>
        <v/>
      </c>
      <c r="U120" s="34" t="str">
        <f aca="false">IF(B120="","",IF(MONTH(B120)=12,"X",""))</f>
        <v/>
      </c>
      <c r="V120" s="24" t="str">
        <f aca="false">IF(E120="","",COUNTIF($E$5:$E$1000,E120))</f>
        <v/>
      </c>
      <c r="W120" s="35" t="str">
        <f aca="false">IF(E120="","",_xlfn.TEXTJOIN(" + ",TRUE(),IF(COUNTIFS($E$5:$E$1000,E120,$C$5:$C$1000,"Auditoría Interna")&gt;0,"Interna",""),IF(COUNTIFS($E$5:$E$1000,E120,$C$5:$C$1000,"Auditoría Externa")&gt;0,"Externa",""),IF(COUNTIFS($E$5:$E$1000,E120,$C$5:$C$1000,"SSF")&gt;0,"SSF",""),IF(COUNTIFS($E$5:$E$1000,E120,$C$5:$C$1000,"Comité de Supervisión")&gt;0,"Comité Sup.",""),IF(COUNTIFS($E$5:$E$1000,E120,$C$5:$C$1000,"Consejo de Administración")&gt;0,"Consejo",""),IF(COUNTIFS($E$5:$E$1000,E120,$C$5:$C$1000,"Otros")&gt;0,"Otros","")))</f>
        <v/>
      </c>
      <c r="X120" s="24" t="str">
        <f aca="false">IF(E120="","",COUNTIFS($E$5:$E$1000,E120,$AB$5:$AB$1000,AB120,$C$5:$C$1000,"&lt;&gt;"&amp;C120))</f>
        <v/>
      </c>
      <c r="Y120" s="33"/>
      <c r="Z120" s="31"/>
      <c r="AA120" s="33"/>
      <c r="AB120" s="37" t="str">
        <f aca="false">IF(B120="","",YEAR(B120)*100+MONTH(B120))</f>
        <v/>
      </c>
      <c r="AC120" s="37" t="str">
        <f aca="false">IF(AND(E120&lt;&gt;"",E120=Cruce!$C$5),COUNTIF($E$5:E120,E120),"")</f>
        <v/>
      </c>
      <c r="AD120" s="37" t="str">
        <f aca="false">IF(E120="","",C120&amp;"|"&amp;Y120&amp;"|"&amp;IF(B120="","s/f",TEXT(B120,"yyyymmdd")))</f>
        <v/>
      </c>
      <c r="AE120" s="37" t="n">
        <f aca="false">IF(E120="",0,IF(COUNTIFS($E$5:E120,E120,$AD$5:AD120,AD120)=1,1,0))</f>
        <v>0</v>
      </c>
    </row>
    <row r="121" customFormat="false" ht="15" hidden="false" customHeight="true" outlineLevel="0" collapsed="false">
      <c r="A121" s="31"/>
      <c r="B121" s="30"/>
      <c r="C121" s="31"/>
      <c r="D121" s="31"/>
      <c r="E121" s="32"/>
      <c r="F121" s="32"/>
      <c r="G121" s="33"/>
      <c r="H121" s="31"/>
      <c r="I121" s="24" t="str">
        <f aca="false">IF(B121="","",YEAR(B121))</f>
        <v/>
      </c>
      <c r="J121" s="34" t="str">
        <f aca="false">IF(B121="","",IF(MONTH(B121)=1,"X",""))</f>
        <v/>
      </c>
      <c r="K121" s="34" t="str">
        <f aca="false">IF(B121="","",IF(MONTH(B121)=2,"X",""))</f>
        <v/>
      </c>
      <c r="L121" s="34" t="str">
        <f aca="false">IF(B121="","",IF(MONTH(B121)=3,"X",""))</f>
        <v/>
      </c>
      <c r="M121" s="34" t="str">
        <f aca="false">IF(B121="","",IF(MONTH(B121)=4,"X",""))</f>
        <v/>
      </c>
      <c r="N121" s="34" t="str">
        <f aca="false">IF(B121="","",IF(MONTH(B121)=5,"X",""))</f>
        <v/>
      </c>
      <c r="O121" s="34" t="str">
        <f aca="false">IF(B121="","",IF(MONTH(B121)=6,"X",""))</f>
        <v/>
      </c>
      <c r="P121" s="34" t="str">
        <f aca="false">IF(B121="","",IF(MONTH(B121)=7,"X",""))</f>
        <v/>
      </c>
      <c r="Q121" s="34" t="str">
        <f aca="false">IF(B121="","",IF(MONTH(B121)=8,"X",""))</f>
        <v/>
      </c>
      <c r="R121" s="34" t="str">
        <f aca="false">IF(B121="","",IF(MONTH(B121)=9,"X",""))</f>
        <v/>
      </c>
      <c r="S121" s="34" t="str">
        <f aca="false">IF(B121="","",IF(MONTH(B121)=10,"X",""))</f>
        <v/>
      </c>
      <c r="T121" s="34" t="str">
        <f aca="false">IF(B121="","",IF(MONTH(B121)=11,"X",""))</f>
        <v/>
      </c>
      <c r="U121" s="34" t="str">
        <f aca="false">IF(B121="","",IF(MONTH(B121)=12,"X",""))</f>
        <v/>
      </c>
      <c r="V121" s="24" t="str">
        <f aca="false">IF(E121="","",COUNTIF($E$5:$E$1000,E121))</f>
        <v/>
      </c>
      <c r="W121" s="35" t="str">
        <f aca="false">IF(E121="","",_xlfn.TEXTJOIN(" + ",TRUE(),IF(COUNTIFS($E$5:$E$1000,E121,$C$5:$C$1000,"Auditoría Interna")&gt;0,"Interna",""),IF(COUNTIFS($E$5:$E$1000,E121,$C$5:$C$1000,"Auditoría Externa")&gt;0,"Externa",""),IF(COUNTIFS($E$5:$E$1000,E121,$C$5:$C$1000,"SSF")&gt;0,"SSF",""),IF(COUNTIFS($E$5:$E$1000,E121,$C$5:$C$1000,"Comité de Supervisión")&gt;0,"Comité Sup.",""),IF(COUNTIFS($E$5:$E$1000,E121,$C$5:$C$1000,"Consejo de Administración")&gt;0,"Consejo",""),IF(COUNTIFS($E$5:$E$1000,E121,$C$5:$C$1000,"Otros")&gt;0,"Otros","")))</f>
        <v/>
      </c>
      <c r="X121" s="24" t="str">
        <f aca="false">IF(E121="","",COUNTIFS($E$5:$E$1000,E121,$AB$5:$AB$1000,AB121,$C$5:$C$1000,"&lt;&gt;"&amp;C121))</f>
        <v/>
      </c>
      <c r="Y121" s="33"/>
      <c r="Z121" s="31"/>
      <c r="AA121" s="33"/>
      <c r="AB121" s="37" t="str">
        <f aca="false">IF(B121="","",YEAR(B121)*100+MONTH(B121))</f>
        <v/>
      </c>
      <c r="AC121" s="37" t="str">
        <f aca="false">IF(AND(E121&lt;&gt;"",E121=Cruce!$C$5),COUNTIF($E$5:E121,E121),"")</f>
        <v/>
      </c>
      <c r="AD121" s="37" t="str">
        <f aca="false">IF(E121="","",C121&amp;"|"&amp;Y121&amp;"|"&amp;IF(B121="","s/f",TEXT(B121,"yyyymmdd")))</f>
        <v/>
      </c>
      <c r="AE121" s="37" t="n">
        <f aca="false">IF(E121="",0,IF(COUNTIFS($E$5:E121,E121,$AD$5:AD121,AD121)=1,1,0))</f>
        <v>0</v>
      </c>
    </row>
    <row r="122" customFormat="false" ht="15" hidden="false" customHeight="true" outlineLevel="0" collapsed="false">
      <c r="A122" s="31"/>
      <c r="B122" s="30"/>
      <c r="C122" s="31"/>
      <c r="D122" s="31"/>
      <c r="E122" s="32"/>
      <c r="F122" s="32"/>
      <c r="G122" s="33"/>
      <c r="H122" s="31"/>
      <c r="I122" s="24" t="str">
        <f aca="false">IF(B122="","",YEAR(B122))</f>
        <v/>
      </c>
      <c r="J122" s="34" t="str">
        <f aca="false">IF(B122="","",IF(MONTH(B122)=1,"X",""))</f>
        <v/>
      </c>
      <c r="K122" s="34" t="str">
        <f aca="false">IF(B122="","",IF(MONTH(B122)=2,"X",""))</f>
        <v/>
      </c>
      <c r="L122" s="34" t="str">
        <f aca="false">IF(B122="","",IF(MONTH(B122)=3,"X",""))</f>
        <v/>
      </c>
      <c r="M122" s="34" t="str">
        <f aca="false">IF(B122="","",IF(MONTH(B122)=4,"X",""))</f>
        <v/>
      </c>
      <c r="N122" s="34" t="str">
        <f aca="false">IF(B122="","",IF(MONTH(B122)=5,"X",""))</f>
        <v/>
      </c>
      <c r="O122" s="34" t="str">
        <f aca="false">IF(B122="","",IF(MONTH(B122)=6,"X",""))</f>
        <v/>
      </c>
      <c r="P122" s="34" t="str">
        <f aca="false">IF(B122="","",IF(MONTH(B122)=7,"X",""))</f>
        <v/>
      </c>
      <c r="Q122" s="34" t="str">
        <f aca="false">IF(B122="","",IF(MONTH(B122)=8,"X",""))</f>
        <v/>
      </c>
      <c r="R122" s="34" t="str">
        <f aca="false">IF(B122="","",IF(MONTH(B122)=9,"X",""))</f>
        <v/>
      </c>
      <c r="S122" s="34" t="str">
        <f aca="false">IF(B122="","",IF(MONTH(B122)=10,"X",""))</f>
        <v/>
      </c>
      <c r="T122" s="34" t="str">
        <f aca="false">IF(B122="","",IF(MONTH(B122)=11,"X",""))</f>
        <v/>
      </c>
      <c r="U122" s="34" t="str">
        <f aca="false">IF(B122="","",IF(MONTH(B122)=12,"X",""))</f>
        <v/>
      </c>
      <c r="V122" s="24" t="str">
        <f aca="false">IF(E122="","",COUNTIF($E$5:$E$1000,E122))</f>
        <v/>
      </c>
      <c r="W122" s="35" t="str">
        <f aca="false">IF(E122="","",_xlfn.TEXTJOIN(" + ",TRUE(),IF(COUNTIFS($E$5:$E$1000,E122,$C$5:$C$1000,"Auditoría Interna")&gt;0,"Interna",""),IF(COUNTIFS($E$5:$E$1000,E122,$C$5:$C$1000,"Auditoría Externa")&gt;0,"Externa",""),IF(COUNTIFS($E$5:$E$1000,E122,$C$5:$C$1000,"SSF")&gt;0,"SSF",""),IF(COUNTIFS($E$5:$E$1000,E122,$C$5:$C$1000,"Comité de Supervisión")&gt;0,"Comité Sup.",""),IF(COUNTIFS($E$5:$E$1000,E122,$C$5:$C$1000,"Consejo de Administración")&gt;0,"Consejo",""),IF(COUNTIFS($E$5:$E$1000,E122,$C$5:$C$1000,"Otros")&gt;0,"Otros","")))</f>
        <v/>
      </c>
      <c r="X122" s="24" t="str">
        <f aca="false">IF(E122="","",COUNTIFS($E$5:$E$1000,E122,$AB$5:$AB$1000,AB122,$C$5:$C$1000,"&lt;&gt;"&amp;C122))</f>
        <v/>
      </c>
      <c r="Y122" s="33"/>
      <c r="Z122" s="31"/>
      <c r="AA122" s="33"/>
      <c r="AB122" s="37" t="str">
        <f aca="false">IF(B122="","",YEAR(B122)*100+MONTH(B122))</f>
        <v/>
      </c>
      <c r="AC122" s="37" t="str">
        <f aca="false">IF(AND(E122&lt;&gt;"",E122=Cruce!$C$5),COUNTIF($E$5:E122,E122),"")</f>
        <v/>
      </c>
      <c r="AD122" s="37" t="str">
        <f aca="false">IF(E122="","",C122&amp;"|"&amp;Y122&amp;"|"&amp;IF(B122="","s/f",TEXT(B122,"yyyymmdd")))</f>
        <v/>
      </c>
      <c r="AE122" s="37" t="n">
        <f aca="false">IF(E122="",0,IF(COUNTIFS($E$5:E122,E122,$AD$5:AD122,AD122)=1,1,0))</f>
        <v>0</v>
      </c>
    </row>
    <row r="123" customFormat="false" ht="15" hidden="false" customHeight="true" outlineLevel="0" collapsed="false">
      <c r="A123" s="31"/>
      <c r="B123" s="30"/>
      <c r="C123" s="31"/>
      <c r="D123" s="31"/>
      <c r="E123" s="32"/>
      <c r="F123" s="32"/>
      <c r="G123" s="33"/>
      <c r="H123" s="31"/>
      <c r="I123" s="24" t="str">
        <f aca="false">IF(B123="","",YEAR(B123))</f>
        <v/>
      </c>
      <c r="J123" s="34" t="str">
        <f aca="false">IF(B123="","",IF(MONTH(B123)=1,"X",""))</f>
        <v/>
      </c>
      <c r="K123" s="34" t="str">
        <f aca="false">IF(B123="","",IF(MONTH(B123)=2,"X",""))</f>
        <v/>
      </c>
      <c r="L123" s="34" t="str">
        <f aca="false">IF(B123="","",IF(MONTH(B123)=3,"X",""))</f>
        <v/>
      </c>
      <c r="M123" s="34" t="str">
        <f aca="false">IF(B123="","",IF(MONTH(B123)=4,"X",""))</f>
        <v/>
      </c>
      <c r="N123" s="34" t="str">
        <f aca="false">IF(B123="","",IF(MONTH(B123)=5,"X",""))</f>
        <v/>
      </c>
      <c r="O123" s="34" t="str">
        <f aca="false">IF(B123="","",IF(MONTH(B123)=6,"X",""))</f>
        <v/>
      </c>
      <c r="P123" s="34" t="str">
        <f aca="false">IF(B123="","",IF(MONTH(B123)=7,"X",""))</f>
        <v/>
      </c>
      <c r="Q123" s="34" t="str">
        <f aca="false">IF(B123="","",IF(MONTH(B123)=8,"X",""))</f>
        <v/>
      </c>
      <c r="R123" s="34" t="str">
        <f aca="false">IF(B123="","",IF(MONTH(B123)=9,"X",""))</f>
        <v/>
      </c>
      <c r="S123" s="34" t="str">
        <f aca="false">IF(B123="","",IF(MONTH(B123)=10,"X",""))</f>
        <v/>
      </c>
      <c r="T123" s="34" t="str">
        <f aca="false">IF(B123="","",IF(MONTH(B123)=11,"X",""))</f>
        <v/>
      </c>
      <c r="U123" s="34" t="str">
        <f aca="false">IF(B123="","",IF(MONTH(B123)=12,"X",""))</f>
        <v/>
      </c>
      <c r="V123" s="24" t="str">
        <f aca="false">IF(E123="","",COUNTIF($E$5:$E$1000,E123))</f>
        <v/>
      </c>
      <c r="W123" s="35" t="str">
        <f aca="false">IF(E123="","",_xlfn.TEXTJOIN(" + ",TRUE(),IF(COUNTIFS($E$5:$E$1000,E123,$C$5:$C$1000,"Auditoría Interna")&gt;0,"Interna",""),IF(COUNTIFS($E$5:$E$1000,E123,$C$5:$C$1000,"Auditoría Externa")&gt;0,"Externa",""),IF(COUNTIFS($E$5:$E$1000,E123,$C$5:$C$1000,"SSF")&gt;0,"SSF",""),IF(COUNTIFS($E$5:$E$1000,E123,$C$5:$C$1000,"Comité de Supervisión")&gt;0,"Comité Sup.",""),IF(COUNTIFS($E$5:$E$1000,E123,$C$5:$C$1000,"Consejo de Administración")&gt;0,"Consejo",""),IF(COUNTIFS($E$5:$E$1000,E123,$C$5:$C$1000,"Otros")&gt;0,"Otros","")))</f>
        <v/>
      </c>
      <c r="X123" s="24" t="str">
        <f aca="false">IF(E123="","",COUNTIFS($E$5:$E$1000,E123,$AB$5:$AB$1000,AB123,$C$5:$C$1000,"&lt;&gt;"&amp;C123))</f>
        <v/>
      </c>
      <c r="Y123" s="33"/>
      <c r="Z123" s="31"/>
      <c r="AA123" s="33"/>
      <c r="AB123" s="37" t="str">
        <f aca="false">IF(B123="","",YEAR(B123)*100+MONTH(B123))</f>
        <v/>
      </c>
      <c r="AC123" s="37" t="str">
        <f aca="false">IF(AND(E123&lt;&gt;"",E123=Cruce!$C$5),COUNTIF($E$5:E123,E123),"")</f>
        <v/>
      </c>
      <c r="AD123" s="37" t="str">
        <f aca="false">IF(E123="","",C123&amp;"|"&amp;Y123&amp;"|"&amp;IF(B123="","s/f",TEXT(B123,"yyyymmdd")))</f>
        <v/>
      </c>
      <c r="AE123" s="37" t="n">
        <f aca="false">IF(E123="",0,IF(COUNTIFS($E$5:E123,E123,$AD$5:AD123,AD123)=1,1,0))</f>
        <v>0</v>
      </c>
    </row>
    <row r="124" customFormat="false" ht="15" hidden="false" customHeight="true" outlineLevel="0" collapsed="false">
      <c r="A124" s="31"/>
      <c r="B124" s="30"/>
      <c r="C124" s="31"/>
      <c r="D124" s="31"/>
      <c r="E124" s="32"/>
      <c r="F124" s="32"/>
      <c r="G124" s="33"/>
      <c r="H124" s="31"/>
      <c r="I124" s="24" t="str">
        <f aca="false">IF(B124="","",YEAR(B124))</f>
        <v/>
      </c>
      <c r="J124" s="34" t="str">
        <f aca="false">IF(B124="","",IF(MONTH(B124)=1,"X",""))</f>
        <v/>
      </c>
      <c r="K124" s="34" t="str">
        <f aca="false">IF(B124="","",IF(MONTH(B124)=2,"X",""))</f>
        <v/>
      </c>
      <c r="L124" s="34" t="str">
        <f aca="false">IF(B124="","",IF(MONTH(B124)=3,"X",""))</f>
        <v/>
      </c>
      <c r="M124" s="34" t="str">
        <f aca="false">IF(B124="","",IF(MONTH(B124)=4,"X",""))</f>
        <v/>
      </c>
      <c r="N124" s="34" t="str">
        <f aca="false">IF(B124="","",IF(MONTH(B124)=5,"X",""))</f>
        <v/>
      </c>
      <c r="O124" s="34" t="str">
        <f aca="false">IF(B124="","",IF(MONTH(B124)=6,"X",""))</f>
        <v/>
      </c>
      <c r="P124" s="34" t="str">
        <f aca="false">IF(B124="","",IF(MONTH(B124)=7,"X",""))</f>
        <v/>
      </c>
      <c r="Q124" s="34" t="str">
        <f aca="false">IF(B124="","",IF(MONTH(B124)=8,"X",""))</f>
        <v/>
      </c>
      <c r="R124" s="34" t="str">
        <f aca="false">IF(B124="","",IF(MONTH(B124)=9,"X",""))</f>
        <v/>
      </c>
      <c r="S124" s="34" t="str">
        <f aca="false">IF(B124="","",IF(MONTH(B124)=10,"X",""))</f>
        <v/>
      </c>
      <c r="T124" s="34" t="str">
        <f aca="false">IF(B124="","",IF(MONTH(B124)=11,"X",""))</f>
        <v/>
      </c>
      <c r="U124" s="34" t="str">
        <f aca="false">IF(B124="","",IF(MONTH(B124)=12,"X",""))</f>
        <v/>
      </c>
      <c r="V124" s="24" t="str">
        <f aca="false">IF(E124="","",COUNTIF($E$5:$E$1000,E124))</f>
        <v/>
      </c>
      <c r="W124" s="35" t="str">
        <f aca="false">IF(E124="","",_xlfn.TEXTJOIN(" + ",TRUE(),IF(COUNTIFS($E$5:$E$1000,E124,$C$5:$C$1000,"Auditoría Interna")&gt;0,"Interna",""),IF(COUNTIFS($E$5:$E$1000,E124,$C$5:$C$1000,"Auditoría Externa")&gt;0,"Externa",""),IF(COUNTIFS($E$5:$E$1000,E124,$C$5:$C$1000,"SSF")&gt;0,"SSF",""),IF(COUNTIFS($E$5:$E$1000,E124,$C$5:$C$1000,"Comité de Supervisión")&gt;0,"Comité Sup.",""),IF(COUNTIFS($E$5:$E$1000,E124,$C$5:$C$1000,"Consejo de Administración")&gt;0,"Consejo",""),IF(COUNTIFS($E$5:$E$1000,E124,$C$5:$C$1000,"Otros")&gt;0,"Otros","")))</f>
        <v/>
      </c>
      <c r="X124" s="24" t="str">
        <f aca="false">IF(E124="","",COUNTIFS($E$5:$E$1000,E124,$AB$5:$AB$1000,AB124,$C$5:$C$1000,"&lt;&gt;"&amp;C124))</f>
        <v/>
      </c>
      <c r="Y124" s="33"/>
      <c r="Z124" s="31"/>
      <c r="AA124" s="33"/>
      <c r="AB124" s="37" t="str">
        <f aca="false">IF(B124="","",YEAR(B124)*100+MONTH(B124))</f>
        <v/>
      </c>
      <c r="AC124" s="37" t="str">
        <f aca="false">IF(AND(E124&lt;&gt;"",E124=Cruce!$C$5),COUNTIF($E$5:E124,E124),"")</f>
        <v/>
      </c>
      <c r="AD124" s="37" t="str">
        <f aca="false">IF(E124="","",C124&amp;"|"&amp;Y124&amp;"|"&amp;IF(B124="","s/f",TEXT(B124,"yyyymmdd")))</f>
        <v/>
      </c>
      <c r="AE124" s="37" t="n">
        <f aca="false">IF(E124="",0,IF(COUNTIFS($E$5:E124,E124,$AD$5:AD124,AD124)=1,1,0))</f>
        <v>0</v>
      </c>
    </row>
    <row r="125" customFormat="false" ht="15" hidden="false" customHeight="true" outlineLevel="0" collapsed="false">
      <c r="A125" s="31"/>
      <c r="B125" s="30"/>
      <c r="C125" s="31"/>
      <c r="D125" s="31"/>
      <c r="E125" s="32"/>
      <c r="F125" s="32"/>
      <c r="G125" s="33"/>
      <c r="H125" s="31"/>
      <c r="I125" s="24" t="str">
        <f aca="false">IF(B125="","",YEAR(B125))</f>
        <v/>
      </c>
      <c r="J125" s="34" t="str">
        <f aca="false">IF(B125="","",IF(MONTH(B125)=1,"X",""))</f>
        <v/>
      </c>
      <c r="K125" s="34" t="str">
        <f aca="false">IF(B125="","",IF(MONTH(B125)=2,"X",""))</f>
        <v/>
      </c>
      <c r="L125" s="34" t="str">
        <f aca="false">IF(B125="","",IF(MONTH(B125)=3,"X",""))</f>
        <v/>
      </c>
      <c r="M125" s="34" t="str">
        <f aca="false">IF(B125="","",IF(MONTH(B125)=4,"X",""))</f>
        <v/>
      </c>
      <c r="N125" s="34" t="str">
        <f aca="false">IF(B125="","",IF(MONTH(B125)=5,"X",""))</f>
        <v/>
      </c>
      <c r="O125" s="34" t="str">
        <f aca="false">IF(B125="","",IF(MONTH(B125)=6,"X",""))</f>
        <v/>
      </c>
      <c r="P125" s="34" t="str">
        <f aca="false">IF(B125="","",IF(MONTH(B125)=7,"X",""))</f>
        <v/>
      </c>
      <c r="Q125" s="34" t="str">
        <f aca="false">IF(B125="","",IF(MONTH(B125)=8,"X",""))</f>
        <v/>
      </c>
      <c r="R125" s="34" t="str">
        <f aca="false">IF(B125="","",IF(MONTH(B125)=9,"X",""))</f>
        <v/>
      </c>
      <c r="S125" s="34" t="str">
        <f aca="false">IF(B125="","",IF(MONTH(B125)=10,"X",""))</f>
        <v/>
      </c>
      <c r="T125" s="34" t="str">
        <f aca="false">IF(B125="","",IF(MONTH(B125)=11,"X",""))</f>
        <v/>
      </c>
      <c r="U125" s="34" t="str">
        <f aca="false">IF(B125="","",IF(MONTH(B125)=12,"X",""))</f>
        <v/>
      </c>
      <c r="V125" s="24" t="str">
        <f aca="false">IF(E125="","",COUNTIF($E$5:$E$1000,E125))</f>
        <v/>
      </c>
      <c r="W125" s="35" t="str">
        <f aca="false">IF(E125="","",_xlfn.TEXTJOIN(" + ",TRUE(),IF(COUNTIFS($E$5:$E$1000,E125,$C$5:$C$1000,"Auditoría Interna")&gt;0,"Interna",""),IF(COUNTIFS($E$5:$E$1000,E125,$C$5:$C$1000,"Auditoría Externa")&gt;0,"Externa",""),IF(COUNTIFS($E$5:$E$1000,E125,$C$5:$C$1000,"SSF")&gt;0,"SSF",""),IF(COUNTIFS($E$5:$E$1000,E125,$C$5:$C$1000,"Comité de Supervisión")&gt;0,"Comité Sup.",""),IF(COUNTIFS($E$5:$E$1000,E125,$C$5:$C$1000,"Consejo de Administración")&gt;0,"Consejo",""),IF(COUNTIFS($E$5:$E$1000,E125,$C$5:$C$1000,"Otros")&gt;0,"Otros","")))</f>
        <v/>
      </c>
      <c r="X125" s="24" t="str">
        <f aca="false">IF(E125="","",COUNTIFS($E$5:$E$1000,E125,$AB$5:$AB$1000,AB125,$C$5:$C$1000,"&lt;&gt;"&amp;C125))</f>
        <v/>
      </c>
      <c r="Y125" s="33"/>
      <c r="Z125" s="31"/>
      <c r="AA125" s="33"/>
      <c r="AB125" s="37" t="str">
        <f aca="false">IF(B125="","",YEAR(B125)*100+MONTH(B125))</f>
        <v/>
      </c>
      <c r="AC125" s="37" t="str">
        <f aca="false">IF(AND(E125&lt;&gt;"",E125=Cruce!$C$5),COUNTIF($E$5:E125,E125),"")</f>
        <v/>
      </c>
      <c r="AD125" s="37" t="str">
        <f aca="false">IF(E125="","",C125&amp;"|"&amp;Y125&amp;"|"&amp;IF(B125="","s/f",TEXT(B125,"yyyymmdd")))</f>
        <v/>
      </c>
      <c r="AE125" s="37" t="n">
        <f aca="false">IF(E125="",0,IF(COUNTIFS($E$5:E125,E125,$AD$5:AD125,AD125)=1,1,0))</f>
        <v>0</v>
      </c>
    </row>
    <row r="126" customFormat="false" ht="15" hidden="false" customHeight="true" outlineLevel="0" collapsed="false">
      <c r="A126" s="31"/>
      <c r="B126" s="30"/>
      <c r="C126" s="31"/>
      <c r="D126" s="31"/>
      <c r="E126" s="32"/>
      <c r="F126" s="32"/>
      <c r="G126" s="33"/>
      <c r="H126" s="31"/>
      <c r="I126" s="24" t="str">
        <f aca="false">IF(B126="","",YEAR(B126))</f>
        <v/>
      </c>
      <c r="J126" s="34" t="str">
        <f aca="false">IF(B126="","",IF(MONTH(B126)=1,"X",""))</f>
        <v/>
      </c>
      <c r="K126" s="34" t="str">
        <f aca="false">IF(B126="","",IF(MONTH(B126)=2,"X",""))</f>
        <v/>
      </c>
      <c r="L126" s="34" t="str">
        <f aca="false">IF(B126="","",IF(MONTH(B126)=3,"X",""))</f>
        <v/>
      </c>
      <c r="M126" s="34" t="str">
        <f aca="false">IF(B126="","",IF(MONTH(B126)=4,"X",""))</f>
        <v/>
      </c>
      <c r="N126" s="34" t="str">
        <f aca="false">IF(B126="","",IF(MONTH(B126)=5,"X",""))</f>
        <v/>
      </c>
      <c r="O126" s="34" t="str">
        <f aca="false">IF(B126="","",IF(MONTH(B126)=6,"X",""))</f>
        <v/>
      </c>
      <c r="P126" s="34" t="str">
        <f aca="false">IF(B126="","",IF(MONTH(B126)=7,"X",""))</f>
        <v/>
      </c>
      <c r="Q126" s="34" t="str">
        <f aca="false">IF(B126="","",IF(MONTH(B126)=8,"X",""))</f>
        <v/>
      </c>
      <c r="R126" s="34" t="str">
        <f aca="false">IF(B126="","",IF(MONTH(B126)=9,"X",""))</f>
        <v/>
      </c>
      <c r="S126" s="34" t="str">
        <f aca="false">IF(B126="","",IF(MONTH(B126)=10,"X",""))</f>
        <v/>
      </c>
      <c r="T126" s="34" t="str">
        <f aca="false">IF(B126="","",IF(MONTH(B126)=11,"X",""))</f>
        <v/>
      </c>
      <c r="U126" s="34" t="str">
        <f aca="false">IF(B126="","",IF(MONTH(B126)=12,"X",""))</f>
        <v/>
      </c>
      <c r="V126" s="24" t="str">
        <f aca="false">IF(E126="","",COUNTIF($E$5:$E$1000,E126))</f>
        <v/>
      </c>
      <c r="W126" s="35" t="str">
        <f aca="false">IF(E126="","",_xlfn.TEXTJOIN(" + ",TRUE(),IF(COUNTIFS($E$5:$E$1000,E126,$C$5:$C$1000,"Auditoría Interna")&gt;0,"Interna",""),IF(COUNTIFS($E$5:$E$1000,E126,$C$5:$C$1000,"Auditoría Externa")&gt;0,"Externa",""),IF(COUNTIFS($E$5:$E$1000,E126,$C$5:$C$1000,"SSF")&gt;0,"SSF",""),IF(COUNTIFS($E$5:$E$1000,E126,$C$5:$C$1000,"Comité de Supervisión")&gt;0,"Comité Sup.",""),IF(COUNTIFS($E$5:$E$1000,E126,$C$5:$C$1000,"Consejo de Administración")&gt;0,"Consejo",""),IF(COUNTIFS($E$5:$E$1000,E126,$C$5:$C$1000,"Otros")&gt;0,"Otros","")))</f>
        <v/>
      </c>
      <c r="X126" s="24" t="str">
        <f aca="false">IF(E126="","",COUNTIFS($E$5:$E$1000,E126,$AB$5:$AB$1000,AB126,$C$5:$C$1000,"&lt;&gt;"&amp;C126))</f>
        <v/>
      </c>
      <c r="Y126" s="33"/>
      <c r="Z126" s="31"/>
      <c r="AA126" s="33"/>
      <c r="AB126" s="37" t="str">
        <f aca="false">IF(B126="","",YEAR(B126)*100+MONTH(B126))</f>
        <v/>
      </c>
      <c r="AC126" s="37" t="str">
        <f aca="false">IF(AND(E126&lt;&gt;"",E126=Cruce!$C$5),COUNTIF($E$5:E126,E126),"")</f>
        <v/>
      </c>
      <c r="AD126" s="37" t="str">
        <f aca="false">IF(E126="","",C126&amp;"|"&amp;Y126&amp;"|"&amp;IF(B126="","s/f",TEXT(B126,"yyyymmdd")))</f>
        <v/>
      </c>
      <c r="AE126" s="37" t="n">
        <f aca="false">IF(E126="",0,IF(COUNTIFS($E$5:E126,E126,$AD$5:AD126,AD126)=1,1,0))</f>
        <v>0</v>
      </c>
    </row>
    <row r="127" customFormat="false" ht="15" hidden="false" customHeight="true" outlineLevel="0" collapsed="false">
      <c r="A127" s="31"/>
      <c r="B127" s="30"/>
      <c r="C127" s="31"/>
      <c r="D127" s="31"/>
      <c r="E127" s="32"/>
      <c r="F127" s="32"/>
      <c r="G127" s="33"/>
      <c r="H127" s="31"/>
      <c r="I127" s="24" t="str">
        <f aca="false">IF(B127="","",YEAR(B127))</f>
        <v/>
      </c>
      <c r="J127" s="34" t="str">
        <f aca="false">IF(B127="","",IF(MONTH(B127)=1,"X",""))</f>
        <v/>
      </c>
      <c r="K127" s="34" t="str">
        <f aca="false">IF(B127="","",IF(MONTH(B127)=2,"X",""))</f>
        <v/>
      </c>
      <c r="L127" s="34" t="str">
        <f aca="false">IF(B127="","",IF(MONTH(B127)=3,"X",""))</f>
        <v/>
      </c>
      <c r="M127" s="34" t="str">
        <f aca="false">IF(B127="","",IF(MONTH(B127)=4,"X",""))</f>
        <v/>
      </c>
      <c r="N127" s="34" t="str">
        <f aca="false">IF(B127="","",IF(MONTH(B127)=5,"X",""))</f>
        <v/>
      </c>
      <c r="O127" s="34" t="str">
        <f aca="false">IF(B127="","",IF(MONTH(B127)=6,"X",""))</f>
        <v/>
      </c>
      <c r="P127" s="34" t="str">
        <f aca="false">IF(B127="","",IF(MONTH(B127)=7,"X",""))</f>
        <v/>
      </c>
      <c r="Q127" s="34" t="str">
        <f aca="false">IF(B127="","",IF(MONTH(B127)=8,"X",""))</f>
        <v/>
      </c>
      <c r="R127" s="34" t="str">
        <f aca="false">IF(B127="","",IF(MONTH(B127)=9,"X",""))</f>
        <v/>
      </c>
      <c r="S127" s="34" t="str">
        <f aca="false">IF(B127="","",IF(MONTH(B127)=10,"X",""))</f>
        <v/>
      </c>
      <c r="T127" s="34" t="str">
        <f aca="false">IF(B127="","",IF(MONTH(B127)=11,"X",""))</f>
        <v/>
      </c>
      <c r="U127" s="34" t="str">
        <f aca="false">IF(B127="","",IF(MONTH(B127)=12,"X",""))</f>
        <v/>
      </c>
      <c r="V127" s="24" t="str">
        <f aca="false">IF(E127="","",COUNTIF($E$5:$E$1000,E127))</f>
        <v/>
      </c>
      <c r="W127" s="35" t="str">
        <f aca="false">IF(E127="","",_xlfn.TEXTJOIN(" + ",TRUE(),IF(COUNTIFS($E$5:$E$1000,E127,$C$5:$C$1000,"Auditoría Interna")&gt;0,"Interna",""),IF(COUNTIFS($E$5:$E$1000,E127,$C$5:$C$1000,"Auditoría Externa")&gt;0,"Externa",""),IF(COUNTIFS($E$5:$E$1000,E127,$C$5:$C$1000,"SSF")&gt;0,"SSF",""),IF(COUNTIFS($E$5:$E$1000,E127,$C$5:$C$1000,"Comité de Supervisión")&gt;0,"Comité Sup.",""),IF(COUNTIFS($E$5:$E$1000,E127,$C$5:$C$1000,"Consejo de Administración")&gt;0,"Consejo",""),IF(COUNTIFS($E$5:$E$1000,E127,$C$5:$C$1000,"Otros")&gt;0,"Otros","")))</f>
        <v/>
      </c>
      <c r="X127" s="24" t="str">
        <f aca="false">IF(E127="","",COUNTIFS($E$5:$E$1000,E127,$AB$5:$AB$1000,AB127,$C$5:$C$1000,"&lt;&gt;"&amp;C127))</f>
        <v/>
      </c>
      <c r="Y127" s="33"/>
      <c r="Z127" s="31"/>
      <c r="AA127" s="33"/>
      <c r="AB127" s="37" t="str">
        <f aca="false">IF(B127="","",YEAR(B127)*100+MONTH(B127))</f>
        <v/>
      </c>
      <c r="AC127" s="37" t="str">
        <f aca="false">IF(AND(E127&lt;&gt;"",E127=Cruce!$C$5),COUNTIF($E$5:E127,E127),"")</f>
        <v/>
      </c>
      <c r="AD127" s="37" t="str">
        <f aca="false">IF(E127="","",C127&amp;"|"&amp;Y127&amp;"|"&amp;IF(B127="","s/f",TEXT(B127,"yyyymmdd")))</f>
        <v/>
      </c>
      <c r="AE127" s="37" t="n">
        <f aca="false">IF(E127="",0,IF(COUNTIFS($E$5:E127,E127,$AD$5:AD127,AD127)=1,1,0))</f>
        <v>0</v>
      </c>
    </row>
    <row r="128" customFormat="false" ht="15" hidden="false" customHeight="true" outlineLevel="0" collapsed="false">
      <c r="A128" s="31"/>
      <c r="B128" s="30"/>
      <c r="C128" s="31"/>
      <c r="D128" s="31"/>
      <c r="E128" s="32"/>
      <c r="F128" s="32"/>
      <c r="G128" s="33"/>
      <c r="H128" s="31"/>
      <c r="I128" s="24" t="str">
        <f aca="false">IF(B128="","",YEAR(B128))</f>
        <v/>
      </c>
      <c r="J128" s="34" t="str">
        <f aca="false">IF(B128="","",IF(MONTH(B128)=1,"X",""))</f>
        <v/>
      </c>
      <c r="K128" s="34" t="str">
        <f aca="false">IF(B128="","",IF(MONTH(B128)=2,"X",""))</f>
        <v/>
      </c>
      <c r="L128" s="34" t="str">
        <f aca="false">IF(B128="","",IF(MONTH(B128)=3,"X",""))</f>
        <v/>
      </c>
      <c r="M128" s="34" t="str">
        <f aca="false">IF(B128="","",IF(MONTH(B128)=4,"X",""))</f>
        <v/>
      </c>
      <c r="N128" s="34" t="str">
        <f aca="false">IF(B128="","",IF(MONTH(B128)=5,"X",""))</f>
        <v/>
      </c>
      <c r="O128" s="34" t="str">
        <f aca="false">IF(B128="","",IF(MONTH(B128)=6,"X",""))</f>
        <v/>
      </c>
      <c r="P128" s="34" t="str">
        <f aca="false">IF(B128="","",IF(MONTH(B128)=7,"X",""))</f>
        <v/>
      </c>
      <c r="Q128" s="34" t="str">
        <f aca="false">IF(B128="","",IF(MONTH(B128)=8,"X",""))</f>
        <v/>
      </c>
      <c r="R128" s="34" t="str">
        <f aca="false">IF(B128="","",IF(MONTH(B128)=9,"X",""))</f>
        <v/>
      </c>
      <c r="S128" s="34" t="str">
        <f aca="false">IF(B128="","",IF(MONTH(B128)=10,"X",""))</f>
        <v/>
      </c>
      <c r="T128" s="34" t="str">
        <f aca="false">IF(B128="","",IF(MONTH(B128)=11,"X",""))</f>
        <v/>
      </c>
      <c r="U128" s="34" t="str">
        <f aca="false">IF(B128="","",IF(MONTH(B128)=12,"X",""))</f>
        <v/>
      </c>
      <c r="V128" s="24" t="str">
        <f aca="false">IF(E128="","",COUNTIF($E$5:$E$1000,E128))</f>
        <v/>
      </c>
      <c r="W128" s="35" t="str">
        <f aca="false">IF(E128="","",_xlfn.TEXTJOIN(" + ",TRUE(),IF(COUNTIFS($E$5:$E$1000,E128,$C$5:$C$1000,"Auditoría Interna")&gt;0,"Interna",""),IF(COUNTIFS($E$5:$E$1000,E128,$C$5:$C$1000,"Auditoría Externa")&gt;0,"Externa",""),IF(COUNTIFS($E$5:$E$1000,E128,$C$5:$C$1000,"SSF")&gt;0,"SSF",""),IF(COUNTIFS($E$5:$E$1000,E128,$C$5:$C$1000,"Comité de Supervisión")&gt;0,"Comité Sup.",""),IF(COUNTIFS($E$5:$E$1000,E128,$C$5:$C$1000,"Consejo de Administración")&gt;0,"Consejo",""),IF(COUNTIFS($E$5:$E$1000,E128,$C$5:$C$1000,"Otros")&gt;0,"Otros","")))</f>
        <v/>
      </c>
      <c r="X128" s="24" t="str">
        <f aca="false">IF(E128="","",COUNTIFS($E$5:$E$1000,E128,$AB$5:$AB$1000,AB128,$C$5:$C$1000,"&lt;&gt;"&amp;C128))</f>
        <v/>
      </c>
      <c r="Y128" s="33"/>
      <c r="Z128" s="31"/>
      <c r="AA128" s="33"/>
      <c r="AB128" s="37" t="str">
        <f aca="false">IF(B128="","",YEAR(B128)*100+MONTH(B128))</f>
        <v/>
      </c>
      <c r="AC128" s="37" t="str">
        <f aca="false">IF(AND(E128&lt;&gt;"",E128=Cruce!$C$5),COUNTIF($E$5:E128,E128),"")</f>
        <v/>
      </c>
      <c r="AD128" s="37" t="str">
        <f aca="false">IF(E128="","",C128&amp;"|"&amp;Y128&amp;"|"&amp;IF(B128="","s/f",TEXT(B128,"yyyymmdd")))</f>
        <v/>
      </c>
      <c r="AE128" s="37" t="n">
        <f aca="false">IF(E128="",0,IF(COUNTIFS($E$5:E128,E128,$AD$5:AD128,AD128)=1,1,0))</f>
        <v>0</v>
      </c>
    </row>
    <row r="129" customFormat="false" ht="15" hidden="false" customHeight="true" outlineLevel="0" collapsed="false">
      <c r="A129" s="31"/>
      <c r="B129" s="30"/>
      <c r="C129" s="31"/>
      <c r="D129" s="31"/>
      <c r="E129" s="32"/>
      <c r="F129" s="32"/>
      <c r="G129" s="33"/>
      <c r="H129" s="31"/>
      <c r="I129" s="24" t="str">
        <f aca="false">IF(B129="","",YEAR(B129))</f>
        <v/>
      </c>
      <c r="J129" s="34" t="str">
        <f aca="false">IF(B129="","",IF(MONTH(B129)=1,"X",""))</f>
        <v/>
      </c>
      <c r="K129" s="34" t="str">
        <f aca="false">IF(B129="","",IF(MONTH(B129)=2,"X",""))</f>
        <v/>
      </c>
      <c r="L129" s="34" t="str">
        <f aca="false">IF(B129="","",IF(MONTH(B129)=3,"X",""))</f>
        <v/>
      </c>
      <c r="M129" s="34" t="str">
        <f aca="false">IF(B129="","",IF(MONTH(B129)=4,"X",""))</f>
        <v/>
      </c>
      <c r="N129" s="34" t="str">
        <f aca="false">IF(B129="","",IF(MONTH(B129)=5,"X",""))</f>
        <v/>
      </c>
      <c r="O129" s="34" t="str">
        <f aca="false">IF(B129="","",IF(MONTH(B129)=6,"X",""))</f>
        <v/>
      </c>
      <c r="P129" s="34" t="str">
        <f aca="false">IF(B129="","",IF(MONTH(B129)=7,"X",""))</f>
        <v/>
      </c>
      <c r="Q129" s="34" t="str">
        <f aca="false">IF(B129="","",IF(MONTH(B129)=8,"X",""))</f>
        <v/>
      </c>
      <c r="R129" s="34" t="str">
        <f aca="false">IF(B129="","",IF(MONTH(B129)=9,"X",""))</f>
        <v/>
      </c>
      <c r="S129" s="34" t="str">
        <f aca="false">IF(B129="","",IF(MONTH(B129)=10,"X",""))</f>
        <v/>
      </c>
      <c r="T129" s="34" t="str">
        <f aca="false">IF(B129="","",IF(MONTH(B129)=11,"X",""))</f>
        <v/>
      </c>
      <c r="U129" s="34" t="str">
        <f aca="false">IF(B129="","",IF(MONTH(B129)=12,"X",""))</f>
        <v/>
      </c>
      <c r="V129" s="24" t="str">
        <f aca="false">IF(E129="","",COUNTIF($E$5:$E$1000,E129))</f>
        <v/>
      </c>
      <c r="W129" s="35" t="str">
        <f aca="false">IF(E129="","",_xlfn.TEXTJOIN(" + ",TRUE(),IF(COUNTIFS($E$5:$E$1000,E129,$C$5:$C$1000,"Auditoría Interna")&gt;0,"Interna",""),IF(COUNTIFS($E$5:$E$1000,E129,$C$5:$C$1000,"Auditoría Externa")&gt;0,"Externa",""),IF(COUNTIFS($E$5:$E$1000,E129,$C$5:$C$1000,"SSF")&gt;0,"SSF",""),IF(COUNTIFS($E$5:$E$1000,E129,$C$5:$C$1000,"Comité de Supervisión")&gt;0,"Comité Sup.",""),IF(COUNTIFS($E$5:$E$1000,E129,$C$5:$C$1000,"Consejo de Administración")&gt;0,"Consejo",""),IF(COUNTIFS($E$5:$E$1000,E129,$C$5:$C$1000,"Otros")&gt;0,"Otros","")))</f>
        <v/>
      </c>
      <c r="X129" s="24" t="str">
        <f aca="false">IF(E129="","",COUNTIFS($E$5:$E$1000,E129,$AB$5:$AB$1000,AB129,$C$5:$C$1000,"&lt;&gt;"&amp;C129))</f>
        <v/>
      </c>
      <c r="Y129" s="33"/>
      <c r="Z129" s="31"/>
      <c r="AA129" s="33"/>
      <c r="AB129" s="37" t="str">
        <f aca="false">IF(B129="","",YEAR(B129)*100+MONTH(B129))</f>
        <v/>
      </c>
      <c r="AC129" s="37" t="str">
        <f aca="false">IF(AND(E129&lt;&gt;"",E129=Cruce!$C$5),COUNTIF($E$5:E129,E129),"")</f>
        <v/>
      </c>
      <c r="AD129" s="37" t="str">
        <f aca="false">IF(E129="","",C129&amp;"|"&amp;Y129&amp;"|"&amp;IF(B129="","s/f",TEXT(B129,"yyyymmdd")))</f>
        <v/>
      </c>
      <c r="AE129" s="37" t="n">
        <f aca="false">IF(E129="",0,IF(COUNTIFS($E$5:E129,E129,$AD$5:AD129,AD129)=1,1,0))</f>
        <v>0</v>
      </c>
    </row>
    <row r="130" customFormat="false" ht="15" hidden="false" customHeight="true" outlineLevel="0" collapsed="false">
      <c r="A130" s="31"/>
      <c r="B130" s="30"/>
      <c r="C130" s="31"/>
      <c r="D130" s="31"/>
      <c r="E130" s="32"/>
      <c r="F130" s="32"/>
      <c r="G130" s="33"/>
      <c r="H130" s="31"/>
      <c r="I130" s="24" t="str">
        <f aca="false">IF(B130="","",YEAR(B130))</f>
        <v/>
      </c>
      <c r="J130" s="34" t="str">
        <f aca="false">IF(B130="","",IF(MONTH(B130)=1,"X",""))</f>
        <v/>
      </c>
      <c r="K130" s="34" t="str">
        <f aca="false">IF(B130="","",IF(MONTH(B130)=2,"X",""))</f>
        <v/>
      </c>
      <c r="L130" s="34" t="str">
        <f aca="false">IF(B130="","",IF(MONTH(B130)=3,"X",""))</f>
        <v/>
      </c>
      <c r="M130" s="34" t="str">
        <f aca="false">IF(B130="","",IF(MONTH(B130)=4,"X",""))</f>
        <v/>
      </c>
      <c r="N130" s="34" t="str">
        <f aca="false">IF(B130="","",IF(MONTH(B130)=5,"X",""))</f>
        <v/>
      </c>
      <c r="O130" s="34" t="str">
        <f aca="false">IF(B130="","",IF(MONTH(B130)=6,"X",""))</f>
        <v/>
      </c>
      <c r="P130" s="34" t="str">
        <f aca="false">IF(B130="","",IF(MONTH(B130)=7,"X",""))</f>
        <v/>
      </c>
      <c r="Q130" s="34" t="str">
        <f aca="false">IF(B130="","",IF(MONTH(B130)=8,"X",""))</f>
        <v/>
      </c>
      <c r="R130" s="34" t="str">
        <f aca="false">IF(B130="","",IF(MONTH(B130)=9,"X",""))</f>
        <v/>
      </c>
      <c r="S130" s="34" t="str">
        <f aca="false">IF(B130="","",IF(MONTH(B130)=10,"X",""))</f>
        <v/>
      </c>
      <c r="T130" s="34" t="str">
        <f aca="false">IF(B130="","",IF(MONTH(B130)=11,"X",""))</f>
        <v/>
      </c>
      <c r="U130" s="34" t="str">
        <f aca="false">IF(B130="","",IF(MONTH(B130)=12,"X",""))</f>
        <v/>
      </c>
      <c r="V130" s="24" t="str">
        <f aca="false">IF(E130="","",COUNTIF($E$5:$E$1000,E130))</f>
        <v/>
      </c>
      <c r="W130" s="35" t="str">
        <f aca="false">IF(E130="","",_xlfn.TEXTJOIN(" + ",TRUE(),IF(COUNTIFS($E$5:$E$1000,E130,$C$5:$C$1000,"Auditoría Interna")&gt;0,"Interna",""),IF(COUNTIFS($E$5:$E$1000,E130,$C$5:$C$1000,"Auditoría Externa")&gt;0,"Externa",""),IF(COUNTIFS($E$5:$E$1000,E130,$C$5:$C$1000,"SSF")&gt;0,"SSF",""),IF(COUNTIFS($E$5:$E$1000,E130,$C$5:$C$1000,"Comité de Supervisión")&gt;0,"Comité Sup.",""),IF(COUNTIFS($E$5:$E$1000,E130,$C$5:$C$1000,"Consejo de Administración")&gt;0,"Consejo",""),IF(COUNTIFS($E$5:$E$1000,E130,$C$5:$C$1000,"Otros")&gt;0,"Otros","")))</f>
        <v/>
      </c>
      <c r="X130" s="24" t="str">
        <f aca="false">IF(E130="","",COUNTIFS($E$5:$E$1000,E130,$AB$5:$AB$1000,AB130,$C$5:$C$1000,"&lt;&gt;"&amp;C130))</f>
        <v/>
      </c>
      <c r="Y130" s="33"/>
      <c r="Z130" s="31"/>
      <c r="AA130" s="33"/>
      <c r="AB130" s="37" t="str">
        <f aca="false">IF(B130="","",YEAR(B130)*100+MONTH(B130))</f>
        <v/>
      </c>
      <c r="AC130" s="37" t="str">
        <f aca="false">IF(AND(E130&lt;&gt;"",E130=Cruce!$C$5),COUNTIF($E$5:E130,E130),"")</f>
        <v/>
      </c>
      <c r="AD130" s="37" t="str">
        <f aca="false">IF(E130="","",C130&amp;"|"&amp;Y130&amp;"|"&amp;IF(B130="","s/f",TEXT(B130,"yyyymmdd")))</f>
        <v/>
      </c>
      <c r="AE130" s="37" t="n">
        <f aca="false">IF(E130="",0,IF(COUNTIFS($E$5:E130,E130,$AD$5:AD130,AD130)=1,1,0))</f>
        <v>0</v>
      </c>
    </row>
    <row r="131" customFormat="false" ht="15" hidden="false" customHeight="true" outlineLevel="0" collapsed="false">
      <c r="A131" s="31"/>
      <c r="B131" s="30"/>
      <c r="C131" s="31"/>
      <c r="D131" s="31"/>
      <c r="E131" s="32"/>
      <c r="F131" s="32"/>
      <c r="G131" s="33"/>
      <c r="H131" s="31"/>
      <c r="I131" s="24" t="str">
        <f aca="false">IF(B131="","",YEAR(B131))</f>
        <v/>
      </c>
      <c r="J131" s="34" t="str">
        <f aca="false">IF(B131="","",IF(MONTH(B131)=1,"X",""))</f>
        <v/>
      </c>
      <c r="K131" s="34" t="str">
        <f aca="false">IF(B131="","",IF(MONTH(B131)=2,"X",""))</f>
        <v/>
      </c>
      <c r="L131" s="34" t="str">
        <f aca="false">IF(B131="","",IF(MONTH(B131)=3,"X",""))</f>
        <v/>
      </c>
      <c r="M131" s="34" t="str">
        <f aca="false">IF(B131="","",IF(MONTH(B131)=4,"X",""))</f>
        <v/>
      </c>
      <c r="N131" s="34" t="str">
        <f aca="false">IF(B131="","",IF(MONTH(B131)=5,"X",""))</f>
        <v/>
      </c>
      <c r="O131" s="34" t="str">
        <f aca="false">IF(B131="","",IF(MONTH(B131)=6,"X",""))</f>
        <v/>
      </c>
      <c r="P131" s="34" t="str">
        <f aca="false">IF(B131="","",IF(MONTH(B131)=7,"X",""))</f>
        <v/>
      </c>
      <c r="Q131" s="34" t="str">
        <f aca="false">IF(B131="","",IF(MONTH(B131)=8,"X",""))</f>
        <v/>
      </c>
      <c r="R131" s="34" t="str">
        <f aca="false">IF(B131="","",IF(MONTH(B131)=9,"X",""))</f>
        <v/>
      </c>
      <c r="S131" s="34" t="str">
        <f aca="false">IF(B131="","",IF(MONTH(B131)=10,"X",""))</f>
        <v/>
      </c>
      <c r="T131" s="34" t="str">
        <f aca="false">IF(B131="","",IF(MONTH(B131)=11,"X",""))</f>
        <v/>
      </c>
      <c r="U131" s="34" t="str">
        <f aca="false">IF(B131="","",IF(MONTH(B131)=12,"X",""))</f>
        <v/>
      </c>
      <c r="V131" s="24" t="str">
        <f aca="false">IF(E131="","",COUNTIF($E$5:$E$1000,E131))</f>
        <v/>
      </c>
      <c r="W131" s="35" t="str">
        <f aca="false">IF(E131="","",_xlfn.TEXTJOIN(" + ",TRUE(),IF(COUNTIFS($E$5:$E$1000,E131,$C$5:$C$1000,"Auditoría Interna")&gt;0,"Interna",""),IF(COUNTIFS($E$5:$E$1000,E131,$C$5:$C$1000,"Auditoría Externa")&gt;0,"Externa",""),IF(COUNTIFS($E$5:$E$1000,E131,$C$5:$C$1000,"SSF")&gt;0,"SSF",""),IF(COUNTIFS($E$5:$E$1000,E131,$C$5:$C$1000,"Comité de Supervisión")&gt;0,"Comité Sup.",""),IF(COUNTIFS($E$5:$E$1000,E131,$C$5:$C$1000,"Consejo de Administración")&gt;0,"Consejo",""),IF(COUNTIFS($E$5:$E$1000,E131,$C$5:$C$1000,"Otros")&gt;0,"Otros","")))</f>
        <v/>
      </c>
      <c r="X131" s="24" t="str">
        <f aca="false">IF(E131="","",COUNTIFS($E$5:$E$1000,E131,$AB$5:$AB$1000,AB131,$C$5:$C$1000,"&lt;&gt;"&amp;C131))</f>
        <v/>
      </c>
      <c r="Y131" s="33"/>
      <c r="Z131" s="31"/>
      <c r="AA131" s="33"/>
      <c r="AB131" s="37" t="str">
        <f aca="false">IF(B131="","",YEAR(B131)*100+MONTH(B131))</f>
        <v/>
      </c>
      <c r="AC131" s="37" t="str">
        <f aca="false">IF(AND(E131&lt;&gt;"",E131=Cruce!$C$5),COUNTIF($E$5:E131,E131),"")</f>
        <v/>
      </c>
      <c r="AD131" s="37" t="str">
        <f aca="false">IF(E131="","",C131&amp;"|"&amp;Y131&amp;"|"&amp;IF(B131="","s/f",TEXT(B131,"yyyymmdd")))</f>
        <v/>
      </c>
      <c r="AE131" s="37" t="n">
        <f aca="false">IF(E131="",0,IF(COUNTIFS($E$5:E131,E131,$AD$5:AD131,AD131)=1,1,0))</f>
        <v>0</v>
      </c>
    </row>
    <row r="132" customFormat="false" ht="15" hidden="false" customHeight="true" outlineLevel="0" collapsed="false">
      <c r="A132" s="31"/>
      <c r="B132" s="30"/>
      <c r="C132" s="31"/>
      <c r="D132" s="31"/>
      <c r="E132" s="32"/>
      <c r="F132" s="32"/>
      <c r="G132" s="33"/>
      <c r="H132" s="31"/>
      <c r="I132" s="24" t="str">
        <f aca="false">IF(B132="","",YEAR(B132))</f>
        <v/>
      </c>
      <c r="J132" s="34" t="str">
        <f aca="false">IF(B132="","",IF(MONTH(B132)=1,"X",""))</f>
        <v/>
      </c>
      <c r="K132" s="34" t="str">
        <f aca="false">IF(B132="","",IF(MONTH(B132)=2,"X",""))</f>
        <v/>
      </c>
      <c r="L132" s="34" t="str">
        <f aca="false">IF(B132="","",IF(MONTH(B132)=3,"X",""))</f>
        <v/>
      </c>
      <c r="M132" s="34" t="str">
        <f aca="false">IF(B132="","",IF(MONTH(B132)=4,"X",""))</f>
        <v/>
      </c>
      <c r="N132" s="34" t="str">
        <f aca="false">IF(B132="","",IF(MONTH(B132)=5,"X",""))</f>
        <v/>
      </c>
      <c r="O132" s="34" t="str">
        <f aca="false">IF(B132="","",IF(MONTH(B132)=6,"X",""))</f>
        <v/>
      </c>
      <c r="P132" s="34" t="str">
        <f aca="false">IF(B132="","",IF(MONTH(B132)=7,"X",""))</f>
        <v/>
      </c>
      <c r="Q132" s="34" t="str">
        <f aca="false">IF(B132="","",IF(MONTH(B132)=8,"X",""))</f>
        <v/>
      </c>
      <c r="R132" s="34" t="str">
        <f aca="false">IF(B132="","",IF(MONTH(B132)=9,"X",""))</f>
        <v/>
      </c>
      <c r="S132" s="34" t="str">
        <f aca="false">IF(B132="","",IF(MONTH(B132)=10,"X",""))</f>
        <v/>
      </c>
      <c r="T132" s="34" t="str">
        <f aca="false">IF(B132="","",IF(MONTH(B132)=11,"X",""))</f>
        <v/>
      </c>
      <c r="U132" s="34" t="str">
        <f aca="false">IF(B132="","",IF(MONTH(B132)=12,"X",""))</f>
        <v/>
      </c>
      <c r="V132" s="24" t="str">
        <f aca="false">IF(E132="","",COUNTIF($E$5:$E$1000,E132))</f>
        <v/>
      </c>
      <c r="W132" s="35" t="str">
        <f aca="false">IF(E132="","",_xlfn.TEXTJOIN(" + ",TRUE(),IF(COUNTIFS($E$5:$E$1000,E132,$C$5:$C$1000,"Auditoría Interna")&gt;0,"Interna",""),IF(COUNTIFS($E$5:$E$1000,E132,$C$5:$C$1000,"Auditoría Externa")&gt;0,"Externa",""),IF(COUNTIFS($E$5:$E$1000,E132,$C$5:$C$1000,"SSF")&gt;0,"SSF",""),IF(COUNTIFS($E$5:$E$1000,E132,$C$5:$C$1000,"Comité de Supervisión")&gt;0,"Comité Sup.",""),IF(COUNTIFS($E$5:$E$1000,E132,$C$5:$C$1000,"Consejo de Administración")&gt;0,"Consejo",""),IF(COUNTIFS($E$5:$E$1000,E132,$C$5:$C$1000,"Otros")&gt;0,"Otros","")))</f>
        <v/>
      </c>
      <c r="X132" s="24" t="str">
        <f aca="false">IF(E132="","",COUNTIFS($E$5:$E$1000,E132,$AB$5:$AB$1000,AB132,$C$5:$C$1000,"&lt;&gt;"&amp;C132))</f>
        <v/>
      </c>
      <c r="Y132" s="33"/>
      <c r="Z132" s="31"/>
      <c r="AA132" s="33"/>
      <c r="AB132" s="37" t="str">
        <f aca="false">IF(B132="","",YEAR(B132)*100+MONTH(B132))</f>
        <v/>
      </c>
      <c r="AC132" s="37" t="str">
        <f aca="false">IF(AND(E132&lt;&gt;"",E132=Cruce!$C$5),COUNTIF($E$5:E132,E132),"")</f>
        <v/>
      </c>
      <c r="AD132" s="37" t="str">
        <f aca="false">IF(E132="","",C132&amp;"|"&amp;Y132&amp;"|"&amp;IF(B132="","s/f",TEXT(B132,"yyyymmdd")))</f>
        <v/>
      </c>
      <c r="AE132" s="37" t="n">
        <f aca="false">IF(E132="",0,IF(COUNTIFS($E$5:E132,E132,$AD$5:AD132,AD132)=1,1,0))</f>
        <v>0</v>
      </c>
    </row>
    <row r="133" customFormat="false" ht="15" hidden="false" customHeight="true" outlineLevel="0" collapsed="false">
      <c r="A133" s="31"/>
      <c r="B133" s="30"/>
      <c r="C133" s="31"/>
      <c r="D133" s="31"/>
      <c r="E133" s="32"/>
      <c r="F133" s="32"/>
      <c r="G133" s="33"/>
      <c r="H133" s="31"/>
      <c r="I133" s="24" t="str">
        <f aca="false">IF(B133="","",YEAR(B133))</f>
        <v/>
      </c>
      <c r="J133" s="34" t="str">
        <f aca="false">IF(B133="","",IF(MONTH(B133)=1,"X",""))</f>
        <v/>
      </c>
      <c r="K133" s="34" t="str">
        <f aca="false">IF(B133="","",IF(MONTH(B133)=2,"X",""))</f>
        <v/>
      </c>
      <c r="L133" s="34" t="str">
        <f aca="false">IF(B133="","",IF(MONTH(B133)=3,"X",""))</f>
        <v/>
      </c>
      <c r="M133" s="34" t="str">
        <f aca="false">IF(B133="","",IF(MONTH(B133)=4,"X",""))</f>
        <v/>
      </c>
      <c r="N133" s="34" t="str">
        <f aca="false">IF(B133="","",IF(MONTH(B133)=5,"X",""))</f>
        <v/>
      </c>
      <c r="O133" s="34" t="str">
        <f aca="false">IF(B133="","",IF(MONTH(B133)=6,"X",""))</f>
        <v/>
      </c>
      <c r="P133" s="34" t="str">
        <f aca="false">IF(B133="","",IF(MONTH(B133)=7,"X",""))</f>
        <v/>
      </c>
      <c r="Q133" s="34" t="str">
        <f aca="false">IF(B133="","",IF(MONTH(B133)=8,"X",""))</f>
        <v/>
      </c>
      <c r="R133" s="34" t="str">
        <f aca="false">IF(B133="","",IF(MONTH(B133)=9,"X",""))</f>
        <v/>
      </c>
      <c r="S133" s="34" t="str">
        <f aca="false">IF(B133="","",IF(MONTH(B133)=10,"X",""))</f>
        <v/>
      </c>
      <c r="T133" s="34" t="str">
        <f aca="false">IF(B133="","",IF(MONTH(B133)=11,"X",""))</f>
        <v/>
      </c>
      <c r="U133" s="34" t="str">
        <f aca="false">IF(B133="","",IF(MONTH(B133)=12,"X",""))</f>
        <v/>
      </c>
      <c r="V133" s="24" t="str">
        <f aca="false">IF(E133="","",COUNTIF($E$5:$E$1000,E133))</f>
        <v/>
      </c>
      <c r="W133" s="35" t="str">
        <f aca="false">IF(E133="","",_xlfn.TEXTJOIN(" + ",TRUE(),IF(COUNTIFS($E$5:$E$1000,E133,$C$5:$C$1000,"Auditoría Interna")&gt;0,"Interna",""),IF(COUNTIFS($E$5:$E$1000,E133,$C$5:$C$1000,"Auditoría Externa")&gt;0,"Externa",""),IF(COUNTIFS($E$5:$E$1000,E133,$C$5:$C$1000,"SSF")&gt;0,"SSF",""),IF(COUNTIFS($E$5:$E$1000,E133,$C$5:$C$1000,"Comité de Supervisión")&gt;0,"Comité Sup.",""),IF(COUNTIFS($E$5:$E$1000,E133,$C$5:$C$1000,"Consejo de Administración")&gt;0,"Consejo",""),IF(COUNTIFS($E$5:$E$1000,E133,$C$5:$C$1000,"Otros")&gt;0,"Otros","")))</f>
        <v/>
      </c>
      <c r="X133" s="24" t="str">
        <f aca="false">IF(E133="","",COUNTIFS($E$5:$E$1000,E133,$AB$5:$AB$1000,AB133,$C$5:$C$1000,"&lt;&gt;"&amp;C133))</f>
        <v/>
      </c>
      <c r="Y133" s="33"/>
      <c r="Z133" s="31"/>
      <c r="AA133" s="33"/>
      <c r="AB133" s="37" t="str">
        <f aca="false">IF(B133="","",YEAR(B133)*100+MONTH(B133))</f>
        <v/>
      </c>
      <c r="AC133" s="37" t="str">
        <f aca="false">IF(AND(E133&lt;&gt;"",E133=Cruce!$C$5),COUNTIF($E$5:E133,E133),"")</f>
        <v/>
      </c>
      <c r="AD133" s="37" t="str">
        <f aca="false">IF(E133="","",C133&amp;"|"&amp;Y133&amp;"|"&amp;IF(B133="","s/f",TEXT(B133,"yyyymmdd")))</f>
        <v/>
      </c>
      <c r="AE133" s="37" t="n">
        <f aca="false">IF(E133="",0,IF(COUNTIFS($E$5:E133,E133,$AD$5:AD133,AD133)=1,1,0))</f>
        <v>0</v>
      </c>
    </row>
    <row r="134" customFormat="false" ht="15" hidden="false" customHeight="true" outlineLevel="0" collapsed="false">
      <c r="A134" s="31"/>
      <c r="B134" s="30"/>
      <c r="C134" s="31"/>
      <c r="D134" s="31"/>
      <c r="E134" s="32"/>
      <c r="F134" s="32"/>
      <c r="G134" s="33"/>
      <c r="H134" s="31"/>
      <c r="I134" s="24" t="str">
        <f aca="false">IF(B134="","",YEAR(B134))</f>
        <v/>
      </c>
      <c r="J134" s="34" t="str">
        <f aca="false">IF(B134="","",IF(MONTH(B134)=1,"X",""))</f>
        <v/>
      </c>
      <c r="K134" s="34" t="str">
        <f aca="false">IF(B134="","",IF(MONTH(B134)=2,"X",""))</f>
        <v/>
      </c>
      <c r="L134" s="34" t="str">
        <f aca="false">IF(B134="","",IF(MONTH(B134)=3,"X",""))</f>
        <v/>
      </c>
      <c r="M134" s="34" t="str">
        <f aca="false">IF(B134="","",IF(MONTH(B134)=4,"X",""))</f>
        <v/>
      </c>
      <c r="N134" s="34" t="str">
        <f aca="false">IF(B134="","",IF(MONTH(B134)=5,"X",""))</f>
        <v/>
      </c>
      <c r="O134" s="34" t="str">
        <f aca="false">IF(B134="","",IF(MONTH(B134)=6,"X",""))</f>
        <v/>
      </c>
      <c r="P134" s="34" t="str">
        <f aca="false">IF(B134="","",IF(MONTH(B134)=7,"X",""))</f>
        <v/>
      </c>
      <c r="Q134" s="34" t="str">
        <f aca="false">IF(B134="","",IF(MONTH(B134)=8,"X",""))</f>
        <v/>
      </c>
      <c r="R134" s="34" t="str">
        <f aca="false">IF(B134="","",IF(MONTH(B134)=9,"X",""))</f>
        <v/>
      </c>
      <c r="S134" s="34" t="str">
        <f aca="false">IF(B134="","",IF(MONTH(B134)=10,"X",""))</f>
        <v/>
      </c>
      <c r="T134" s="34" t="str">
        <f aca="false">IF(B134="","",IF(MONTH(B134)=11,"X",""))</f>
        <v/>
      </c>
      <c r="U134" s="34" t="str">
        <f aca="false">IF(B134="","",IF(MONTH(B134)=12,"X",""))</f>
        <v/>
      </c>
      <c r="V134" s="24" t="str">
        <f aca="false">IF(E134="","",COUNTIF($E$5:$E$1000,E134))</f>
        <v/>
      </c>
      <c r="W134" s="35" t="str">
        <f aca="false">IF(E134="","",_xlfn.TEXTJOIN(" + ",TRUE(),IF(COUNTIFS($E$5:$E$1000,E134,$C$5:$C$1000,"Auditoría Interna")&gt;0,"Interna",""),IF(COUNTIFS($E$5:$E$1000,E134,$C$5:$C$1000,"Auditoría Externa")&gt;0,"Externa",""),IF(COUNTIFS($E$5:$E$1000,E134,$C$5:$C$1000,"SSF")&gt;0,"SSF",""),IF(COUNTIFS($E$5:$E$1000,E134,$C$5:$C$1000,"Comité de Supervisión")&gt;0,"Comité Sup.",""),IF(COUNTIFS($E$5:$E$1000,E134,$C$5:$C$1000,"Consejo de Administración")&gt;0,"Consejo",""),IF(COUNTIFS($E$5:$E$1000,E134,$C$5:$C$1000,"Otros")&gt;0,"Otros","")))</f>
        <v/>
      </c>
      <c r="X134" s="24" t="str">
        <f aca="false">IF(E134="","",COUNTIFS($E$5:$E$1000,E134,$AB$5:$AB$1000,AB134,$C$5:$C$1000,"&lt;&gt;"&amp;C134))</f>
        <v/>
      </c>
      <c r="Y134" s="33"/>
      <c r="Z134" s="31"/>
      <c r="AA134" s="33"/>
      <c r="AB134" s="37" t="str">
        <f aca="false">IF(B134="","",YEAR(B134)*100+MONTH(B134))</f>
        <v/>
      </c>
      <c r="AC134" s="37" t="str">
        <f aca="false">IF(AND(E134&lt;&gt;"",E134=Cruce!$C$5),COUNTIF($E$5:E134,E134),"")</f>
        <v/>
      </c>
      <c r="AD134" s="37" t="str">
        <f aca="false">IF(E134="","",C134&amp;"|"&amp;Y134&amp;"|"&amp;IF(B134="","s/f",TEXT(B134,"yyyymmdd")))</f>
        <v/>
      </c>
      <c r="AE134" s="37" t="n">
        <f aca="false">IF(E134="",0,IF(COUNTIFS($E$5:E134,E134,$AD$5:AD134,AD134)=1,1,0))</f>
        <v>0</v>
      </c>
    </row>
    <row r="135" customFormat="false" ht="15" hidden="false" customHeight="true" outlineLevel="0" collapsed="false">
      <c r="A135" s="31"/>
      <c r="B135" s="30"/>
      <c r="C135" s="31"/>
      <c r="D135" s="31"/>
      <c r="E135" s="32"/>
      <c r="F135" s="32"/>
      <c r="G135" s="33"/>
      <c r="H135" s="31"/>
      <c r="I135" s="24" t="str">
        <f aca="false">IF(B135="","",YEAR(B135))</f>
        <v/>
      </c>
      <c r="J135" s="34" t="str">
        <f aca="false">IF(B135="","",IF(MONTH(B135)=1,"X",""))</f>
        <v/>
      </c>
      <c r="K135" s="34" t="str">
        <f aca="false">IF(B135="","",IF(MONTH(B135)=2,"X",""))</f>
        <v/>
      </c>
      <c r="L135" s="34" t="str">
        <f aca="false">IF(B135="","",IF(MONTH(B135)=3,"X",""))</f>
        <v/>
      </c>
      <c r="M135" s="34" t="str">
        <f aca="false">IF(B135="","",IF(MONTH(B135)=4,"X",""))</f>
        <v/>
      </c>
      <c r="N135" s="34" t="str">
        <f aca="false">IF(B135="","",IF(MONTH(B135)=5,"X",""))</f>
        <v/>
      </c>
      <c r="O135" s="34" t="str">
        <f aca="false">IF(B135="","",IF(MONTH(B135)=6,"X",""))</f>
        <v/>
      </c>
      <c r="P135" s="34" t="str">
        <f aca="false">IF(B135="","",IF(MONTH(B135)=7,"X",""))</f>
        <v/>
      </c>
      <c r="Q135" s="34" t="str">
        <f aca="false">IF(B135="","",IF(MONTH(B135)=8,"X",""))</f>
        <v/>
      </c>
      <c r="R135" s="34" t="str">
        <f aca="false">IF(B135="","",IF(MONTH(B135)=9,"X",""))</f>
        <v/>
      </c>
      <c r="S135" s="34" t="str">
        <f aca="false">IF(B135="","",IF(MONTH(B135)=10,"X",""))</f>
        <v/>
      </c>
      <c r="T135" s="34" t="str">
        <f aca="false">IF(B135="","",IF(MONTH(B135)=11,"X",""))</f>
        <v/>
      </c>
      <c r="U135" s="34" t="str">
        <f aca="false">IF(B135="","",IF(MONTH(B135)=12,"X",""))</f>
        <v/>
      </c>
      <c r="V135" s="24" t="str">
        <f aca="false">IF(E135="","",COUNTIF($E$5:$E$1000,E135))</f>
        <v/>
      </c>
      <c r="W135" s="35" t="str">
        <f aca="false">IF(E135="","",_xlfn.TEXTJOIN(" + ",TRUE(),IF(COUNTIFS($E$5:$E$1000,E135,$C$5:$C$1000,"Auditoría Interna")&gt;0,"Interna",""),IF(COUNTIFS($E$5:$E$1000,E135,$C$5:$C$1000,"Auditoría Externa")&gt;0,"Externa",""),IF(COUNTIFS($E$5:$E$1000,E135,$C$5:$C$1000,"SSF")&gt;0,"SSF",""),IF(COUNTIFS($E$5:$E$1000,E135,$C$5:$C$1000,"Comité de Supervisión")&gt;0,"Comité Sup.",""),IF(COUNTIFS($E$5:$E$1000,E135,$C$5:$C$1000,"Consejo de Administración")&gt;0,"Consejo",""),IF(COUNTIFS($E$5:$E$1000,E135,$C$5:$C$1000,"Otros")&gt;0,"Otros","")))</f>
        <v/>
      </c>
      <c r="X135" s="24" t="str">
        <f aca="false">IF(E135="","",COUNTIFS($E$5:$E$1000,E135,$AB$5:$AB$1000,AB135,$C$5:$C$1000,"&lt;&gt;"&amp;C135))</f>
        <v/>
      </c>
      <c r="Y135" s="33"/>
      <c r="Z135" s="31"/>
      <c r="AA135" s="33"/>
      <c r="AB135" s="37" t="str">
        <f aca="false">IF(B135="","",YEAR(B135)*100+MONTH(B135))</f>
        <v/>
      </c>
      <c r="AC135" s="37" t="str">
        <f aca="false">IF(AND(E135&lt;&gt;"",E135=Cruce!$C$5),COUNTIF($E$5:E135,E135),"")</f>
        <v/>
      </c>
      <c r="AD135" s="37" t="str">
        <f aca="false">IF(E135="","",C135&amp;"|"&amp;Y135&amp;"|"&amp;IF(B135="","s/f",TEXT(B135,"yyyymmdd")))</f>
        <v/>
      </c>
      <c r="AE135" s="37" t="n">
        <f aca="false">IF(E135="",0,IF(COUNTIFS($E$5:E135,E135,$AD$5:AD135,AD135)=1,1,0))</f>
        <v>0</v>
      </c>
    </row>
    <row r="136" customFormat="false" ht="15" hidden="false" customHeight="true" outlineLevel="0" collapsed="false">
      <c r="A136" s="31"/>
      <c r="B136" s="30"/>
      <c r="C136" s="31"/>
      <c r="D136" s="31"/>
      <c r="E136" s="32"/>
      <c r="F136" s="32"/>
      <c r="G136" s="33"/>
      <c r="H136" s="31"/>
      <c r="I136" s="24" t="str">
        <f aca="false">IF(B136="","",YEAR(B136))</f>
        <v/>
      </c>
      <c r="J136" s="34" t="str">
        <f aca="false">IF(B136="","",IF(MONTH(B136)=1,"X",""))</f>
        <v/>
      </c>
      <c r="K136" s="34" t="str">
        <f aca="false">IF(B136="","",IF(MONTH(B136)=2,"X",""))</f>
        <v/>
      </c>
      <c r="L136" s="34" t="str">
        <f aca="false">IF(B136="","",IF(MONTH(B136)=3,"X",""))</f>
        <v/>
      </c>
      <c r="M136" s="34" t="str">
        <f aca="false">IF(B136="","",IF(MONTH(B136)=4,"X",""))</f>
        <v/>
      </c>
      <c r="N136" s="34" t="str">
        <f aca="false">IF(B136="","",IF(MONTH(B136)=5,"X",""))</f>
        <v/>
      </c>
      <c r="O136" s="34" t="str">
        <f aca="false">IF(B136="","",IF(MONTH(B136)=6,"X",""))</f>
        <v/>
      </c>
      <c r="P136" s="34" t="str">
        <f aca="false">IF(B136="","",IF(MONTH(B136)=7,"X",""))</f>
        <v/>
      </c>
      <c r="Q136" s="34" t="str">
        <f aca="false">IF(B136="","",IF(MONTH(B136)=8,"X",""))</f>
        <v/>
      </c>
      <c r="R136" s="34" t="str">
        <f aca="false">IF(B136="","",IF(MONTH(B136)=9,"X",""))</f>
        <v/>
      </c>
      <c r="S136" s="34" t="str">
        <f aca="false">IF(B136="","",IF(MONTH(B136)=10,"X",""))</f>
        <v/>
      </c>
      <c r="T136" s="34" t="str">
        <f aca="false">IF(B136="","",IF(MONTH(B136)=11,"X",""))</f>
        <v/>
      </c>
      <c r="U136" s="34" t="str">
        <f aca="false">IF(B136="","",IF(MONTH(B136)=12,"X",""))</f>
        <v/>
      </c>
      <c r="V136" s="24" t="str">
        <f aca="false">IF(E136="","",COUNTIF($E$5:$E$1000,E136))</f>
        <v/>
      </c>
      <c r="W136" s="35" t="str">
        <f aca="false">IF(E136="","",_xlfn.TEXTJOIN(" + ",TRUE(),IF(COUNTIFS($E$5:$E$1000,E136,$C$5:$C$1000,"Auditoría Interna")&gt;0,"Interna",""),IF(COUNTIFS($E$5:$E$1000,E136,$C$5:$C$1000,"Auditoría Externa")&gt;0,"Externa",""),IF(COUNTIFS($E$5:$E$1000,E136,$C$5:$C$1000,"SSF")&gt;0,"SSF",""),IF(COUNTIFS($E$5:$E$1000,E136,$C$5:$C$1000,"Comité de Supervisión")&gt;0,"Comité Sup.",""),IF(COUNTIFS($E$5:$E$1000,E136,$C$5:$C$1000,"Consejo de Administración")&gt;0,"Consejo",""),IF(COUNTIFS($E$5:$E$1000,E136,$C$5:$C$1000,"Otros")&gt;0,"Otros","")))</f>
        <v/>
      </c>
      <c r="X136" s="24" t="str">
        <f aca="false">IF(E136="","",COUNTIFS($E$5:$E$1000,E136,$AB$5:$AB$1000,AB136,$C$5:$C$1000,"&lt;&gt;"&amp;C136))</f>
        <v/>
      </c>
      <c r="Y136" s="33"/>
      <c r="Z136" s="31"/>
      <c r="AA136" s="33"/>
      <c r="AB136" s="37" t="str">
        <f aca="false">IF(B136="","",YEAR(B136)*100+MONTH(B136))</f>
        <v/>
      </c>
      <c r="AC136" s="37" t="str">
        <f aca="false">IF(AND(E136&lt;&gt;"",E136=Cruce!$C$5),COUNTIF($E$5:E136,E136),"")</f>
        <v/>
      </c>
      <c r="AD136" s="37" t="str">
        <f aca="false">IF(E136="","",C136&amp;"|"&amp;Y136&amp;"|"&amp;IF(B136="","s/f",TEXT(B136,"yyyymmdd")))</f>
        <v/>
      </c>
      <c r="AE136" s="37" t="n">
        <f aca="false">IF(E136="",0,IF(COUNTIFS($E$5:E136,E136,$AD$5:AD136,AD136)=1,1,0))</f>
        <v>0</v>
      </c>
    </row>
    <row r="137" customFormat="false" ht="15" hidden="false" customHeight="true" outlineLevel="0" collapsed="false">
      <c r="A137" s="31"/>
      <c r="B137" s="30"/>
      <c r="C137" s="31"/>
      <c r="D137" s="31"/>
      <c r="E137" s="32"/>
      <c r="F137" s="32"/>
      <c r="G137" s="33"/>
      <c r="H137" s="31"/>
      <c r="I137" s="24" t="str">
        <f aca="false">IF(B137="","",YEAR(B137))</f>
        <v/>
      </c>
      <c r="J137" s="34" t="str">
        <f aca="false">IF(B137="","",IF(MONTH(B137)=1,"X",""))</f>
        <v/>
      </c>
      <c r="K137" s="34" t="str">
        <f aca="false">IF(B137="","",IF(MONTH(B137)=2,"X",""))</f>
        <v/>
      </c>
      <c r="L137" s="34" t="str">
        <f aca="false">IF(B137="","",IF(MONTH(B137)=3,"X",""))</f>
        <v/>
      </c>
      <c r="M137" s="34" t="str">
        <f aca="false">IF(B137="","",IF(MONTH(B137)=4,"X",""))</f>
        <v/>
      </c>
      <c r="N137" s="34" t="str">
        <f aca="false">IF(B137="","",IF(MONTH(B137)=5,"X",""))</f>
        <v/>
      </c>
      <c r="O137" s="34" t="str">
        <f aca="false">IF(B137="","",IF(MONTH(B137)=6,"X",""))</f>
        <v/>
      </c>
      <c r="P137" s="34" t="str">
        <f aca="false">IF(B137="","",IF(MONTH(B137)=7,"X",""))</f>
        <v/>
      </c>
      <c r="Q137" s="34" t="str">
        <f aca="false">IF(B137="","",IF(MONTH(B137)=8,"X",""))</f>
        <v/>
      </c>
      <c r="R137" s="34" t="str">
        <f aca="false">IF(B137="","",IF(MONTH(B137)=9,"X",""))</f>
        <v/>
      </c>
      <c r="S137" s="34" t="str">
        <f aca="false">IF(B137="","",IF(MONTH(B137)=10,"X",""))</f>
        <v/>
      </c>
      <c r="T137" s="34" t="str">
        <f aca="false">IF(B137="","",IF(MONTH(B137)=11,"X",""))</f>
        <v/>
      </c>
      <c r="U137" s="34" t="str">
        <f aca="false">IF(B137="","",IF(MONTH(B137)=12,"X",""))</f>
        <v/>
      </c>
      <c r="V137" s="24" t="str">
        <f aca="false">IF(E137="","",COUNTIF($E$5:$E$1000,E137))</f>
        <v/>
      </c>
      <c r="W137" s="35" t="str">
        <f aca="false">IF(E137="","",_xlfn.TEXTJOIN(" + ",TRUE(),IF(COUNTIFS($E$5:$E$1000,E137,$C$5:$C$1000,"Auditoría Interna")&gt;0,"Interna",""),IF(COUNTIFS($E$5:$E$1000,E137,$C$5:$C$1000,"Auditoría Externa")&gt;0,"Externa",""),IF(COUNTIFS($E$5:$E$1000,E137,$C$5:$C$1000,"SSF")&gt;0,"SSF",""),IF(COUNTIFS($E$5:$E$1000,E137,$C$5:$C$1000,"Comité de Supervisión")&gt;0,"Comité Sup.",""),IF(COUNTIFS($E$5:$E$1000,E137,$C$5:$C$1000,"Consejo de Administración")&gt;0,"Consejo",""),IF(COUNTIFS($E$5:$E$1000,E137,$C$5:$C$1000,"Otros")&gt;0,"Otros","")))</f>
        <v/>
      </c>
      <c r="X137" s="24" t="str">
        <f aca="false">IF(E137="","",COUNTIFS($E$5:$E$1000,E137,$AB$5:$AB$1000,AB137,$C$5:$C$1000,"&lt;&gt;"&amp;C137))</f>
        <v/>
      </c>
      <c r="Y137" s="33"/>
      <c r="Z137" s="31"/>
      <c r="AA137" s="33"/>
      <c r="AB137" s="37" t="str">
        <f aca="false">IF(B137="","",YEAR(B137)*100+MONTH(B137))</f>
        <v/>
      </c>
      <c r="AC137" s="37" t="str">
        <f aca="false">IF(AND(E137&lt;&gt;"",E137=Cruce!$C$5),COUNTIF($E$5:E137,E137),"")</f>
        <v/>
      </c>
      <c r="AD137" s="37" t="str">
        <f aca="false">IF(E137="","",C137&amp;"|"&amp;Y137&amp;"|"&amp;IF(B137="","s/f",TEXT(B137,"yyyymmdd")))</f>
        <v/>
      </c>
      <c r="AE137" s="37" t="n">
        <f aca="false">IF(E137="",0,IF(COUNTIFS($E$5:E137,E137,$AD$5:AD137,AD137)=1,1,0))</f>
        <v>0</v>
      </c>
    </row>
    <row r="138" customFormat="false" ht="15" hidden="false" customHeight="true" outlineLevel="0" collapsed="false">
      <c r="A138" s="31"/>
      <c r="B138" s="30"/>
      <c r="C138" s="31"/>
      <c r="D138" s="31"/>
      <c r="E138" s="32"/>
      <c r="F138" s="32"/>
      <c r="G138" s="33"/>
      <c r="H138" s="31"/>
      <c r="I138" s="24" t="str">
        <f aca="false">IF(B138="","",YEAR(B138))</f>
        <v/>
      </c>
      <c r="J138" s="34" t="str">
        <f aca="false">IF(B138="","",IF(MONTH(B138)=1,"X",""))</f>
        <v/>
      </c>
      <c r="K138" s="34" t="str">
        <f aca="false">IF(B138="","",IF(MONTH(B138)=2,"X",""))</f>
        <v/>
      </c>
      <c r="L138" s="34" t="str">
        <f aca="false">IF(B138="","",IF(MONTH(B138)=3,"X",""))</f>
        <v/>
      </c>
      <c r="M138" s="34" t="str">
        <f aca="false">IF(B138="","",IF(MONTH(B138)=4,"X",""))</f>
        <v/>
      </c>
      <c r="N138" s="34" t="str">
        <f aca="false">IF(B138="","",IF(MONTH(B138)=5,"X",""))</f>
        <v/>
      </c>
      <c r="O138" s="34" t="str">
        <f aca="false">IF(B138="","",IF(MONTH(B138)=6,"X",""))</f>
        <v/>
      </c>
      <c r="P138" s="34" t="str">
        <f aca="false">IF(B138="","",IF(MONTH(B138)=7,"X",""))</f>
        <v/>
      </c>
      <c r="Q138" s="34" t="str">
        <f aca="false">IF(B138="","",IF(MONTH(B138)=8,"X",""))</f>
        <v/>
      </c>
      <c r="R138" s="34" t="str">
        <f aca="false">IF(B138="","",IF(MONTH(B138)=9,"X",""))</f>
        <v/>
      </c>
      <c r="S138" s="34" t="str">
        <f aca="false">IF(B138="","",IF(MONTH(B138)=10,"X",""))</f>
        <v/>
      </c>
      <c r="T138" s="34" t="str">
        <f aca="false">IF(B138="","",IF(MONTH(B138)=11,"X",""))</f>
        <v/>
      </c>
      <c r="U138" s="34" t="str">
        <f aca="false">IF(B138="","",IF(MONTH(B138)=12,"X",""))</f>
        <v/>
      </c>
      <c r="V138" s="24" t="str">
        <f aca="false">IF(E138="","",COUNTIF($E$5:$E$1000,E138))</f>
        <v/>
      </c>
      <c r="W138" s="35" t="str">
        <f aca="false">IF(E138="","",_xlfn.TEXTJOIN(" + ",TRUE(),IF(COUNTIFS($E$5:$E$1000,E138,$C$5:$C$1000,"Auditoría Interna")&gt;0,"Interna",""),IF(COUNTIFS($E$5:$E$1000,E138,$C$5:$C$1000,"Auditoría Externa")&gt;0,"Externa",""),IF(COUNTIFS($E$5:$E$1000,E138,$C$5:$C$1000,"SSF")&gt;0,"SSF",""),IF(COUNTIFS($E$5:$E$1000,E138,$C$5:$C$1000,"Comité de Supervisión")&gt;0,"Comité Sup.",""),IF(COUNTIFS($E$5:$E$1000,E138,$C$5:$C$1000,"Consejo de Administración")&gt;0,"Consejo",""),IF(COUNTIFS($E$5:$E$1000,E138,$C$5:$C$1000,"Otros")&gt;0,"Otros","")))</f>
        <v/>
      </c>
      <c r="X138" s="24" t="str">
        <f aca="false">IF(E138="","",COUNTIFS($E$5:$E$1000,E138,$AB$5:$AB$1000,AB138,$C$5:$C$1000,"&lt;&gt;"&amp;C138))</f>
        <v/>
      </c>
      <c r="Y138" s="33"/>
      <c r="Z138" s="31"/>
      <c r="AA138" s="33"/>
      <c r="AB138" s="37" t="str">
        <f aca="false">IF(B138="","",YEAR(B138)*100+MONTH(B138))</f>
        <v/>
      </c>
      <c r="AC138" s="37" t="str">
        <f aca="false">IF(AND(E138&lt;&gt;"",E138=Cruce!$C$5),COUNTIF($E$5:E138,E138),"")</f>
        <v/>
      </c>
      <c r="AD138" s="37" t="str">
        <f aca="false">IF(E138="","",C138&amp;"|"&amp;Y138&amp;"|"&amp;IF(B138="","s/f",TEXT(B138,"yyyymmdd")))</f>
        <v/>
      </c>
      <c r="AE138" s="37" t="n">
        <f aca="false">IF(E138="",0,IF(COUNTIFS($E$5:E138,E138,$AD$5:AD138,AD138)=1,1,0))</f>
        <v>0</v>
      </c>
    </row>
    <row r="139" customFormat="false" ht="15" hidden="false" customHeight="true" outlineLevel="0" collapsed="false">
      <c r="A139" s="31"/>
      <c r="B139" s="30"/>
      <c r="C139" s="31"/>
      <c r="D139" s="31"/>
      <c r="E139" s="32"/>
      <c r="F139" s="32"/>
      <c r="G139" s="33"/>
      <c r="H139" s="31"/>
      <c r="I139" s="24" t="str">
        <f aca="false">IF(B139="","",YEAR(B139))</f>
        <v/>
      </c>
      <c r="J139" s="34" t="str">
        <f aca="false">IF(B139="","",IF(MONTH(B139)=1,"X",""))</f>
        <v/>
      </c>
      <c r="K139" s="34" t="str">
        <f aca="false">IF(B139="","",IF(MONTH(B139)=2,"X",""))</f>
        <v/>
      </c>
      <c r="L139" s="34" t="str">
        <f aca="false">IF(B139="","",IF(MONTH(B139)=3,"X",""))</f>
        <v/>
      </c>
      <c r="M139" s="34" t="str">
        <f aca="false">IF(B139="","",IF(MONTH(B139)=4,"X",""))</f>
        <v/>
      </c>
      <c r="N139" s="34" t="str">
        <f aca="false">IF(B139="","",IF(MONTH(B139)=5,"X",""))</f>
        <v/>
      </c>
      <c r="O139" s="34" t="str">
        <f aca="false">IF(B139="","",IF(MONTH(B139)=6,"X",""))</f>
        <v/>
      </c>
      <c r="P139" s="34" t="str">
        <f aca="false">IF(B139="","",IF(MONTH(B139)=7,"X",""))</f>
        <v/>
      </c>
      <c r="Q139" s="34" t="str">
        <f aca="false">IF(B139="","",IF(MONTH(B139)=8,"X",""))</f>
        <v/>
      </c>
      <c r="R139" s="34" t="str">
        <f aca="false">IF(B139="","",IF(MONTH(B139)=9,"X",""))</f>
        <v/>
      </c>
      <c r="S139" s="34" t="str">
        <f aca="false">IF(B139="","",IF(MONTH(B139)=10,"X",""))</f>
        <v/>
      </c>
      <c r="T139" s="34" t="str">
        <f aca="false">IF(B139="","",IF(MONTH(B139)=11,"X",""))</f>
        <v/>
      </c>
      <c r="U139" s="34" t="str">
        <f aca="false">IF(B139="","",IF(MONTH(B139)=12,"X",""))</f>
        <v/>
      </c>
      <c r="V139" s="24" t="str">
        <f aca="false">IF(E139="","",COUNTIF($E$5:$E$1000,E139))</f>
        <v/>
      </c>
      <c r="W139" s="35" t="str">
        <f aca="false">IF(E139="","",_xlfn.TEXTJOIN(" + ",TRUE(),IF(COUNTIFS($E$5:$E$1000,E139,$C$5:$C$1000,"Auditoría Interna")&gt;0,"Interna",""),IF(COUNTIFS($E$5:$E$1000,E139,$C$5:$C$1000,"Auditoría Externa")&gt;0,"Externa",""),IF(COUNTIFS($E$5:$E$1000,E139,$C$5:$C$1000,"SSF")&gt;0,"SSF",""),IF(COUNTIFS($E$5:$E$1000,E139,$C$5:$C$1000,"Comité de Supervisión")&gt;0,"Comité Sup.",""),IF(COUNTIFS($E$5:$E$1000,E139,$C$5:$C$1000,"Consejo de Administración")&gt;0,"Consejo",""),IF(COUNTIFS($E$5:$E$1000,E139,$C$5:$C$1000,"Otros")&gt;0,"Otros","")))</f>
        <v/>
      </c>
      <c r="X139" s="24" t="str">
        <f aca="false">IF(E139="","",COUNTIFS($E$5:$E$1000,E139,$AB$5:$AB$1000,AB139,$C$5:$C$1000,"&lt;&gt;"&amp;C139))</f>
        <v/>
      </c>
      <c r="Y139" s="33"/>
      <c r="Z139" s="31"/>
      <c r="AA139" s="33"/>
      <c r="AB139" s="37" t="str">
        <f aca="false">IF(B139="","",YEAR(B139)*100+MONTH(B139))</f>
        <v/>
      </c>
      <c r="AC139" s="37" t="str">
        <f aca="false">IF(AND(E139&lt;&gt;"",E139=Cruce!$C$5),COUNTIF($E$5:E139,E139),"")</f>
        <v/>
      </c>
      <c r="AD139" s="37" t="str">
        <f aca="false">IF(E139="","",C139&amp;"|"&amp;Y139&amp;"|"&amp;IF(B139="","s/f",TEXT(B139,"yyyymmdd")))</f>
        <v/>
      </c>
      <c r="AE139" s="37" t="n">
        <f aca="false">IF(E139="",0,IF(COUNTIFS($E$5:E139,E139,$AD$5:AD139,AD139)=1,1,0))</f>
        <v>0</v>
      </c>
    </row>
    <row r="140" customFormat="false" ht="15" hidden="false" customHeight="true" outlineLevel="0" collapsed="false">
      <c r="A140" s="31"/>
      <c r="B140" s="30"/>
      <c r="C140" s="31"/>
      <c r="D140" s="31"/>
      <c r="E140" s="32"/>
      <c r="F140" s="32"/>
      <c r="G140" s="33"/>
      <c r="H140" s="31"/>
      <c r="I140" s="24" t="str">
        <f aca="false">IF(B140="","",YEAR(B140))</f>
        <v/>
      </c>
      <c r="J140" s="34" t="str">
        <f aca="false">IF(B140="","",IF(MONTH(B140)=1,"X",""))</f>
        <v/>
      </c>
      <c r="K140" s="34" t="str">
        <f aca="false">IF(B140="","",IF(MONTH(B140)=2,"X",""))</f>
        <v/>
      </c>
      <c r="L140" s="34" t="str">
        <f aca="false">IF(B140="","",IF(MONTH(B140)=3,"X",""))</f>
        <v/>
      </c>
      <c r="M140" s="34" t="str">
        <f aca="false">IF(B140="","",IF(MONTH(B140)=4,"X",""))</f>
        <v/>
      </c>
      <c r="N140" s="34" t="str">
        <f aca="false">IF(B140="","",IF(MONTH(B140)=5,"X",""))</f>
        <v/>
      </c>
      <c r="O140" s="34" t="str">
        <f aca="false">IF(B140="","",IF(MONTH(B140)=6,"X",""))</f>
        <v/>
      </c>
      <c r="P140" s="34" t="str">
        <f aca="false">IF(B140="","",IF(MONTH(B140)=7,"X",""))</f>
        <v/>
      </c>
      <c r="Q140" s="34" t="str">
        <f aca="false">IF(B140="","",IF(MONTH(B140)=8,"X",""))</f>
        <v/>
      </c>
      <c r="R140" s="34" t="str">
        <f aca="false">IF(B140="","",IF(MONTH(B140)=9,"X",""))</f>
        <v/>
      </c>
      <c r="S140" s="34" t="str">
        <f aca="false">IF(B140="","",IF(MONTH(B140)=10,"X",""))</f>
        <v/>
      </c>
      <c r="T140" s="34" t="str">
        <f aca="false">IF(B140="","",IF(MONTH(B140)=11,"X",""))</f>
        <v/>
      </c>
      <c r="U140" s="34" t="str">
        <f aca="false">IF(B140="","",IF(MONTH(B140)=12,"X",""))</f>
        <v/>
      </c>
      <c r="V140" s="24" t="str">
        <f aca="false">IF(E140="","",COUNTIF($E$5:$E$1000,E140))</f>
        <v/>
      </c>
      <c r="W140" s="35" t="str">
        <f aca="false">IF(E140="","",_xlfn.TEXTJOIN(" + ",TRUE(),IF(COUNTIFS($E$5:$E$1000,E140,$C$5:$C$1000,"Auditoría Interna")&gt;0,"Interna",""),IF(COUNTIFS($E$5:$E$1000,E140,$C$5:$C$1000,"Auditoría Externa")&gt;0,"Externa",""),IF(COUNTIFS($E$5:$E$1000,E140,$C$5:$C$1000,"SSF")&gt;0,"SSF",""),IF(COUNTIFS($E$5:$E$1000,E140,$C$5:$C$1000,"Comité de Supervisión")&gt;0,"Comité Sup.",""),IF(COUNTIFS($E$5:$E$1000,E140,$C$5:$C$1000,"Consejo de Administración")&gt;0,"Consejo",""),IF(COUNTIFS($E$5:$E$1000,E140,$C$5:$C$1000,"Otros")&gt;0,"Otros","")))</f>
        <v/>
      </c>
      <c r="X140" s="24" t="str">
        <f aca="false">IF(E140="","",COUNTIFS($E$5:$E$1000,E140,$AB$5:$AB$1000,AB140,$C$5:$C$1000,"&lt;&gt;"&amp;C140))</f>
        <v/>
      </c>
      <c r="Y140" s="33"/>
      <c r="Z140" s="31"/>
      <c r="AA140" s="33"/>
      <c r="AB140" s="37" t="str">
        <f aca="false">IF(B140="","",YEAR(B140)*100+MONTH(B140))</f>
        <v/>
      </c>
      <c r="AC140" s="37" t="str">
        <f aca="false">IF(AND(E140&lt;&gt;"",E140=Cruce!$C$5),COUNTIF($E$5:E140,E140),"")</f>
        <v/>
      </c>
      <c r="AD140" s="37" t="str">
        <f aca="false">IF(E140="","",C140&amp;"|"&amp;Y140&amp;"|"&amp;IF(B140="","s/f",TEXT(B140,"yyyymmdd")))</f>
        <v/>
      </c>
      <c r="AE140" s="37" t="n">
        <f aca="false">IF(E140="",0,IF(COUNTIFS($E$5:E140,E140,$AD$5:AD140,AD140)=1,1,0))</f>
        <v>0</v>
      </c>
    </row>
    <row r="141" customFormat="false" ht="15" hidden="false" customHeight="true" outlineLevel="0" collapsed="false">
      <c r="A141" s="31"/>
      <c r="B141" s="30"/>
      <c r="C141" s="31"/>
      <c r="D141" s="31"/>
      <c r="E141" s="32"/>
      <c r="F141" s="32"/>
      <c r="G141" s="33"/>
      <c r="H141" s="31"/>
      <c r="I141" s="24" t="str">
        <f aca="false">IF(B141="","",YEAR(B141))</f>
        <v/>
      </c>
      <c r="J141" s="34" t="str">
        <f aca="false">IF(B141="","",IF(MONTH(B141)=1,"X",""))</f>
        <v/>
      </c>
      <c r="K141" s="34" t="str">
        <f aca="false">IF(B141="","",IF(MONTH(B141)=2,"X",""))</f>
        <v/>
      </c>
      <c r="L141" s="34" t="str">
        <f aca="false">IF(B141="","",IF(MONTH(B141)=3,"X",""))</f>
        <v/>
      </c>
      <c r="M141" s="34" t="str">
        <f aca="false">IF(B141="","",IF(MONTH(B141)=4,"X",""))</f>
        <v/>
      </c>
      <c r="N141" s="34" t="str">
        <f aca="false">IF(B141="","",IF(MONTH(B141)=5,"X",""))</f>
        <v/>
      </c>
      <c r="O141" s="34" t="str">
        <f aca="false">IF(B141="","",IF(MONTH(B141)=6,"X",""))</f>
        <v/>
      </c>
      <c r="P141" s="34" t="str">
        <f aca="false">IF(B141="","",IF(MONTH(B141)=7,"X",""))</f>
        <v/>
      </c>
      <c r="Q141" s="34" t="str">
        <f aca="false">IF(B141="","",IF(MONTH(B141)=8,"X",""))</f>
        <v/>
      </c>
      <c r="R141" s="34" t="str">
        <f aca="false">IF(B141="","",IF(MONTH(B141)=9,"X",""))</f>
        <v/>
      </c>
      <c r="S141" s="34" t="str">
        <f aca="false">IF(B141="","",IF(MONTH(B141)=10,"X",""))</f>
        <v/>
      </c>
      <c r="T141" s="34" t="str">
        <f aca="false">IF(B141="","",IF(MONTH(B141)=11,"X",""))</f>
        <v/>
      </c>
      <c r="U141" s="34" t="str">
        <f aca="false">IF(B141="","",IF(MONTH(B141)=12,"X",""))</f>
        <v/>
      </c>
      <c r="V141" s="24" t="str">
        <f aca="false">IF(E141="","",COUNTIF($E$5:$E$1000,E141))</f>
        <v/>
      </c>
      <c r="W141" s="35" t="str">
        <f aca="false">IF(E141="","",_xlfn.TEXTJOIN(" + ",TRUE(),IF(COUNTIFS($E$5:$E$1000,E141,$C$5:$C$1000,"Auditoría Interna")&gt;0,"Interna",""),IF(COUNTIFS($E$5:$E$1000,E141,$C$5:$C$1000,"Auditoría Externa")&gt;0,"Externa",""),IF(COUNTIFS($E$5:$E$1000,E141,$C$5:$C$1000,"SSF")&gt;0,"SSF",""),IF(COUNTIFS($E$5:$E$1000,E141,$C$5:$C$1000,"Comité de Supervisión")&gt;0,"Comité Sup.",""),IF(COUNTIFS($E$5:$E$1000,E141,$C$5:$C$1000,"Consejo de Administración")&gt;0,"Consejo",""),IF(COUNTIFS($E$5:$E$1000,E141,$C$5:$C$1000,"Otros")&gt;0,"Otros","")))</f>
        <v/>
      </c>
      <c r="X141" s="24" t="str">
        <f aca="false">IF(E141="","",COUNTIFS($E$5:$E$1000,E141,$AB$5:$AB$1000,AB141,$C$5:$C$1000,"&lt;&gt;"&amp;C141))</f>
        <v/>
      </c>
      <c r="Y141" s="33"/>
      <c r="Z141" s="31"/>
      <c r="AA141" s="33"/>
      <c r="AB141" s="37" t="str">
        <f aca="false">IF(B141="","",YEAR(B141)*100+MONTH(B141))</f>
        <v/>
      </c>
      <c r="AC141" s="37" t="str">
        <f aca="false">IF(AND(E141&lt;&gt;"",E141=Cruce!$C$5),COUNTIF($E$5:E141,E141),"")</f>
        <v/>
      </c>
      <c r="AD141" s="37" t="str">
        <f aca="false">IF(E141="","",C141&amp;"|"&amp;Y141&amp;"|"&amp;IF(B141="","s/f",TEXT(B141,"yyyymmdd")))</f>
        <v/>
      </c>
      <c r="AE141" s="37" t="n">
        <f aca="false">IF(E141="",0,IF(COUNTIFS($E$5:E141,E141,$AD$5:AD141,AD141)=1,1,0))</f>
        <v>0</v>
      </c>
    </row>
    <row r="142" customFormat="false" ht="15" hidden="false" customHeight="true" outlineLevel="0" collapsed="false">
      <c r="A142" s="31"/>
      <c r="B142" s="30"/>
      <c r="C142" s="31"/>
      <c r="D142" s="31"/>
      <c r="E142" s="32"/>
      <c r="F142" s="32"/>
      <c r="G142" s="33"/>
      <c r="H142" s="31"/>
      <c r="I142" s="24" t="str">
        <f aca="false">IF(B142="","",YEAR(B142))</f>
        <v/>
      </c>
      <c r="J142" s="34" t="str">
        <f aca="false">IF(B142="","",IF(MONTH(B142)=1,"X",""))</f>
        <v/>
      </c>
      <c r="K142" s="34" t="str">
        <f aca="false">IF(B142="","",IF(MONTH(B142)=2,"X",""))</f>
        <v/>
      </c>
      <c r="L142" s="34" t="str">
        <f aca="false">IF(B142="","",IF(MONTH(B142)=3,"X",""))</f>
        <v/>
      </c>
      <c r="M142" s="34" t="str">
        <f aca="false">IF(B142="","",IF(MONTH(B142)=4,"X",""))</f>
        <v/>
      </c>
      <c r="N142" s="34" t="str">
        <f aca="false">IF(B142="","",IF(MONTH(B142)=5,"X",""))</f>
        <v/>
      </c>
      <c r="O142" s="34" t="str">
        <f aca="false">IF(B142="","",IF(MONTH(B142)=6,"X",""))</f>
        <v/>
      </c>
      <c r="P142" s="34" t="str">
        <f aca="false">IF(B142="","",IF(MONTH(B142)=7,"X",""))</f>
        <v/>
      </c>
      <c r="Q142" s="34" t="str">
        <f aca="false">IF(B142="","",IF(MONTH(B142)=8,"X",""))</f>
        <v/>
      </c>
      <c r="R142" s="34" t="str">
        <f aca="false">IF(B142="","",IF(MONTH(B142)=9,"X",""))</f>
        <v/>
      </c>
      <c r="S142" s="34" t="str">
        <f aca="false">IF(B142="","",IF(MONTH(B142)=10,"X",""))</f>
        <v/>
      </c>
      <c r="T142" s="34" t="str">
        <f aca="false">IF(B142="","",IF(MONTH(B142)=11,"X",""))</f>
        <v/>
      </c>
      <c r="U142" s="34" t="str">
        <f aca="false">IF(B142="","",IF(MONTH(B142)=12,"X",""))</f>
        <v/>
      </c>
      <c r="V142" s="24" t="str">
        <f aca="false">IF(E142="","",COUNTIF($E$5:$E$1000,E142))</f>
        <v/>
      </c>
      <c r="W142" s="35" t="str">
        <f aca="false">IF(E142="","",_xlfn.TEXTJOIN(" + ",TRUE(),IF(COUNTIFS($E$5:$E$1000,E142,$C$5:$C$1000,"Auditoría Interna")&gt;0,"Interna",""),IF(COUNTIFS($E$5:$E$1000,E142,$C$5:$C$1000,"Auditoría Externa")&gt;0,"Externa",""),IF(COUNTIFS($E$5:$E$1000,E142,$C$5:$C$1000,"SSF")&gt;0,"SSF",""),IF(COUNTIFS($E$5:$E$1000,E142,$C$5:$C$1000,"Comité de Supervisión")&gt;0,"Comité Sup.",""),IF(COUNTIFS($E$5:$E$1000,E142,$C$5:$C$1000,"Consejo de Administración")&gt;0,"Consejo",""),IF(COUNTIFS($E$5:$E$1000,E142,$C$5:$C$1000,"Otros")&gt;0,"Otros","")))</f>
        <v/>
      </c>
      <c r="X142" s="24" t="str">
        <f aca="false">IF(E142="","",COUNTIFS($E$5:$E$1000,E142,$AB$5:$AB$1000,AB142,$C$5:$C$1000,"&lt;&gt;"&amp;C142))</f>
        <v/>
      </c>
      <c r="Y142" s="33"/>
      <c r="Z142" s="31"/>
      <c r="AA142" s="33"/>
      <c r="AB142" s="37" t="str">
        <f aca="false">IF(B142="","",YEAR(B142)*100+MONTH(B142))</f>
        <v/>
      </c>
      <c r="AC142" s="37" t="str">
        <f aca="false">IF(AND(E142&lt;&gt;"",E142=Cruce!$C$5),COUNTIF($E$5:E142,E142),"")</f>
        <v/>
      </c>
      <c r="AD142" s="37" t="str">
        <f aca="false">IF(E142="","",C142&amp;"|"&amp;Y142&amp;"|"&amp;IF(B142="","s/f",TEXT(B142,"yyyymmdd")))</f>
        <v/>
      </c>
      <c r="AE142" s="37" t="n">
        <f aca="false">IF(E142="",0,IF(COUNTIFS($E$5:E142,E142,$AD$5:AD142,AD142)=1,1,0))</f>
        <v>0</v>
      </c>
    </row>
    <row r="143" customFormat="false" ht="15" hidden="false" customHeight="true" outlineLevel="0" collapsed="false">
      <c r="A143" s="31"/>
      <c r="B143" s="30"/>
      <c r="C143" s="31"/>
      <c r="D143" s="31"/>
      <c r="E143" s="32"/>
      <c r="F143" s="32"/>
      <c r="G143" s="33"/>
      <c r="H143" s="31"/>
      <c r="I143" s="24" t="str">
        <f aca="false">IF(B143="","",YEAR(B143))</f>
        <v/>
      </c>
      <c r="J143" s="34" t="str">
        <f aca="false">IF(B143="","",IF(MONTH(B143)=1,"X",""))</f>
        <v/>
      </c>
      <c r="K143" s="34" t="str">
        <f aca="false">IF(B143="","",IF(MONTH(B143)=2,"X",""))</f>
        <v/>
      </c>
      <c r="L143" s="34" t="str">
        <f aca="false">IF(B143="","",IF(MONTH(B143)=3,"X",""))</f>
        <v/>
      </c>
      <c r="M143" s="34" t="str">
        <f aca="false">IF(B143="","",IF(MONTH(B143)=4,"X",""))</f>
        <v/>
      </c>
      <c r="N143" s="34" t="str">
        <f aca="false">IF(B143="","",IF(MONTH(B143)=5,"X",""))</f>
        <v/>
      </c>
      <c r="O143" s="34" t="str">
        <f aca="false">IF(B143="","",IF(MONTH(B143)=6,"X",""))</f>
        <v/>
      </c>
      <c r="P143" s="34" t="str">
        <f aca="false">IF(B143="","",IF(MONTH(B143)=7,"X",""))</f>
        <v/>
      </c>
      <c r="Q143" s="34" t="str">
        <f aca="false">IF(B143="","",IF(MONTH(B143)=8,"X",""))</f>
        <v/>
      </c>
      <c r="R143" s="34" t="str">
        <f aca="false">IF(B143="","",IF(MONTH(B143)=9,"X",""))</f>
        <v/>
      </c>
      <c r="S143" s="34" t="str">
        <f aca="false">IF(B143="","",IF(MONTH(B143)=10,"X",""))</f>
        <v/>
      </c>
      <c r="T143" s="34" t="str">
        <f aca="false">IF(B143="","",IF(MONTH(B143)=11,"X",""))</f>
        <v/>
      </c>
      <c r="U143" s="34" t="str">
        <f aca="false">IF(B143="","",IF(MONTH(B143)=12,"X",""))</f>
        <v/>
      </c>
      <c r="V143" s="24" t="str">
        <f aca="false">IF(E143="","",COUNTIF($E$5:$E$1000,E143))</f>
        <v/>
      </c>
      <c r="W143" s="35" t="str">
        <f aca="false">IF(E143="","",_xlfn.TEXTJOIN(" + ",TRUE(),IF(COUNTIFS($E$5:$E$1000,E143,$C$5:$C$1000,"Auditoría Interna")&gt;0,"Interna",""),IF(COUNTIFS($E$5:$E$1000,E143,$C$5:$C$1000,"Auditoría Externa")&gt;0,"Externa",""),IF(COUNTIFS($E$5:$E$1000,E143,$C$5:$C$1000,"SSF")&gt;0,"SSF",""),IF(COUNTIFS($E$5:$E$1000,E143,$C$5:$C$1000,"Comité de Supervisión")&gt;0,"Comité Sup.",""),IF(COUNTIFS($E$5:$E$1000,E143,$C$5:$C$1000,"Consejo de Administración")&gt;0,"Consejo",""),IF(COUNTIFS($E$5:$E$1000,E143,$C$5:$C$1000,"Otros")&gt;0,"Otros","")))</f>
        <v/>
      </c>
      <c r="X143" s="24" t="str">
        <f aca="false">IF(E143="","",COUNTIFS($E$5:$E$1000,E143,$AB$5:$AB$1000,AB143,$C$5:$C$1000,"&lt;&gt;"&amp;C143))</f>
        <v/>
      </c>
      <c r="Y143" s="33"/>
      <c r="Z143" s="31"/>
      <c r="AA143" s="33"/>
      <c r="AB143" s="37" t="str">
        <f aca="false">IF(B143="","",YEAR(B143)*100+MONTH(B143))</f>
        <v/>
      </c>
      <c r="AC143" s="37" t="str">
        <f aca="false">IF(AND(E143&lt;&gt;"",E143=Cruce!$C$5),COUNTIF($E$5:E143,E143),"")</f>
        <v/>
      </c>
      <c r="AD143" s="37" t="str">
        <f aca="false">IF(E143="","",C143&amp;"|"&amp;Y143&amp;"|"&amp;IF(B143="","s/f",TEXT(B143,"yyyymmdd")))</f>
        <v/>
      </c>
      <c r="AE143" s="37" t="n">
        <f aca="false">IF(E143="",0,IF(COUNTIFS($E$5:E143,E143,$AD$5:AD143,AD143)=1,1,0))</f>
        <v>0</v>
      </c>
    </row>
    <row r="144" customFormat="false" ht="15" hidden="false" customHeight="true" outlineLevel="0" collapsed="false">
      <c r="A144" s="31"/>
      <c r="B144" s="30"/>
      <c r="C144" s="31"/>
      <c r="D144" s="31"/>
      <c r="E144" s="32"/>
      <c r="F144" s="32"/>
      <c r="G144" s="33"/>
      <c r="H144" s="31"/>
      <c r="I144" s="24" t="str">
        <f aca="false">IF(B144="","",YEAR(B144))</f>
        <v/>
      </c>
      <c r="J144" s="34" t="str">
        <f aca="false">IF(B144="","",IF(MONTH(B144)=1,"X",""))</f>
        <v/>
      </c>
      <c r="K144" s="34" t="str">
        <f aca="false">IF(B144="","",IF(MONTH(B144)=2,"X",""))</f>
        <v/>
      </c>
      <c r="L144" s="34" t="str">
        <f aca="false">IF(B144="","",IF(MONTH(B144)=3,"X",""))</f>
        <v/>
      </c>
      <c r="M144" s="34" t="str">
        <f aca="false">IF(B144="","",IF(MONTH(B144)=4,"X",""))</f>
        <v/>
      </c>
      <c r="N144" s="34" t="str">
        <f aca="false">IF(B144="","",IF(MONTH(B144)=5,"X",""))</f>
        <v/>
      </c>
      <c r="O144" s="34" t="str">
        <f aca="false">IF(B144="","",IF(MONTH(B144)=6,"X",""))</f>
        <v/>
      </c>
      <c r="P144" s="34" t="str">
        <f aca="false">IF(B144="","",IF(MONTH(B144)=7,"X",""))</f>
        <v/>
      </c>
      <c r="Q144" s="34" t="str">
        <f aca="false">IF(B144="","",IF(MONTH(B144)=8,"X",""))</f>
        <v/>
      </c>
      <c r="R144" s="34" t="str">
        <f aca="false">IF(B144="","",IF(MONTH(B144)=9,"X",""))</f>
        <v/>
      </c>
      <c r="S144" s="34" t="str">
        <f aca="false">IF(B144="","",IF(MONTH(B144)=10,"X",""))</f>
        <v/>
      </c>
      <c r="T144" s="34" t="str">
        <f aca="false">IF(B144="","",IF(MONTH(B144)=11,"X",""))</f>
        <v/>
      </c>
      <c r="U144" s="34" t="str">
        <f aca="false">IF(B144="","",IF(MONTH(B144)=12,"X",""))</f>
        <v/>
      </c>
      <c r="V144" s="24" t="str">
        <f aca="false">IF(E144="","",COUNTIF($E$5:$E$1000,E144))</f>
        <v/>
      </c>
      <c r="W144" s="35" t="str">
        <f aca="false">IF(E144="","",_xlfn.TEXTJOIN(" + ",TRUE(),IF(COUNTIFS($E$5:$E$1000,E144,$C$5:$C$1000,"Auditoría Interna")&gt;0,"Interna",""),IF(COUNTIFS($E$5:$E$1000,E144,$C$5:$C$1000,"Auditoría Externa")&gt;0,"Externa",""),IF(COUNTIFS($E$5:$E$1000,E144,$C$5:$C$1000,"SSF")&gt;0,"SSF",""),IF(COUNTIFS($E$5:$E$1000,E144,$C$5:$C$1000,"Comité de Supervisión")&gt;0,"Comité Sup.",""),IF(COUNTIFS($E$5:$E$1000,E144,$C$5:$C$1000,"Consejo de Administración")&gt;0,"Consejo",""),IF(COUNTIFS($E$5:$E$1000,E144,$C$5:$C$1000,"Otros")&gt;0,"Otros","")))</f>
        <v/>
      </c>
      <c r="X144" s="24" t="str">
        <f aca="false">IF(E144="","",COUNTIFS($E$5:$E$1000,E144,$AB$5:$AB$1000,AB144,$C$5:$C$1000,"&lt;&gt;"&amp;C144))</f>
        <v/>
      </c>
      <c r="Y144" s="33"/>
      <c r="Z144" s="31"/>
      <c r="AA144" s="33"/>
      <c r="AB144" s="37" t="str">
        <f aca="false">IF(B144="","",YEAR(B144)*100+MONTH(B144))</f>
        <v/>
      </c>
      <c r="AC144" s="37" t="str">
        <f aca="false">IF(AND(E144&lt;&gt;"",E144=Cruce!$C$5),COUNTIF($E$5:E144,E144),"")</f>
        <v/>
      </c>
      <c r="AD144" s="37" t="str">
        <f aca="false">IF(E144="","",C144&amp;"|"&amp;Y144&amp;"|"&amp;IF(B144="","s/f",TEXT(B144,"yyyymmdd")))</f>
        <v/>
      </c>
      <c r="AE144" s="37" t="n">
        <f aca="false">IF(E144="",0,IF(COUNTIFS($E$5:E144,E144,$AD$5:AD144,AD144)=1,1,0))</f>
        <v>0</v>
      </c>
    </row>
    <row r="145" customFormat="false" ht="15" hidden="false" customHeight="true" outlineLevel="0" collapsed="false">
      <c r="A145" s="31"/>
      <c r="B145" s="30"/>
      <c r="C145" s="31"/>
      <c r="D145" s="31"/>
      <c r="E145" s="32"/>
      <c r="F145" s="32"/>
      <c r="G145" s="33"/>
      <c r="H145" s="31"/>
      <c r="I145" s="24" t="str">
        <f aca="false">IF(B145="","",YEAR(B145))</f>
        <v/>
      </c>
      <c r="J145" s="34" t="str">
        <f aca="false">IF(B145="","",IF(MONTH(B145)=1,"X",""))</f>
        <v/>
      </c>
      <c r="K145" s="34" t="str">
        <f aca="false">IF(B145="","",IF(MONTH(B145)=2,"X",""))</f>
        <v/>
      </c>
      <c r="L145" s="34" t="str">
        <f aca="false">IF(B145="","",IF(MONTH(B145)=3,"X",""))</f>
        <v/>
      </c>
      <c r="M145" s="34" t="str">
        <f aca="false">IF(B145="","",IF(MONTH(B145)=4,"X",""))</f>
        <v/>
      </c>
      <c r="N145" s="34" t="str">
        <f aca="false">IF(B145="","",IF(MONTH(B145)=5,"X",""))</f>
        <v/>
      </c>
      <c r="O145" s="34" t="str">
        <f aca="false">IF(B145="","",IF(MONTH(B145)=6,"X",""))</f>
        <v/>
      </c>
      <c r="P145" s="34" t="str">
        <f aca="false">IF(B145="","",IF(MONTH(B145)=7,"X",""))</f>
        <v/>
      </c>
      <c r="Q145" s="34" t="str">
        <f aca="false">IF(B145="","",IF(MONTH(B145)=8,"X",""))</f>
        <v/>
      </c>
      <c r="R145" s="34" t="str">
        <f aca="false">IF(B145="","",IF(MONTH(B145)=9,"X",""))</f>
        <v/>
      </c>
      <c r="S145" s="34" t="str">
        <f aca="false">IF(B145="","",IF(MONTH(B145)=10,"X",""))</f>
        <v/>
      </c>
      <c r="T145" s="34" t="str">
        <f aca="false">IF(B145="","",IF(MONTH(B145)=11,"X",""))</f>
        <v/>
      </c>
      <c r="U145" s="34" t="str">
        <f aca="false">IF(B145="","",IF(MONTH(B145)=12,"X",""))</f>
        <v/>
      </c>
      <c r="V145" s="24" t="str">
        <f aca="false">IF(E145="","",COUNTIF($E$5:$E$1000,E145))</f>
        <v/>
      </c>
      <c r="W145" s="35" t="str">
        <f aca="false">IF(E145="","",_xlfn.TEXTJOIN(" + ",TRUE(),IF(COUNTIFS($E$5:$E$1000,E145,$C$5:$C$1000,"Auditoría Interna")&gt;0,"Interna",""),IF(COUNTIFS($E$5:$E$1000,E145,$C$5:$C$1000,"Auditoría Externa")&gt;0,"Externa",""),IF(COUNTIFS($E$5:$E$1000,E145,$C$5:$C$1000,"SSF")&gt;0,"SSF",""),IF(COUNTIFS($E$5:$E$1000,E145,$C$5:$C$1000,"Comité de Supervisión")&gt;0,"Comité Sup.",""),IF(COUNTIFS($E$5:$E$1000,E145,$C$5:$C$1000,"Consejo de Administración")&gt;0,"Consejo",""),IF(COUNTIFS($E$5:$E$1000,E145,$C$5:$C$1000,"Otros")&gt;0,"Otros","")))</f>
        <v/>
      </c>
      <c r="X145" s="24" t="str">
        <f aca="false">IF(E145="","",COUNTIFS($E$5:$E$1000,E145,$AB$5:$AB$1000,AB145,$C$5:$C$1000,"&lt;&gt;"&amp;C145))</f>
        <v/>
      </c>
      <c r="Y145" s="33"/>
      <c r="Z145" s="31"/>
      <c r="AA145" s="33"/>
      <c r="AB145" s="37" t="str">
        <f aca="false">IF(B145="","",YEAR(B145)*100+MONTH(B145))</f>
        <v/>
      </c>
      <c r="AC145" s="37" t="str">
        <f aca="false">IF(AND(E145&lt;&gt;"",E145=Cruce!$C$5),COUNTIF($E$5:E145,E145),"")</f>
        <v/>
      </c>
      <c r="AD145" s="37" t="str">
        <f aca="false">IF(E145="","",C145&amp;"|"&amp;Y145&amp;"|"&amp;IF(B145="","s/f",TEXT(B145,"yyyymmdd")))</f>
        <v/>
      </c>
      <c r="AE145" s="37" t="n">
        <f aca="false">IF(E145="",0,IF(COUNTIFS($E$5:E145,E145,$AD$5:AD145,AD145)=1,1,0))</f>
        <v>0</v>
      </c>
    </row>
    <row r="146" customFormat="false" ht="15" hidden="false" customHeight="true" outlineLevel="0" collapsed="false">
      <c r="A146" s="31"/>
      <c r="B146" s="30"/>
      <c r="C146" s="31"/>
      <c r="D146" s="31"/>
      <c r="E146" s="32"/>
      <c r="F146" s="32"/>
      <c r="G146" s="33"/>
      <c r="H146" s="31"/>
      <c r="I146" s="24" t="str">
        <f aca="false">IF(B146="","",YEAR(B146))</f>
        <v/>
      </c>
      <c r="J146" s="34" t="str">
        <f aca="false">IF(B146="","",IF(MONTH(B146)=1,"X",""))</f>
        <v/>
      </c>
      <c r="K146" s="34" t="str">
        <f aca="false">IF(B146="","",IF(MONTH(B146)=2,"X",""))</f>
        <v/>
      </c>
      <c r="L146" s="34" t="str">
        <f aca="false">IF(B146="","",IF(MONTH(B146)=3,"X",""))</f>
        <v/>
      </c>
      <c r="M146" s="34" t="str">
        <f aca="false">IF(B146="","",IF(MONTH(B146)=4,"X",""))</f>
        <v/>
      </c>
      <c r="N146" s="34" t="str">
        <f aca="false">IF(B146="","",IF(MONTH(B146)=5,"X",""))</f>
        <v/>
      </c>
      <c r="O146" s="34" t="str">
        <f aca="false">IF(B146="","",IF(MONTH(B146)=6,"X",""))</f>
        <v/>
      </c>
      <c r="P146" s="34" t="str">
        <f aca="false">IF(B146="","",IF(MONTH(B146)=7,"X",""))</f>
        <v/>
      </c>
      <c r="Q146" s="34" t="str">
        <f aca="false">IF(B146="","",IF(MONTH(B146)=8,"X",""))</f>
        <v/>
      </c>
      <c r="R146" s="34" t="str">
        <f aca="false">IF(B146="","",IF(MONTH(B146)=9,"X",""))</f>
        <v/>
      </c>
      <c r="S146" s="34" t="str">
        <f aca="false">IF(B146="","",IF(MONTH(B146)=10,"X",""))</f>
        <v/>
      </c>
      <c r="T146" s="34" t="str">
        <f aca="false">IF(B146="","",IF(MONTH(B146)=11,"X",""))</f>
        <v/>
      </c>
      <c r="U146" s="34" t="str">
        <f aca="false">IF(B146="","",IF(MONTH(B146)=12,"X",""))</f>
        <v/>
      </c>
      <c r="V146" s="24" t="str">
        <f aca="false">IF(E146="","",COUNTIF($E$5:$E$1000,E146))</f>
        <v/>
      </c>
      <c r="W146" s="35" t="str">
        <f aca="false">IF(E146="","",_xlfn.TEXTJOIN(" + ",TRUE(),IF(COUNTIFS($E$5:$E$1000,E146,$C$5:$C$1000,"Auditoría Interna")&gt;0,"Interna",""),IF(COUNTIFS($E$5:$E$1000,E146,$C$5:$C$1000,"Auditoría Externa")&gt;0,"Externa",""),IF(COUNTIFS($E$5:$E$1000,E146,$C$5:$C$1000,"SSF")&gt;0,"SSF",""),IF(COUNTIFS($E$5:$E$1000,E146,$C$5:$C$1000,"Comité de Supervisión")&gt;0,"Comité Sup.",""),IF(COUNTIFS($E$5:$E$1000,E146,$C$5:$C$1000,"Consejo de Administración")&gt;0,"Consejo",""),IF(COUNTIFS($E$5:$E$1000,E146,$C$5:$C$1000,"Otros")&gt;0,"Otros","")))</f>
        <v/>
      </c>
      <c r="X146" s="24" t="str">
        <f aca="false">IF(E146="","",COUNTIFS($E$5:$E$1000,E146,$AB$5:$AB$1000,AB146,$C$5:$C$1000,"&lt;&gt;"&amp;C146))</f>
        <v/>
      </c>
      <c r="Y146" s="33"/>
      <c r="Z146" s="31"/>
      <c r="AA146" s="33"/>
      <c r="AB146" s="37" t="str">
        <f aca="false">IF(B146="","",YEAR(B146)*100+MONTH(B146))</f>
        <v/>
      </c>
      <c r="AC146" s="37" t="str">
        <f aca="false">IF(AND(E146&lt;&gt;"",E146=Cruce!$C$5),COUNTIF($E$5:E146,E146),"")</f>
        <v/>
      </c>
      <c r="AD146" s="37" t="str">
        <f aca="false">IF(E146="","",C146&amp;"|"&amp;Y146&amp;"|"&amp;IF(B146="","s/f",TEXT(B146,"yyyymmdd")))</f>
        <v/>
      </c>
      <c r="AE146" s="37" t="n">
        <f aca="false">IF(E146="",0,IF(COUNTIFS($E$5:E146,E146,$AD$5:AD146,AD146)=1,1,0))</f>
        <v>0</v>
      </c>
    </row>
    <row r="147" customFormat="false" ht="15" hidden="false" customHeight="true" outlineLevel="0" collapsed="false">
      <c r="A147" s="31"/>
      <c r="B147" s="30"/>
      <c r="C147" s="31"/>
      <c r="D147" s="31"/>
      <c r="E147" s="32"/>
      <c r="F147" s="32"/>
      <c r="G147" s="33"/>
      <c r="H147" s="31"/>
      <c r="I147" s="24" t="str">
        <f aca="false">IF(B147="","",YEAR(B147))</f>
        <v/>
      </c>
      <c r="J147" s="34" t="str">
        <f aca="false">IF(B147="","",IF(MONTH(B147)=1,"X",""))</f>
        <v/>
      </c>
      <c r="K147" s="34" t="str">
        <f aca="false">IF(B147="","",IF(MONTH(B147)=2,"X",""))</f>
        <v/>
      </c>
      <c r="L147" s="34" t="str">
        <f aca="false">IF(B147="","",IF(MONTH(B147)=3,"X",""))</f>
        <v/>
      </c>
      <c r="M147" s="34" t="str">
        <f aca="false">IF(B147="","",IF(MONTH(B147)=4,"X",""))</f>
        <v/>
      </c>
      <c r="N147" s="34" t="str">
        <f aca="false">IF(B147="","",IF(MONTH(B147)=5,"X",""))</f>
        <v/>
      </c>
      <c r="O147" s="34" t="str">
        <f aca="false">IF(B147="","",IF(MONTH(B147)=6,"X",""))</f>
        <v/>
      </c>
      <c r="P147" s="34" t="str">
        <f aca="false">IF(B147="","",IF(MONTH(B147)=7,"X",""))</f>
        <v/>
      </c>
      <c r="Q147" s="34" t="str">
        <f aca="false">IF(B147="","",IF(MONTH(B147)=8,"X",""))</f>
        <v/>
      </c>
      <c r="R147" s="34" t="str">
        <f aca="false">IF(B147="","",IF(MONTH(B147)=9,"X",""))</f>
        <v/>
      </c>
      <c r="S147" s="34" t="str">
        <f aca="false">IF(B147="","",IF(MONTH(B147)=10,"X",""))</f>
        <v/>
      </c>
      <c r="T147" s="34" t="str">
        <f aca="false">IF(B147="","",IF(MONTH(B147)=11,"X",""))</f>
        <v/>
      </c>
      <c r="U147" s="34" t="str">
        <f aca="false">IF(B147="","",IF(MONTH(B147)=12,"X",""))</f>
        <v/>
      </c>
      <c r="V147" s="24" t="str">
        <f aca="false">IF(E147="","",COUNTIF($E$5:$E$1000,E147))</f>
        <v/>
      </c>
      <c r="W147" s="35" t="str">
        <f aca="false">IF(E147="","",_xlfn.TEXTJOIN(" + ",TRUE(),IF(COUNTIFS($E$5:$E$1000,E147,$C$5:$C$1000,"Auditoría Interna")&gt;0,"Interna",""),IF(COUNTIFS($E$5:$E$1000,E147,$C$5:$C$1000,"Auditoría Externa")&gt;0,"Externa",""),IF(COUNTIFS($E$5:$E$1000,E147,$C$5:$C$1000,"SSF")&gt;0,"SSF",""),IF(COUNTIFS($E$5:$E$1000,E147,$C$5:$C$1000,"Comité de Supervisión")&gt;0,"Comité Sup.",""),IF(COUNTIFS($E$5:$E$1000,E147,$C$5:$C$1000,"Consejo de Administración")&gt;0,"Consejo",""),IF(COUNTIFS($E$5:$E$1000,E147,$C$5:$C$1000,"Otros")&gt;0,"Otros","")))</f>
        <v/>
      </c>
      <c r="X147" s="24" t="str">
        <f aca="false">IF(E147="","",COUNTIFS($E$5:$E$1000,E147,$AB$5:$AB$1000,AB147,$C$5:$C$1000,"&lt;&gt;"&amp;C147))</f>
        <v/>
      </c>
      <c r="Y147" s="33"/>
      <c r="Z147" s="31"/>
      <c r="AA147" s="33"/>
      <c r="AB147" s="37" t="str">
        <f aca="false">IF(B147="","",YEAR(B147)*100+MONTH(B147))</f>
        <v/>
      </c>
      <c r="AC147" s="37" t="str">
        <f aca="false">IF(AND(E147&lt;&gt;"",E147=Cruce!$C$5),COUNTIF($E$5:E147,E147),"")</f>
        <v/>
      </c>
      <c r="AD147" s="37" t="str">
        <f aca="false">IF(E147="","",C147&amp;"|"&amp;Y147&amp;"|"&amp;IF(B147="","s/f",TEXT(B147,"yyyymmdd")))</f>
        <v/>
      </c>
      <c r="AE147" s="37" t="n">
        <f aca="false">IF(E147="",0,IF(COUNTIFS($E$5:E147,E147,$AD$5:AD147,AD147)=1,1,0))</f>
        <v>0</v>
      </c>
    </row>
    <row r="148" customFormat="false" ht="15" hidden="false" customHeight="true" outlineLevel="0" collapsed="false">
      <c r="A148" s="31"/>
      <c r="B148" s="30"/>
      <c r="C148" s="31"/>
      <c r="D148" s="31"/>
      <c r="E148" s="32"/>
      <c r="F148" s="32"/>
      <c r="G148" s="33"/>
      <c r="H148" s="31"/>
      <c r="I148" s="24" t="str">
        <f aca="false">IF(B148="","",YEAR(B148))</f>
        <v/>
      </c>
      <c r="J148" s="34" t="str">
        <f aca="false">IF(B148="","",IF(MONTH(B148)=1,"X",""))</f>
        <v/>
      </c>
      <c r="K148" s="34" t="str">
        <f aca="false">IF(B148="","",IF(MONTH(B148)=2,"X",""))</f>
        <v/>
      </c>
      <c r="L148" s="34" t="str">
        <f aca="false">IF(B148="","",IF(MONTH(B148)=3,"X",""))</f>
        <v/>
      </c>
      <c r="M148" s="34" t="str">
        <f aca="false">IF(B148="","",IF(MONTH(B148)=4,"X",""))</f>
        <v/>
      </c>
      <c r="N148" s="34" t="str">
        <f aca="false">IF(B148="","",IF(MONTH(B148)=5,"X",""))</f>
        <v/>
      </c>
      <c r="O148" s="34" t="str">
        <f aca="false">IF(B148="","",IF(MONTH(B148)=6,"X",""))</f>
        <v/>
      </c>
      <c r="P148" s="34" t="str">
        <f aca="false">IF(B148="","",IF(MONTH(B148)=7,"X",""))</f>
        <v/>
      </c>
      <c r="Q148" s="34" t="str">
        <f aca="false">IF(B148="","",IF(MONTH(B148)=8,"X",""))</f>
        <v/>
      </c>
      <c r="R148" s="34" t="str">
        <f aca="false">IF(B148="","",IF(MONTH(B148)=9,"X",""))</f>
        <v/>
      </c>
      <c r="S148" s="34" t="str">
        <f aca="false">IF(B148="","",IF(MONTH(B148)=10,"X",""))</f>
        <v/>
      </c>
      <c r="T148" s="34" t="str">
        <f aca="false">IF(B148="","",IF(MONTH(B148)=11,"X",""))</f>
        <v/>
      </c>
      <c r="U148" s="34" t="str">
        <f aca="false">IF(B148="","",IF(MONTH(B148)=12,"X",""))</f>
        <v/>
      </c>
      <c r="V148" s="24" t="str">
        <f aca="false">IF(E148="","",COUNTIF($E$5:$E$1000,E148))</f>
        <v/>
      </c>
      <c r="W148" s="35" t="str">
        <f aca="false">IF(E148="","",_xlfn.TEXTJOIN(" + ",TRUE(),IF(COUNTIFS($E$5:$E$1000,E148,$C$5:$C$1000,"Auditoría Interna")&gt;0,"Interna",""),IF(COUNTIFS($E$5:$E$1000,E148,$C$5:$C$1000,"Auditoría Externa")&gt;0,"Externa",""),IF(COUNTIFS($E$5:$E$1000,E148,$C$5:$C$1000,"SSF")&gt;0,"SSF",""),IF(COUNTIFS($E$5:$E$1000,E148,$C$5:$C$1000,"Comité de Supervisión")&gt;0,"Comité Sup.",""),IF(COUNTIFS($E$5:$E$1000,E148,$C$5:$C$1000,"Consejo de Administración")&gt;0,"Consejo",""),IF(COUNTIFS($E$5:$E$1000,E148,$C$5:$C$1000,"Otros")&gt;0,"Otros","")))</f>
        <v/>
      </c>
      <c r="X148" s="24" t="str">
        <f aca="false">IF(E148="","",COUNTIFS($E$5:$E$1000,E148,$AB$5:$AB$1000,AB148,$C$5:$C$1000,"&lt;&gt;"&amp;C148))</f>
        <v/>
      </c>
      <c r="Y148" s="33"/>
      <c r="Z148" s="31"/>
      <c r="AA148" s="33"/>
      <c r="AB148" s="37" t="str">
        <f aca="false">IF(B148="","",YEAR(B148)*100+MONTH(B148))</f>
        <v/>
      </c>
      <c r="AC148" s="37" t="str">
        <f aca="false">IF(AND(E148&lt;&gt;"",E148=Cruce!$C$5),COUNTIF($E$5:E148,E148),"")</f>
        <v/>
      </c>
      <c r="AD148" s="37" t="str">
        <f aca="false">IF(E148="","",C148&amp;"|"&amp;Y148&amp;"|"&amp;IF(B148="","s/f",TEXT(B148,"yyyymmdd")))</f>
        <v/>
      </c>
      <c r="AE148" s="37" t="n">
        <f aca="false">IF(E148="",0,IF(COUNTIFS($E$5:E148,E148,$AD$5:AD148,AD148)=1,1,0))</f>
        <v>0</v>
      </c>
    </row>
    <row r="149" customFormat="false" ht="15" hidden="false" customHeight="true" outlineLevel="0" collapsed="false">
      <c r="A149" s="31"/>
      <c r="B149" s="30"/>
      <c r="C149" s="31"/>
      <c r="D149" s="31"/>
      <c r="E149" s="32"/>
      <c r="F149" s="32"/>
      <c r="G149" s="33"/>
      <c r="H149" s="31"/>
      <c r="I149" s="24" t="str">
        <f aca="false">IF(B149="","",YEAR(B149))</f>
        <v/>
      </c>
      <c r="J149" s="34" t="str">
        <f aca="false">IF(B149="","",IF(MONTH(B149)=1,"X",""))</f>
        <v/>
      </c>
      <c r="K149" s="34" t="str">
        <f aca="false">IF(B149="","",IF(MONTH(B149)=2,"X",""))</f>
        <v/>
      </c>
      <c r="L149" s="34" t="str">
        <f aca="false">IF(B149="","",IF(MONTH(B149)=3,"X",""))</f>
        <v/>
      </c>
      <c r="M149" s="34" t="str">
        <f aca="false">IF(B149="","",IF(MONTH(B149)=4,"X",""))</f>
        <v/>
      </c>
      <c r="N149" s="34" t="str">
        <f aca="false">IF(B149="","",IF(MONTH(B149)=5,"X",""))</f>
        <v/>
      </c>
      <c r="O149" s="34" t="str">
        <f aca="false">IF(B149="","",IF(MONTH(B149)=6,"X",""))</f>
        <v/>
      </c>
      <c r="P149" s="34" t="str">
        <f aca="false">IF(B149="","",IF(MONTH(B149)=7,"X",""))</f>
        <v/>
      </c>
      <c r="Q149" s="34" t="str">
        <f aca="false">IF(B149="","",IF(MONTH(B149)=8,"X",""))</f>
        <v/>
      </c>
      <c r="R149" s="34" t="str">
        <f aca="false">IF(B149="","",IF(MONTH(B149)=9,"X",""))</f>
        <v/>
      </c>
      <c r="S149" s="34" t="str">
        <f aca="false">IF(B149="","",IF(MONTH(B149)=10,"X",""))</f>
        <v/>
      </c>
      <c r="T149" s="34" t="str">
        <f aca="false">IF(B149="","",IF(MONTH(B149)=11,"X",""))</f>
        <v/>
      </c>
      <c r="U149" s="34" t="str">
        <f aca="false">IF(B149="","",IF(MONTH(B149)=12,"X",""))</f>
        <v/>
      </c>
      <c r="V149" s="24" t="str">
        <f aca="false">IF(E149="","",COUNTIF($E$5:$E$1000,E149))</f>
        <v/>
      </c>
      <c r="W149" s="35" t="str">
        <f aca="false">IF(E149="","",_xlfn.TEXTJOIN(" + ",TRUE(),IF(COUNTIFS($E$5:$E$1000,E149,$C$5:$C$1000,"Auditoría Interna")&gt;0,"Interna",""),IF(COUNTIFS($E$5:$E$1000,E149,$C$5:$C$1000,"Auditoría Externa")&gt;0,"Externa",""),IF(COUNTIFS($E$5:$E$1000,E149,$C$5:$C$1000,"SSF")&gt;0,"SSF",""),IF(COUNTIFS($E$5:$E$1000,E149,$C$5:$C$1000,"Comité de Supervisión")&gt;0,"Comité Sup.",""),IF(COUNTIFS($E$5:$E$1000,E149,$C$5:$C$1000,"Consejo de Administración")&gt;0,"Consejo",""),IF(COUNTIFS($E$5:$E$1000,E149,$C$5:$C$1000,"Otros")&gt;0,"Otros","")))</f>
        <v/>
      </c>
      <c r="X149" s="24" t="str">
        <f aca="false">IF(E149="","",COUNTIFS($E$5:$E$1000,E149,$AB$5:$AB$1000,AB149,$C$5:$C$1000,"&lt;&gt;"&amp;C149))</f>
        <v/>
      </c>
      <c r="Y149" s="33"/>
      <c r="Z149" s="31"/>
      <c r="AA149" s="33"/>
      <c r="AB149" s="37" t="str">
        <f aca="false">IF(B149="","",YEAR(B149)*100+MONTH(B149))</f>
        <v/>
      </c>
      <c r="AC149" s="37" t="str">
        <f aca="false">IF(AND(E149&lt;&gt;"",E149=Cruce!$C$5),COUNTIF($E$5:E149,E149),"")</f>
        <v/>
      </c>
      <c r="AD149" s="37" t="str">
        <f aca="false">IF(E149="","",C149&amp;"|"&amp;Y149&amp;"|"&amp;IF(B149="","s/f",TEXT(B149,"yyyymmdd")))</f>
        <v/>
      </c>
      <c r="AE149" s="37" t="n">
        <f aca="false">IF(E149="",0,IF(COUNTIFS($E$5:E149,E149,$AD$5:AD149,AD149)=1,1,0))</f>
        <v>0</v>
      </c>
    </row>
    <row r="150" customFormat="false" ht="15" hidden="false" customHeight="true" outlineLevel="0" collapsed="false">
      <c r="A150" s="31"/>
      <c r="B150" s="30"/>
      <c r="C150" s="31"/>
      <c r="D150" s="31"/>
      <c r="E150" s="32"/>
      <c r="F150" s="32"/>
      <c r="G150" s="33"/>
      <c r="H150" s="31"/>
      <c r="I150" s="24" t="str">
        <f aca="false">IF(B150="","",YEAR(B150))</f>
        <v/>
      </c>
      <c r="J150" s="34" t="str">
        <f aca="false">IF(B150="","",IF(MONTH(B150)=1,"X",""))</f>
        <v/>
      </c>
      <c r="K150" s="34" t="str">
        <f aca="false">IF(B150="","",IF(MONTH(B150)=2,"X",""))</f>
        <v/>
      </c>
      <c r="L150" s="34" t="str">
        <f aca="false">IF(B150="","",IF(MONTH(B150)=3,"X",""))</f>
        <v/>
      </c>
      <c r="M150" s="34" t="str">
        <f aca="false">IF(B150="","",IF(MONTH(B150)=4,"X",""))</f>
        <v/>
      </c>
      <c r="N150" s="34" t="str">
        <f aca="false">IF(B150="","",IF(MONTH(B150)=5,"X",""))</f>
        <v/>
      </c>
      <c r="O150" s="34" t="str">
        <f aca="false">IF(B150="","",IF(MONTH(B150)=6,"X",""))</f>
        <v/>
      </c>
      <c r="P150" s="34" t="str">
        <f aca="false">IF(B150="","",IF(MONTH(B150)=7,"X",""))</f>
        <v/>
      </c>
      <c r="Q150" s="34" t="str">
        <f aca="false">IF(B150="","",IF(MONTH(B150)=8,"X",""))</f>
        <v/>
      </c>
      <c r="R150" s="34" t="str">
        <f aca="false">IF(B150="","",IF(MONTH(B150)=9,"X",""))</f>
        <v/>
      </c>
      <c r="S150" s="34" t="str">
        <f aca="false">IF(B150="","",IF(MONTH(B150)=10,"X",""))</f>
        <v/>
      </c>
      <c r="T150" s="34" t="str">
        <f aca="false">IF(B150="","",IF(MONTH(B150)=11,"X",""))</f>
        <v/>
      </c>
      <c r="U150" s="34" t="str">
        <f aca="false">IF(B150="","",IF(MONTH(B150)=12,"X",""))</f>
        <v/>
      </c>
      <c r="V150" s="24" t="str">
        <f aca="false">IF(E150="","",COUNTIF($E$5:$E$1000,E150))</f>
        <v/>
      </c>
      <c r="W150" s="35" t="str">
        <f aca="false">IF(E150="","",_xlfn.TEXTJOIN(" + ",TRUE(),IF(COUNTIFS($E$5:$E$1000,E150,$C$5:$C$1000,"Auditoría Interna")&gt;0,"Interna",""),IF(COUNTIFS($E$5:$E$1000,E150,$C$5:$C$1000,"Auditoría Externa")&gt;0,"Externa",""),IF(COUNTIFS($E$5:$E$1000,E150,$C$5:$C$1000,"SSF")&gt;0,"SSF",""),IF(COUNTIFS($E$5:$E$1000,E150,$C$5:$C$1000,"Comité de Supervisión")&gt;0,"Comité Sup.",""),IF(COUNTIFS($E$5:$E$1000,E150,$C$5:$C$1000,"Consejo de Administración")&gt;0,"Consejo",""),IF(COUNTIFS($E$5:$E$1000,E150,$C$5:$C$1000,"Otros")&gt;0,"Otros","")))</f>
        <v/>
      </c>
      <c r="X150" s="24" t="str">
        <f aca="false">IF(E150="","",COUNTIFS($E$5:$E$1000,E150,$AB$5:$AB$1000,AB150,$C$5:$C$1000,"&lt;&gt;"&amp;C150))</f>
        <v/>
      </c>
      <c r="Y150" s="33"/>
      <c r="Z150" s="31"/>
      <c r="AA150" s="33"/>
      <c r="AB150" s="37" t="str">
        <f aca="false">IF(B150="","",YEAR(B150)*100+MONTH(B150))</f>
        <v/>
      </c>
      <c r="AC150" s="37" t="str">
        <f aca="false">IF(AND(E150&lt;&gt;"",E150=Cruce!$C$5),COUNTIF($E$5:E150,E150),"")</f>
        <v/>
      </c>
      <c r="AD150" s="37" t="str">
        <f aca="false">IF(E150="","",C150&amp;"|"&amp;Y150&amp;"|"&amp;IF(B150="","s/f",TEXT(B150,"yyyymmdd")))</f>
        <v/>
      </c>
      <c r="AE150" s="37" t="n">
        <f aca="false">IF(E150="",0,IF(COUNTIFS($E$5:E150,E150,$AD$5:AD150,AD150)=1,1,0))</f>
        <v>0</v>
      </c>
    </row>
    <row r="151" customFormat="false" ht="15" hidden="false" customHeight="true" outlineLevel="0" collapsed="false">
      <c r="A151" s="31"/>
      <c r="B151" s="30"/>
      <c r="C151" s="31"/>
      <c r="D151" s="31"/>
      <c r="E151" s="32"/>
      <c r="F151" s="32"/>
      <c r="G151" s="33"/>
      <c r="H151" s="31"/>
      <c r="I151" s="24" t="str">
        <f aca="false">IF(B151="","",YEAR(B151))</f>
        <v/>
      </c>
      <c r="J151" s="34" t="str">
        <f aca="false">IF(B151="","",IF(MONTH(B151)=1,"X",""))</f>
        <v/>
      </c>
      <c r="K151" s="34" t="str">
        <f aca="false">IF(B151="","",IF(MONTH(B151)=2,"X",""))</f>
        <v/>
      </c>
      <c r="L151" s="34" t="str">
        <f aca="false">IF(B151="","",IF(MONTH(B151)=3,"X",""))</f>
        <v/>
      </c>
      <c r="M151" s="34" t="str">
        <f aca="false">IF(B151="","",IF(MONTH(B151)=4,"X",""))</f>
        <v/>
      </c>
      <c r="N151" s="34" t="str">
        <f aca="false">IF(B151="","",IF(MONTH(B151)=5,"X",""))</f>
        <v/>
      </c>
      <c r="O151" s="34" t="str">
        <f aca="false">IF(B151="","",IF(MONTH(B151)=6,"X",""))</f>
        <v/>
      </c>
      <c r="P151" s="34" t="str">
        <f aca="false">IF(B151="","",IF(MONTH(B151)=7,"X",""))</f>
        <v/>
      </c>
      <c r="Q151" s="34" t="str">
        <f aca="false">IF(B151="","",IF(MONTH(B151)=8,"X",""))</f>
        <v/>
      </c>
      <c r="R151" s="34" t="str">
        <f aca="false">IF(B151="","",IF(MONTH(B151)=9,"X",""))</f>
        <v/>
      </c>
      <c r="S151" s="34" t="str">
        <f aca="false">IF(B151="","",IF(MONTH(B151)=10,"X",""))</f>
        <v/>
      </c>
      <c r="T151" s="34" t="str">
        <f aca="false">IF(B151="","",IF(MONTH(B151)=11,"X",""))</f>
        <v/>
      </c>
      <c r="U151" s="34" t="str">
        <f aca="false">IF(B151="","",IF(MONTH(B151)=12,"X",""))</f>
        <v/>
      </c>
      <c r="V151" s="24" t="str">
        <f aca="false">IF(E151="","",COUNTIF($E$5:$E$1000,E151))</f>
        <v/>
      </c>
      <c r="W151" s="35" t="str">
        <f aca="false">IF(E151="","",_xlfn.TEXTJOIN(" + ",TRUE(),IF(COUNTIFS($E$5:$E$1000,E151,$C$5:$C$1000,"Auditoría Interna")&gt;0,"Interna",""),IF(COUNTIFS($E$5:$E$1000,E151,$C$5:$C$1000,"Auditoría Externa")&gt;0,"Externa",""),IF(COUNTIFS($E$5:$E$1000,E151,$C$5:$C$1000,"SSF")&gt;0,"SSF",""),IF(COUNTIFS($E$5:$E$1000,E151,$C$5:$C$1000,"Comité de Supervisión")&gt;0,"Comité Sup.",""),IF(COUNTIFS($E$5:$E$1000,E151,$C$5:$C$1000,"Consejo de Administración")&gt;0,"Consejo",""),IF(COUNTIFS($E$5:$E$1000,E151,$C$5:$C$1000,"Otros")&gt;0,"Otros","")))</f>
        <v/>
      </c>
      <c r="X151" s="24" t="str">
        <f aca="false">IF(E151="","",COUNTIFS($E$5:$E$1000,E151,$AB$5:$AB$1000,AB151,$C$5:$C$1000,"&lt;&gt;"&amp;C151))</f>
        <v/>
      </c>
      <c r="Y151" s="33"/>
      <c r="Z151" s="31"/>
      <c r="AA151" s="33"/>
      <c r="AB151" s="37" t="str">
        <f aca="false">IF(B151="","",YEAR(B151)*100+MONTH(B151))</f>
        <v/>
      </c>
      <c r="AC151" s="37" t="str">
        <f aca="false">IF(AND(E151&lt;&gt;"",E151=Cruce!$C$5),COUNTIF($E$5:E151,E151),"")</f>
        <v/>
      </c>
      <c r="AD151" s="37" t="str">
        <f aca="false">IF(E151="","",C151&amp;"|"&amp;Y151&amp;"|"&amp;IF(B151="","s/f",TEXT(B151,"yyyymmdd")))</f>
        <v/>
      </c>
      <c r="AE151" s="37" t="n">
        <f aca="false">IF(E151="",0,IF(COUNTIFS($E$5:E151,E151,$AD$5:AD151,AD151)=1,1,0))</f>
        <v>0</v>
      </c>
    </row>
    <row r="152" customFormat="false" ht="15" hidden="false" customHeight="true" outlineLevel="0" collapsed="false">
      <c r="A152" s="31"/>
      <c r="B152" s="30"/>
      <c r="C152" s="31"/>
      <c r="D152" s="31"/>
      <c r="E152" s="32"/>
      <c r="F152" s="32"/>
      <c r="G152" s="33"/>
      <c r="H152" s="31"/>
      <c r="I152" s="24" t="str">
        <f aca="false">IF(B152="","",YEAR(B152))</f>
        <v/>
      </c>
      <c r="J152" s="34" t="str">
        <f aca="false">IF(B152="","",IF(MONTH(B152)=1,"X",""))</f>
        <v/>
      </c>
      <c r="K152" s="34" t="str">
        <f aca="false">IF(B152="","",IF(MONTH(B152)=2,"X",""))</f>
        <v/>
      </c>
      <c r="L152" s="34" t="str">
        <f aca="false">IF(B152="","",IF(MONTH(B152)=3,"X",""))</f>
        <v/>
      </c>
      <c r="M152" s="34" t="str">
        <f aca="false">IF(B152="","",IF(MONTH(B152)=4,"X",""))</f>
        <v/>
      </c>
      <c r="N152" s="34" t="str">
        <f aca="false">IF(B152="","",IF(MONTH(B152)=5,"X",""))</f>
        <v/>
      </c>
      <c r="O152" s="34" t="str">
        <f aca="false">IF(B152="","",IF(MONTH(B152)=6,"X",""))</f>
        <v/>
      </c>
      <c r="P152" s="34" t="str">
        <f aca="false">IF(B152="","",IF(MONTH(B152)=7,"X",""))</f>
        <v/>
      </c>
      <c r="Q152" s="34" t="str">
        <f aca="false">IF(B152="","",IF(MONTH(B152)=8,"X",""))</f>
        <v/>
      </c>
      <c r="R152" s="34" t="str">
        <f aca="false">IF(B152="","",IF(MONTH(B152)=9,"X",""))</f>
        <v/>
      </c>
      <c r="S152" s="34" t="str">
        <f aca="false">IF(B152="","",IF(MONTH(B152)=10,"X",""))</f>
        <v/>
      </c>
      <c r="T152" s="34" t="str">
        <f aca="false">IF(B152="","",IF(MONTH(B152)=11,"X",""))</f>
        <v/>
      </c>
      <c r="U152" s="34" t="str">
        <f aca="false">IF(B152="","",IF(MONTH(B152)=12,"X",""))</f>
        <v/>
      </c>
      <c r="V152" s="24" t="str">
        <f aca="false">IF(E152="","",COUNTIF($E$5:$E$1000,E152))</f>
        <v/>
      </c>
      <c r="W152" s="35" t="str">
        <f aca="false">IF(E152="","",_xlfn.TEXTJOIN(" + ",TRUE(),IF(COUNTIFS($E$5:$E$1000,E152,$C$5:$C$1000,"Auditoría Interna")&gt;0,"Interna",""),IF(COUNTIFS($E$5:$E$1000,E152,$C$5:$C$1000,"Auditoría Externa")&gt;0,"Externa",""),IF(COUNTIFS($E$5:$E$1000,E152,$C$5:$C$1000,"SSF")&gt;0,"SSF",""),IF(COUNTIFS($E$5:$E$1000,E152,$C$5:$C$1000,"Comité de Supervisión")&gt;0,"Comité Sup.",""),IF(COUNTIFS($E$5:$E$1000,E152,$C$5:$C$1000,"Consejo de Administración")&gt;0,"Consejo",""),IF(COUNTIFS($E$5:$E$1000,E152,$C$5:$C$1000,"Otros")&gt;0,"Otros","")))</f>
        <v/>
      </c>
      <c r="X152" s="24" t="str">
        <f aca="false">IF(E152="","",COUNTIFS($E$5:$E$1000,E152,$AB$5:$AB$1000,AB152,$C$5:$C$1000,"&lt;&gt;"&amp;C152))</f>
        <v/>
      </c>
      <c r="Y152" s="33"/>
      <c r="Z152" s="31"/>
      <c r="AA152" s="33"/>
      <c r="AB152" s="37" t="str">
        <f aca="false">IF(B152="","",YEAR(B152)*100+MONTH(B152))</f>
        <v/>
      </c>
      <c r="AC152" s="37" t="str">
        <f aca="false">IF(AND(E152&lt;&gt;"",E152=Cruce!$C$5),COUNTIF($E$5:E152,E152),"")</f>
        <v/>
      </c>
      <c r="AD152" s="37" t="str">
        <f aca="false">IF(E152="","",C152&amp;"|"&amp;Y152&amp;"|"&amp;IF(B152="","s/f",TEXT(B152,"yyyymmdd")))</f>
        <v/>
      </c>
      <c r="AE152" s="37" t="n">
        <f aca="false">IF(E152="",0,IF(COUNTIFS($E$5:E152,E152,$AD$5:AD152,AD152)=1,1,0))</f>
        <v>0</v>
      </c>
    </row>
    <row r="153" customFormat="false" ht="15" hidden="false" customHeight="true" outlineLevel="0" collapsed="false">
      <c r="A153" s="31"/>
      <c r="B153" s="30"/>
      <c r="C153" s="31"/>
      <c r="D153" s="31"/>
      <c r="E153" s="32"/>
      <c r="F153" s="32"/>
      <c r="G153" s="33"/>
      <c r="H153" s="31"/>
      <c r="I153" s="24" t="str">
        <f aca="false">IF(B153="","",YEAR(B153))</f>
        <v/>
      </c>
      <c r="J153" s="34" t="str">
        <f aca="false">IF(B153="","",IF(MONTH(B153)=1,"X",""))</f>
        <v/>
      </c>
      <c r="K153" s="34" t="str">
        <f aca="false">IF(B153="","",IF(MONTH(B153)=2,"X",""))</f>
        <v/>
      </c>
      <c r="L153" s="34" t="str">
        <f aca="false">IF(B153="","",IF(MONTH(B153)=3,"X",""))</f>
        <v/>
      </c>
      <c r="M153" s="34" t="str">
        <f aca="false">IF(B153="","",IF(MONTH(B153)=4,"X",""))</f>
        <v/>
      </c>
      <c r="N153" s="34" t="str">
        <f aca="false">IF(B153="","",IF(MONTH(B153)=5,"X",""))</f>
        <v/>
      </c>
      <c r="O153" s="34" t="str">
        <f aca="false">IF(B153="","",IF(MONTH(B153)=6,"X",""))</f>
        <v/>
      </c>
      <c r="P153" s="34" t="str">
        <f aca="false">IF(B153="","",IF(MONTH(B153)=7,"X",""))</f>
        <v/>
      </c>
      <c r="Q153" s="34" t="str">
        <f aca="false">IF(B153="","",IF(MONTH(B153)=8,"X",""))</f>
        <v/>
      </c>
      <c r="R153" s="34" t="str">
        <f aca="false">IF(B153="","",IF(MONTH(B153)=9,"X",""))</f>
        <v/>
      </c>
      <c r="S153" s="34" t="str">
        <f aca="false">IF(B153="","",IF(MONTH(B153)=10,"X",""))</f>
        <v/>
      </c>
      <c r="T153" s="34" t="str">
        <f aca="false">IF(B153="","",IF(MONTH(B153)=11,"X",""))</f>
        <v/>
      </c>
      <c r="U153" s="34" t="str">
        <f aca="false">IF(B153="","",IF(MONTH(B153)=12,"X",""))</f>
        <v/>
      </c>
      <c r="V153" s="24" t="str">
        <f aca="false">IF(E153="","",COUNTIF($E$5:$E$1000,E153))</f>
        <v/>
      </c>
      <c r="W153" s="35" t="str">
        <f aca="false">IF(E153="","",_xlfn.TEXTJOIN(" + ",TRUE(),IF(COUNTIFS($E$5:$E$1000,E153,$C$5:$C$1000,"Auditoría Interna")&gt;0,"Interna",""),IF(COUNTIFS($E$5:$E$1000,E153,$C$5:$C$1000,"Auditoría Externa")&gt;0,"Externa",""),IF(COUNTIFS($E$5:$E$1000,E153,$C$5:$C$1000,"SSF")&gt;0,"SSF",""),IF(COUNTIFS($E$5:$E$1000,E153,$C$5:$C$1000,"Comité de Supervisión")&gt;0,"Comité Sup.",""),IF(COUNTIFS($E$5:$E$1000,E153,$C$5:$C$1000,"Consejo de Administración")&gt;0,"Consejo",""),IF(COUNTIFS($E$5:$E$1000,E153,$C$5:$C$1000,"Otros")&gt;0,"Otros","")))</f>
        <v/>
      </c>
      <c r="X153" s="24" t="str">
        <f aca="false">IF(E153="","",COUNTIFS($E$5:$E$1000,E153,$AB$5:$AB$1000,AB153,$C$5:$C$1000,"&lt;&gt;"&amp;C153))</f>
        <v/>
      </c>
      <c r="Y153" s="33"/>
      <c r="Z153" s="31"/>
      <c r="AA153" s="33"/>
      <c r="AB153" s="37" t="str">
        <f aca="false">IF(B153="","",YEAR(B153)*100+MONTH(B153))</f>
        <v/>
      </c>
      <c r="AC153" s="37" t="str">
        <f aca="false">IF(AND(E153&lt;&gt;"",E153=Cruce!$C$5),COUNTIF($E$5:E153,E153),"")</f>
        <v/>
      </c>
      <c r="AD153" s="37" t="str">
        <f aca="false">IF(E153="","",C153&amp;"|"&amp;Y153&amp;"|"&amp;IF(B153="","s/f",TEXT(B153,"yyyymmdd")))</f>
        <v/>
      </c>
      <c r="AE153" s="37" t="n">
        <f aca="false">IF(E153="",0,IF(COUNTIFS($E$5:E153,E153,$AD$5:AD153,AD153)=1,1,0))</f>
        <v>0</v>
      </c>
    </row>
    <row r="154" customFormat="false" ht="15" hidden="false" customHeight="true" outlineLevel="0" collapsed="false">
      <c r="A154" s="31"/>
      <c r="B154" s="30"/>
      <c r="C154" s="31"/>
      <c r="D154" s="31"/>
      <c r="E154" s="32"/>
      <c r="F154" s="32"/>
      <c r="G154" s="33"/>
      <c r="H154" s="31"/>
      <c r="I154" s="24" t="str">
        <f aca="false">IF(B154="","",YEAR(B154))</f>
        <v/>
      </c>
      <c r="J154" s="34" t="str">
        <f aca="false">IF(B154="","",IF(MONTH(B154)=1,"X",""))</f>
        <v/>
      </c>
      <c r="K154" s="34" t="str">
        <f aca="false">IF(B154="","",IF(MONTH(B154)=2,"X",""))</f>
        <v/>
      </c>
      <c r="L154" s="34" t="str">
        <f aca="false">IF(B154="","",IF(MONTH(B154)=3,"X",""))</f>
        <v/>
      </c>
      <c r="M154" s="34" t="str">
        <f aca="false">IF(B154="","",IF(MONTH(B154)=4,"X",""))</f>
        <v/>
      </c>
      <c r="N154" s="34" t="str">
        <f aca="false">IF(B154="","",IF(MONTH(B154)=5,"X",""))</f>
        <v/>
      </c>
      <c r="O154" s="34" t="str">
        <f aca="false">IF(B154="","",IF(MONTH(B154)=6,"X",""))</f>
        <v/>
      </c>
      <c r="P154" s="34" t="str">
        <f aca="false">IF(B154="","",IF(MONTH(B154)=7,"X",""))</f>
        <v/>
      </c>
      <c r="Q154" s="34" t="str">
        <f aca="false">IF(B154="","",IF(MONTH(B154)=8,"X",""))</f>
        <v/>
      </c>
      <c r="R154" s="34" t="str">
        <f aca="false">IF(B154="","",IF(MONTH(B154)=9,"X",""))</f>
        <v/>
      </c>
      <c r="S154" s="34" t="str">
        <f aca="false">IF(B154="","",IF(MONTH(B154)=10,"X",""))</f>
        <v/>
      </c>
      <c r="T154" s="34" t="str">
        <f aca="false">IF(B154="","",IF(MONTH(B154)=11,"X",""))</f>
        <v/>
      </c>
      <c r="U154" s="34" t="str">
        <f aca="false">IF(B154="","",IF(MONTH(B154)=12,"X",""))</f>
        <v/>
      </c>
      <c r="V154" s="24" t="str">
        <f aca="false">IF(E154="","",COUNTIF($E$5:$E$1000,E154))</f>
        <v/>
      </c>
      <c r="W154" s="35" t="str">
        <f aca="false">IF(E154="","",_xlfn.TEXTJOIN(" + ",TRUE(),IF(COUNTIFS($E$5:$E$1000,E154,$C$5:$C$1000,"Auditoría Interna")&gt;0,"Interna",""),IF(COUNTIFS($E$5:$E$1000,E154,$C$5:$C$1000,"Auditoría Externa")&gt;0,"Externa",""),IF(COUNTIFS($E$5:$E$1000,E154,$C$5:$C$1000,"SSF")&gt;0,"SSF",""),IF(COUNTIFS($E$5:$E$1000,E154,$C$5:$C$1000,"Comité de Supervisión")&gt;0,"Comité Sup.",""),IF(COUNTIFS($E$5:$E$1000,E154,$C$5:$C$1000,"Consejo de Administración")&gt;0,"Consejo",""),IF(COUNTIFS($E$5:$E$1000,E154,$C$5:$C$1000,"Otros")&gt;0,"Otros","")))</f>
        <v/>
      </c>
      <c r="X154" s="24" t="str">
        <f aca="false">IF(E154="","",COUNTIFS($E$5:$E$1000,E154,$AB$5:$AB$1000,AB154,$C$5:$C$1000,"&lt;&gt;"&amp;C154))</f>
        <v/>
      </c>
      <c r="Y154" s="33"/>
      <c r="Z154" s="31"/>
      <c r="AA154" s="33"/>
      <c r="AB154" s="37" t="str">
        <f aca="false">IF(B154="","",YEAR(B154)*100+MONTH(B154))</f>
        <v/>
      </c>
      <c r="AC154" s="37" t="str">
        <f aca="false">IF(AND(E154&lt;&gt;"",E154=Cruce!$C$5),COUNTIF($E$5:E154,E154),"")</f>
        <v/>
      </c>
      <c r="AD154" s="37" t="str">
        <f aca="false">IF(E154="","",C154&amp;"|"&amp;Y154&amp;"|"&amp;IF(B154="","s/f",TEXT(B154,"yyyymmdd")))</f>
        <v/>
      </c>
      <c r="AE154" s="37" t="n">
        <f aca="false">IF(E154="",0,IF(COUNTIFS($E$5:E154,E154,$AD$5:AD154,AD154)=1,1,0))</f>
        <v>0</v>
      </c>
    </row>
    <row r="155" customFormat="false" ht="15" hidden="false" customHeight="true" outlineLevel="0" collapsed="false">
      <c r="A155" s="31"/>
      <c r="B155" s="30"/>
      <c r="C155" s="31"/>
      <c r="D155" s="31"/>
      <c r="E155" s="32"/>
      <c r="F155" s="32"/>
      <c r="G155" s="33"/>
      <c r="H155" s="31"/>
      <c r="I155" s="24" t="str">
        <f aca="false">IF(B155="","",YEAR(B155))</f>
        <v/>
      </c>
      <c r="J155" s="34" t="str">
        <f aca="false">IF(B155="","",IF(MONTH(B155)=1,"X",""))</f>
        <v/>
      </c>
      <c r="K155" s="34" t="str">
        <f aca="false">IF(B155="","",IF(MONTH(B155)=2,"X",""))</f>
        <v/>
      </c>
      <c r="L155" s="34" t="str">
        <f aca="false">IF(B155="","",IF(MONTH(B155)=3,"X",""))</f>
        <v/>
      </c>
      <c r="M155" s="34" t="str">
        <f aca="false">IF(B155="","",IF(MONTH(B155)=4,"X",""))</f>
        <v/>
      </c>
      <c r="N155" s="34" t="str">
        <f aca="false">IF(B155="","",IF(MONTH(B155)=5,"X",""))</f>
        <v/>
      </c>
      <c r="O155" s="34" t="str">
        <f aca="false">IF(B155="","",IF(MONTH(B155)=6,"X",""))</f>
        <v/>
      </c>
      <c r="P155" s="34" t="str">
        <f aca="false">IF(B155="","",IF(MONTH(B155)=7,"X",""))</f>
        <v/>
      </c>
      <c r="Q155" s="34" t="str">
        <f aca="false">IF(B155="","",IF(MONTH(B155)=8,"X",""))</f>
        <v/>
      </c>
      <c r="R155" s="34" t="str">
        <f aca="false">IF(B155="","",IF(MONTH(B155)=9,"X",""))</f>
        <v/>
      </c>
      <c r="S155" s="34" t="str">
        <f aca="false">IF(B155="","",IF(MONTH(B155)=10,"X",""))</f>
        <v/>
      </c>
      <c r="T155" s="34" t="str">
        <f aca="false">IF(B155="","",IF(MONTH(B155)=11,"X",""))</f>
        <v/>
      </c>
      <c r="U155" s="34" t="str">
        <f aca="false">IF(B155="","",IF(MONTH(B155)=12,"X",""))</f>
        <v/>
      </c>
      <c r="V155" s="24" t="str">
        <f aca="false">IF(E155="","",COUNTIF($E$5:$E$1000,E155))</f>
        <v/>
      </c>
      <c r="W155" s="35" t="str">
        <f aca="false">IF(E155="","",_xlfn.TEXTJOIN(" + ",TRUE(),IF(COUNTIFS($E$5:$E$1000,E155,$C$5:$C$1000,"Auditoría Interna")&gt;0,"Interna",""),IF(COUNTIFS($E$5:$E$1000,E155,$C$5:$C$1000,"Auditoría Externa")&gt;0,"Externa",""),IF(COUNTIFS($E$5:$E$1000,E155,$C$5:$C$1000,"SSF")&gt;0,"SSF",""),IF(COUNTIFS($E$5:$E$1000,E155,$C$5:$C$1000,"Comité de Supervisión")&gt;0,"Comité Sup.",""),IF(COUNTIFS($E$5:$E$1000,E155,$C$5:$C$1000,"Consejo de Administración")&gt;0,"Consejo",""),IF(COUNTIFS($E$5:$E$1000,E155,$C$5:$C$1000,"Otros")&gt;0,"Otros","")))</f>
        <v/>
      </c>
      <c r="X155" s="24" t="str">
        <f aca="false">IF(E155="","",COUNTIFS($E$5:$E$1000,E155,$AB$5:$AB$1000,AB155,$C$5:$C$1000,"&lt;&gt;"&amp;C155))</f>
        <v/>
      </c>
      <c r="Y155" s="33"/>
      <c r="Z155" s="31"/>
      <c r="AA155" s="33"/>
      <c r="AB155" s="37" t="str">
        <f aca="false">IF(B155="","",YEAR(B155)*100+MONTH(B155))</f>
        <v/>
      </c>
      <c r="AC155" s="37" t="str">
        <f aca="false">IF(AND(E155&lt;&gt;"",E155=Cruce!$C$5),COUNTIF($E$5:E155,E155),"")</f>
        <v/>
      </c>
      <c r="AD155" s="37" t="str">
        <f aca="false">IF(E155="","",C155&amp;"|"&amp;Y155&amp;"|"&amp;IF(B155="","s/f",TEXT(B155,"yyyymmdd")))</f>
        <v/>
      </c>
      <c r="AE155" s="37" t="n">
        <f aca="false">IF(E155="",0,IF(COUNTIFS($E$5:E155,E155,$AD$5:AD155,AD155)=1,1,0))</f>
        <v>0</v>
      </c>
    </row>
    <row r="156" customFormat="false" ht="15" hidden="false" customHeight="true" outlineLevel="0" collapsed="false">
      <c r="A156" s="31"/>
      <c r="B156" s="30"/>
      <c r="C156" s="31"/>
      <c r="D156" s="31"/>
      <c r="E156" s="32"/>
      <c r="F156" s="32"/>
      <c r="G156" s="33"/>
      <c r="H156" s="31"/>
      <c r="I156" s="24" t="str">
        <f aca="false">IF(B156="","",YEAR(B156))</f>
        <v/>
      </c>
      <c r="J156" s="34" t="str">
        <f aca="false">IF(B156="","",IF(MONTH(B156)=1,"X",""))</f>
        <v/>
      </c>
      <c r="K156" s="34" t="str">
        <f aca="false">IF(B156="","",IF(MONTH(B156)=2,"X",""))</f>
        <v/>
      </c>
      <c r="L156" s="34" t="str">
        <f aca="false">IF(B156="","",IF(MONTH(B156)=3,"X",""))</f>
        <v/>
      </c>
      <c r="M156" s="34" t="str">
        <f aca="false">IF(B156="","",IF(MONTH(B156)=4,"X",""))</f>
        <v/>
      </c>
      <c r="N156" s="34" t="str">
        <f aca="false">IF(B156="","",IF(MONTH(B156)=5,"X",""))</f>
        <v/>
      </c>
      <c r="O156" s="34" t="str">
        <f aca="false">IF(B156="","",IF(MONTH(B156)=6,"X",""))</f>
        <v/>
      </c>
      <c r="P156" s="34" t="str">
        <f aca="false">IF(B156="","",IF(MONTH(B156)=7,"X",""))</f>
        <v/>
      </c>
      <c r="Q156" s="34" t="str">
        <f aca="false">IF(B156="","",IF(MONTH(B156)=8,"X",""))</f>
        <v/>
      </c>
      <c r="R156" s="34" t="str">
        <f aca="false">IF(B156="","",IF(MONTH(B156)=9,"X",""))</f>
        <v/>
      </c>
      <c r="S156" s="34" t="str">
        <f aca="false">IF(B156="","",IF(MONTH(B156)=10,"X",""))</f>
        <v/>
      </c>
      <c r="T156" s="34" t="str">
        <f aca="false">IF(B156="","",IF(MONTH(B156)=11,"X",""))</f>
        <v/>
      </c>
      <c r="U156" s="34" t="str">
        <f aca="false">IF(B156="","",IF(MONTH(B156)=12,"X",""))</f>
        <v/>
      </c>
      <c r="V156" s="24" t="str">
        <f aca="false">IF(E156="","",COUNTIF($E$5:$E$1000,E156))</f>
        <v/>
      </c>
      <c r="W156" s="35" t="str">
        <f aca="false">IF(E156="","",_xlfn.TEXTJOIN(" + ",TRUE(),IF(COUNTIFS($E$5:$E$1000,E156,$C$5:$C$1000,"Auditoría Interna")&gt;0,"Interna",""),IF(COUNTIFS($E$5:$E$1000,E156,$C$5:$C$1000,"Auditoría Externa")&gt;0,"Externa",""),IF(COUNTIFS($E$5:$E$1000,E156,$C$5:$C$1000,"SSF")&gt;0,"SSF",""),IF(COUNTIFS($E$5:$E$1000,E156,$C$5:$C$1000,"Comité de Supervisión")&gt;0,"Comité Sup.",""),IF(COUNTIFS($E$5:$E$1000,E156,$C$5:$C$1000,"Consejo de Administración")&gt;0,"Consejo",""),IF(COUNTIFS($E$5:$E$1000,E156,$C$5:$C$1000,"Otros")&gt;0,"Otros","")))</f>
        <v/>
      </c>
      <c r="X156" s="24" t="str">
        <f aca="false">IF(E156="","",COUNTIFS($E$5:$E$1000,E156,$AB$5:$AB$1000,AB156,$C$5:$C$1000,"&lt;&gt;"&amp;C156))</f>
        <v/>
      </c>
      <c r="Y156" s="33"/>
      <c r="Z156" s="31"/>
      <c r="AA156" s="33"/>
      <c r="AB156" s="37" t="str">
        <f aca="false">IF(B156="","",YEAR(B156)*100+MONTH(B156))</f>
        <v/>
      </c>
      <c r="AC156" s="37" t="str">
        <f aca="false">IF(AND(E156&lt;&gt;"",E156=Cruce!$C$5),COUNTIF($E$5:E156,E156),"")</f>
        <v/>
      </c>
      <c r="AD156" s="37" t="str">
        <f aca="false">IF(E156="","",C156&amp;"|"&amp;Y156&amp;"|"&amp;IF(B156="","s/f",TEXT(B156,"yyyymmdd")))</f>
        <v/>
      </c>
      <c r="AE156" s="37" t="n">
        <f aca="false">IF(E156="",0,IF(COUNTIFS($E$5:E156,E156,$AD$5:AD156,AD156)=1,1,0))</f>
        <v>0</v>
      </c>
    </row>
    <row r="157" customFormat="false" ht="15" hidden="false" customHeight="true" outlineLevel="0" collapsed="false">
      <c r="A157" s="31"/>
      <c r="B157" s="30"/>
      <c r="C157" s="31"/>
      <c r="D157" s="31"/>
      <c r="E157" s="32"/>
      <c r="F157" s="32"/>
      <c r="G157" s="33"/>
      <c r="H157" s="31"/>
      <c r="I157" s="24" t="str">
        <f aca="false">IF(B157="","",YEAR(B157))</f>
        <v/>
      </c>
      <c r="J157" s="34" t="str">
        <f aca="false">IF(B157="","",IF(MONTH(B157)=1,"X",""))</f>
        <v/>
      </c>
      <c r="K157" s="34" t="str">
        <f aca="false">IF(B157="","",IF(MONTH(B157)=2,"X",""))</f>
        <v/>
      </c>
      <c r="L157" s="34" t="str">
        <f aca="false">IF(B157="","",IF(MONTH(B157)=3,"X",""))</f>
        <v/>
      </c>
      <c r="M157" s="34" t="str">
        <f aca="false">IF(B157="","",IF(MONTH(B157)=4,"X",""))</f>
        <v/>
      </c>
      <c r="N157" s="34" t="str">
        <f aca="false">IF(B157="","",IF(MONTH(B157)=5,"X",""))</f>
        <v/>
      </c>
      <c r="O157" s="34" t="str">
        <f aca="false">IF(B157="","",IF(MONTH(B157)=6,"X",""))</f>
        <v/>
      </c>
      <c r="P157" s="34" t="str">
        <f aca="false">IF(B157="","",IF(MONTH(B157)=7,"X",""))</f>
        <v/>
      </c>
      <c r="Q157" s="34" t="str">
        <f aca="false">IF(B157="","",IF(MONTH(B157)=8,"X",""))</f>
        <v/>
      </c>
      <c r="R157" s="34" t="str">
        <f aca="false">IF(B157="","",IF(MONTH(B157)=9,"X",""))</f>
        <v/>
      </c>
      <c r="S157" s="34" t="str">
        <f aca="false">IF(B157="","",IF(MONTH(B157)=10,"X",""))</f>
        <v/>
      </c>
      <c r="T157" s="34" t="str">
        <f aca="false">IF(B157="","",IF(MONTH(B157)=11,"X",""))</f>
        <v/>
      </c>
      <c r="U157" s="34" t="str">
        <f aca="false">IF(B157="","",IF(MONTH(B157)=12,"X",""))</f>
        <v/>
      </c>
      <c r="V157" s="24" t="str">
        <f aca="false">IF(E157="","",COUNTIF($E$5:$E$1000,E157))</f>
        <v/>
      </c>
      <c r="W157" s="35" t="str">
        <f aca="false">IF(E157="","",_xlfn.TEXTJOIN(" + ",TRUE(),IF(COUNTIFS($E$5:$E$1000,E157,$C$5:$C$1000,"Auditoría Interna")&gt;0,"Interna",""),IF(COUNTIFS($E$5:$E$1000,E157,$C$5:$C$1000,"Auditoría Externa")&gt;0,"Externa",""),IF(COUNTIFS($E$5:$E$1000,E157,$C$5:$C$1000,"SSF")&gt;0,"SSF",""),IF(COUNTIFS($E$5:$E$1000,E157,$C$5:$C$1000,"Comité de Supervisión")&gt;0,"Comité Sup.",""),IF(COUNTIFS($E$5:$E$1000,E157,$C$5:$C$1000,"Consejo de Administración")&gt;0,"Consejo",""),IF(COUNTIFS($E$5:$E$1000,E157,$C$5:$C$1000,"Otros")&gt;0,"Otros","")))</f>
        <v/>
      </c>
      <c r="X157" s="24" t="str">
        <f aca="false">IF(E157="","",COUNTIFS($E$5:$E$1000,E157,$AB$5:$AB$1000,AB157,$C$5:$C$1000,"&lt;&gt;"&amp;C157))</f>
        <v/>
      </c>
      <c r="Y157" s="33"/>
      <c r="Z157" s="31"/>
      <c r="AA157" s="33"/>
      <c r="AB157" s="37" t="str">
        <f aca="false">IF(B157="","",YEAR(B157)*100+MONTH(B157))</f>
        <v/>
      </c>
      <c r="AC157" s="37" t="str">
        <f aca="false">IF(AND(E157&lt;&gt;"",E157=Cruce!$C$5),COUNTIF($E$5:E157,E157),"")</f>
        <v/>
      </c>
      <c r="AD157" s="37" t="str">
        <f aca="false">IF(E157="","",C157&amp;"|"&amp;Y157&amp;"|"&amp;IF(B157="","s/f",TEXT(B157,"yyyymmdd")))</f>
        <v/>
      </c>
      <c r="AE157" s="37" t="n">
        <f aca="false">IF(E157="",0,IF(COUNTIFS($E$5:E157,E157,$AD$5:AD157,AD157)=1,1,0))</f>
        <v>0</v>
      </c>
    </row>
    <row r="158" customFormat="false" ht="15" hidden="false" customHeight="true" outlineLevel="0" collapsed="false">
      <c r="A158" s="31"/>
      <c r="B158" s="30"/>
      <c r="C158" s="31"/>
      <c r="D158" s="31"/>
      <c r="E158" s="32"/>
      <c r="F158" s="32"/>
      <c r="G158" s="33"/>
      <c r="H158" s="31"/>
      <c r="I158" s="24" t="str">
        <f aca="false">IF(B158="","",YEAR(B158))</f>
        <v/>
      </c>
      <c r="J158" s="34" t="str">
        <f aca="false">IF(B158="","",IF(MONTH(B158)=1,"X",""))</f>
        <v/>
      </c>
      <c r="K158" s="34" t="str">
        <f aca="false">IF(B158="","",IF(MONTH(B158)=2,"X",""))</f>
        <v/>
      </c>
      <c r="L158" s="34" t="str">
        <f aca="false">IF(B158="","",IF(MONTH(B158)=3,"X",""))</f>
        <v/>
      </c>
      <c r="M158" s="34" t="str">
        <f aca="false">IF(B158="","",IF(MONTH(B158)=4,"X",""))</f>
        <v/>
      </c>
      <c r="N158" s="34" t="str">
        <f aca="false">IF(B158="","",IF(MONTH(B158)=5,"X",""))</f>
        <v/>
      </c>
      <c r="O158" s="34" t="str">
        <f aca="false">IF(B158="","",IF(MONTH(B158)=6,"X",""))</f>
        <v/>
      </c>
      <c r="P158" s="34" t="str">
        <f aca="false">IF(B158="","",IF(MONTH(B158)=7,"X",""))</f>
        <v/>
      </c>
      <c r="Q158" s="34" t="str">
        <f aca="false">IF(B158="","",IF(MONTH(B158)=8,"X",""))</f>
        <v/>
      </c>
      <c r="R158" s="34" t="str">
        <f aca="false">IF(B158="","",IF(MONTH(B158)=9,"X",""))</f>
        <v/>
      </c>
      <c r="S158" s="34" t="str">
        <f aca="false">IF(B158="","",IF(MONTH(B158)=10,"X",""))</f>
        <v/>
      </c>
      <c r="T158" s="34" t="str">
        <f aca="false">IF(B158="","",IF(MONTH(B158)=11,"X",""))</f>
        <v/>
      </c>
      <c r="U158" s="34" t="str">
        <f aca="false">IF(B158="","",IF(MONTH(B158)=12,"X",""))</f>
        <v/>
      </c>
      <c r="V158" s="24" t="str">
        <f aca="false">IF(E158="","",COUNTIF($E$5:$E$1000,E158))</f>
        <v/>
      </c>
      <c r="W158" s="35" t="str">
        <f aca="false">IF(E158="","",_xlfn.TEXTJOIN(" + ",TRUE(),IF(COUNTIFS($E$5:$E$1000,E158,$C$5:$C$1000,"Auditoría Interna")&gt;0,"Interna",""),IF(COUNTIFS($E$5:$E$1000,E158,$C$5:$C$1000,"Auditoría Externa")&gt;0,"Externa",""),IF(COUNTIFS($E$5:$E$1000,E158,$C$5:$C$1000,"SSF")&gt;0,"SSF",""),IF(COUNTIFS($E$5:$E$1000,E158,$C$5:$C$1000,"Comité de Supervisión")&gt;0,"Comité Sup.",""),IF(COUNTIFS($E$5:$E$1000,E158,$C$5:$C$1000,"Consejo de Administración")&gt;0,"Consejo",""),IF(COUNTIFS($E$5:$E$1000,E158,$C$5:$C$1000,"Otros")&gt;0,"Otros","")))</f>
        <v/>
      </c>
      <c r="X158" s="24" t="str">
        <f aca="false">IF(E158="","",COUNTIFS($E$5:$E$1000,E158,$AB$5:$AB$1000,AB158,$C$5:$C$1000,"&lt;&gt;"&amp;C158))</f>
        <v/>
      </c>
      <c r="Y158" s="33"/>
      <c r="Z158" s="31"/>
      <c r="AA158" s="33"/>
      <c r="AB158" s="37" t="str">
        <f aca="false">IF(B158="","",YEAR(B158)*100+MONTH(B158))</f>
        <v/>
      </c>
      <c r="AC158" s="37" t="str">
        <f aca="false">IF(AND(E158&lt;&gt;"",E158=Cruce!$C$5),COUNTIF($E$5:E158,E158),"")</f>
        <v/>
      </c>
      <c r="AD158" s="37" t="str">
        <f aca="false">IF(E158="","",C158&amp;"|"&amp;Y158&amp;"|"&amp;IF(B158="","s/f",TEXT(B158,"yyyymmdd")))</f>
        <v/>
      </c>
      <c r="AE158" s="37" t="n">
        <f aca="false">IF(E158="",0,IF(COUNTIFS($E$5:E158,E158,$AD$5:AD158,AD158)=1,1,0))</f>
        <v>0</v>
      </c>
    </row>
    <row r="159" customFormat="false" ht="15" hidden="false" customHeight="true" outlineLevel="0" collapsed="false">
      <c r="A159" s="31"/>
      <c r="B159" s="30"/>
      <c r="C159" s="31"/>
      <c r="D159" s="31"/>
      <c r="E159" s="32"/>
      <c r="F159" s="32"/>
      <c r="G159" s="33"/>
      <c r="H159" s="31"/>
      <c r="I159" s="24" t="str">
        <f aca="false">IF(B159="","",YEAR(B159))</f>
        <v/>
      </c>
      <c r="J159" s="34" t="str">
        <f aca="false">IF(B159="","",IF(MONTH(B159)=1,"X",""))</f>
        <v/>
      </c>
      <c r="K159" s="34" t="str">
        <f aca="false">IF(B159="","",IF(MONTH(B159)=2,"X",""))</f>
        <v/>
      </c>
      <c r="L159" s="34" t="str">
        <f aca="false">IF(B159="","",IF(MONTH(B159)=3,"X",""))</f>
        <v/>
      </c>
      <c r="M159" s="34" t="str">
        <f aca="false">IF(B159="","",IF(MONTH(B159)=4,"X",""))</f>
        <v/>
      </c>
      <c r="N159" s="34" t="str">
        <f aca="false">IF(B159="","",IF(MONTH(B159)=5,"X",""))</f>
        <v/>
      </c>
      <c r="O159" s="34" t="str">
        <f aca="false">IF(B159="","",IF(MONTH(B159)=6,"X",""))</f>
        <v/>
      </c>
      <c r="P159" s="34" t="str">
        <f aca="false">IF(B159="","",IF(MONTH(B159)=7,"X",""))</f>
        <v/>
      </c>
      <c r="Q159" s="34" t="str">
        <f aca="false">IF(B159="","",IF(MONTH(B159)=8,"X",""))</f>
        <v/>
      </c>
      <c r="R159" s="34" t="str">
        <f aca="false">IF(B159="","",IF(MONTH(B159)=9,"X",""))</f>
        <v/>
      </c>
      <c r="S159" s="34" t="str">
        <f aca="false">IF(B159="","",IF(MONTH(B159)=10,"X",""))</f>
        <v/>
      </c>
      <c r="T159" s="34" t="str">
        <f aca="false">IF(B159="","",IF(MONTH(B159)=11,"X",""))</f>
        <v/>
      </c>
      <c r="U159" s="34" t="str">
        <f aca="false">IF(B159="","",IF(MONTH(B159)=12,"X",""))</f>
        <v/>
      </c>
      <c r="V159" s="24" t="str">
        <f aca="false">IF(E159="","",COUNTIF($E$5:$E$1000,E159))</f>
        <v/>
      </c>
      <c r="W159" s="35" t="str">
        <f aca="false">IF(E159="","",_xlfn.TEXTJOIN(" + ",TRUE(),IF(COUNTIFS($E$5:$E$1000,E159,$C$5:$C$1000,"Auditoría Interna")&gt;0,"Interna",""),IF(COUNTIFS($E$5:$E$1000,E159,$C$5:$C$1000,"Auditoría Externa")&gt;0,"Externa",""),IF(COUNTIFS($E$5:$E$1000,E159,$C$5:$C$1000,"SSF")&gt;0,"SSF",""),IF(COUNTIFS($E$5:$E$1000,E159,$C$5:$C$1000,"Comité de Supervisión")&gt;0,"Comité Sup.",""),IF(COUNTIFS($E$5:$E$1000,E159,$C$5:$C$1000,"Consejo de Administración")&gt;0,"Consejo",""),IF(COUNTIFS($E$5:$E$1000,E159,$C$5:$C$1000,"Otros")&gt;0,"Otros","")))</f>
        <v/>
      </c>
      <c r="X159" s="24" t="str">
        <f aca="false">IF(E159="","",COUNTIFS($E$5:$E$1000,E159,$AB$5:$AB$1000,AB159,$C$5:$C$1000,"&lt;&gt;"&amp;C159))</f>
        <v/>
      </c>
      <c r="Y159" s="33"/>
      <c r="Z159" s="31"/>
      <c r="AA159" s="33"/>
      <c r="AB159" s="37" t="str">
        <f aca="false">IF(B159="","",YEAR(B159)*100+MONTH(B159))</f>
        <v/>
      </c>
      <c r="AC159" s="37" t="str">
        <f aca="false">IF(AND(E159&lt;&gt;"",E159=Cruce!$C$5),COUNTIF($E$5:E159,E159),"")</f>
        <v/>
      </c>
      <c r="AD159" s="37" t="str">
        <f aca="false">IF(E159="","",C159&amp;"|"&amp;Y159&amp;"|"&amp;IF(B159="","s/f",TEXT(B159,"yyyymmdd")))</f>
        <v/>
      </c>
      <c r="AE159" s="37" t="n">
        <f aca="false">IF(E159="",0,IF(COUNTIFS($E$5:E159,E159,$AD$5:AD159,AD159)=1,1,0))</f>
        <v>0</v>
      </c>
    </row>
    <row r="160" customFormat="false" ht="15" hidden="false" customHeight="true" outlineLevel="0" collapsed="false">
      <c r="A160" s="31"/>
      <c r="B160" s="30"/>
      <c r="C160" s="31"/>
      <c r="D160" s="31"/>
      <c r="E160" s="32"/>
      <c r="F160" s="32"/>
      <c r="G160" s="33"/>
      <c r="H160" s="31"/>
      <c r="I160" s="24" t="str">
        <f aca="false">IF(B160="","",YEAR(B160))</f>
        <v/>
      </c>
      <c r="J160" s="34" t="str">
        <f aca="false">IF(B160="","",IF(MONTH(B160)=1,"X",""))</f>
        <v/>
      </c>
      <c r="K160" s="34" t="str">
        <f aca="false">IF(B160="","",IF(MONTH(B160)=2,"X",""))</f>
        <v/>
      </c>
      <c r="L160" s="34" t="str">
        <f aca="false">IF(B160="","",IF(MONTH(B160)=3,"X",""))</f>
        <v/>
      </c>
      <c r="M160" s="34" t="str">
        <f aca="false">IF(B160="","",IF(MONTH(B160)=4,"X",""))</f>
        <v/>
      </c>
      <c r="N160" s="34" t="str">
        <f aca="false">IF(B160="","",IF(MONTH(B160)=5,"X",""))</f>
        <v/>
      </c>
      <c r="O160" s="34" t="str">
        <f aca="false">IF(B160="","",IF(MONTH(B160)=6,"X",""))</f>
        <v/>
      </c>
      <c r="P160" s="34" t="str">
        <f aca="false">IF(B160="","",IF(MONTH(B160)=7,"X",""))</f>
        <v/>
      </c>
      <c r="Q160" s="34" t="str">
        <f aca="false">IF(B160="","",IF(MONTH(B160)=8,"X",""))</f>
        <v/>
      </c>
      <c r="R160" s="34" t="str">
        <f aca="false">IF(B160="","",IF(MONTH(B160)=9,"X",""))</f>
        <v/>
      </c>
      <c r="S160" s="34" t="str">
        <f aca="false">IF(B160="","",IF(MONTH(B160)=10,"X",""))</f>
        <v/>
      </c>
      <c r="T160" s="34" t="str">
        <f aca="false">IF(B160="","",IF(MONTH(B160)=11,"X",""))</f>
        <v/>
      </c>
      <c r="U160" s="34" t="str">
        <f aca="false">IF(B160="","",IF(MONTH(B160)=12,"X",""))</f>
        <v/>
      </c>
      <c r="V160" s="24" t="str">
        <f aca="false">IF(E160="","",COUNTIF($E$5:$E$1000,E160))</f>
        <v/>
      </c>
      <c r="W160" s="35" t="str">
        <f aca="false">IF(E160="","",_xlfn.TEXTJOIN(" + ",TRUE(),IF(COUNTIFS($E$5:$E$1000,E160,$C$5:$C$1000,"Auditoría Interna")&gt;0,"Interna",""),IF(COUNTIFS($E$5:$E$1000,E160,$C$5:$C$1000,"Auditoría Externa")&gt;0,"Externa",""),IF(COUNTIFS($E$5:$E$1000,E160,$C$5:$C$1000,"SSF")&gt;0,"SSF",""),IF(COUNTIFS($E$5:$E$1000,E160,$C$5:$C$1000,"Comité de Supervisión")&gt;0,"Comité Sup.",""),IF(COUNTIFS($E$5:$E$1000,E160,$C$5:$C$1000,"Consejo de Administración")&gt;0,"Consejo",""),IF(COUNTIFS($E$5:$E$1000,E160,$C$5:$C$1000,"Otros")&gt;0,"Otros","")))</f>
        <v/>
      </c>
      <c r="X160" s="24" t="str">
        <f aca="false">IF(E160="","",COUNTIFS($E$5:$E$1000,E160,$AB$5:$AB$1000,AB160,$C$5:$C$1000,"&lt;&gt;"&amp;C160))</f>
        <v/>
      </c>
      <c r="Y160" s="33"/>
      <c r="Z160" s="31"/>
      <c r="AA160" s="33"/>
      <c r="AB160" s="37" t="str">
        <f aca="false">IF(B160="","",YEAR(B160)*100+MONTH(B160))</f>
        <v/>
      </c>
      <c r="AC160" s="37" t="str">
        <f aca="false">IF(AND(E160&lt;&gt;"",E160=Cruce!$C$5),COUNTIF($E$5:E160,E160),"")</f>
        <v/>
      </c>
      <c r="AD160" s="37" t="str">
        <f aca="false">IF(E160="","",C160&amp;"|"&amp;Y160&amp;"|"&amp;IF(B160="","s/f",TEXT(B160,"yyyymmdd")))</f>
        <v/>
      </c>
      <c r="AE160" s="37" t="n">
        <f aca="false">IF(E160="",0,IF(COUNTIFS($E$5:E160,E160,$AD$5:AD160,AD160)=1,1,0))</f>
        <v>0</v>
      </c>
    </row>
    <row r="161" customFormat="false" ht="15" hidden="false" customHeight="true" outlineLevel="0" collapsed="false">
      <c r="A161" s="31"/>
      <c r="B161" s="30"/>
      <c r="C161" s="31"/>
      <c r="D161" s="31"/>
      <c r="E161" s="32"/>
      <c r="F161" s="32"/>
      <c r="G161" s="33"/>
      <c r="H161" s="31"/>
      <c r="I161" s="24" t="str">
        <f aca="false">IF(B161="","",YEAR(B161))</f>
        <v/>
      </c>
      <c r="J161" s="34" t="str">
        <f aca="false">IF(B161="","",IF(MONTH(B161)=1,"X",""))</f>
        <v/>
      </c>
      <c r="K161" s="34" t="str">
        <f aca="false">IF(B161="","",IF(MONTH(B161)=2,"X",""))</f>
        <v/>
      </c>
      <c r="L161" s="34" t="str">
        <f aca="false">IF(B161="","",IF(MONTH(B161)=3,"X",""))</f>
        <v/>
      </c>
      <c r="M161" s="34" t="str">
        <f aca="false">IF(B161="","",IF(MONTH(B161)=4,"X",""))</f>
        <v/>
      </c>
      <c r="N161" s="34" t="str">
        <f aca="false">IF(B161="","",IF(MONTH(B161)=5,"X",""))</f>
        <v/>
      </c>
      <c r="O161" s="34" t="str">
        <f aca="false">IF(B161="","",IF(MONTH(B161)=6,"X",""))</f>
        <v/>
      </c>
      <c r="P161" s="34" t="str">
        <f aca="false">IF(B161="","",IF(MONTH(B161)=7,"X",""))</f>
        <v/>
      </c>
      <c r="Q161" s="34" t="str">
        <f aca="false">IF(B161="","",IF(MONTH(B161)=8,"X",""))</f>
        <v/>
      </c>
      <c r="R161" s="34" t="str">
        <f aca="false">IF(B161="","",IF(MONTH(B161)=9,"X",""))</f>
        <v/>
      </c>
      <c r="S161" s="34" t="str">
        <f aca="false">IF(B161="","",IF(MONTH(B161)=10,"X",""))</f>
        <v/>
      </c>
      <c r="T161" s="34" t="str">
        <f aca="false">IF(B161="","",IF(MONTH(B161)=11,"X",""))</f>
        <v/>
      </c>
      <c r="U161" s="34" t="str">
        <f aca="false">IF(B161="","",IF(MONTH(B161)=12,"X",""))</f>
        <v/>
      </c>
      <c r="V161" s="24" t="str">
        <f aca="false">IF(E161="","",COUNTIF($E$5:$E$1000,E161))</f>
        <v/>
      </c>
      <c r="W161" s="35" t="str">
        <f aca="false">IF(E161="","",_xlfn.TEXTJOIN(" + ",TRUE(),IF(COUNTIFS($E$5:$E$1000,E161,$C$5:$C$1000,"Auditoría Interna")&gt;0,"Interna",""),IF(COUNTIFS($E$5:$E$1000,E161,$C$5:$C$1000,"Auditoría Externa")&gt;0,"Externa",""),IF(COUNTIFS($E$5:$E$1000,E161,$C$5:$C$1000,"SSF")&gt;0,"SSF",""),IF(COUNTIFS($E$5:$E$1000,E161,$C$5:$C$1000,"Comité de Supervisión")&gt;0,"Comité Sup.",""),IF(COUNTIFS($E$5:$E$1000,E161,$C$5:$C$1000,"Consejo de Administración")&gt;0,"Consejo",""),IF(COUNTIFS($E$5:$E$1000,E161,$C$5:$C$1000,"Otros")&gt;0,"Otros","")))</f>
        <v/>
      </c>
      <c r="X161" s="24" t="str">
        <f aca="false">IF(E161="","",COUNTIFS($E$5:$E$1000,E161,$AB$5:$AB$1000,AB161,$C$5:$C$1000,"&lt;&gt;"&amp;C161))</f>
        <v/>
      </c>
      <c r="Y161" s="33"/>
      <c r="Z161" s="31"/>
      <c r="AA161" s="33"/>
      <c r="AB161" s="37" t="str">
        <f aca="false">IF(B161="","",YEAR(B161)*100+MONTH(B161))</f>
        <v/>
      </c>
      <c r="AC161" s="37" t="str">
        <f aca="false">IF(AND(E161&lt;&gt;"",E161=Cruce!$C$5),COUNTIF($E$5:E161,E161),"")</f>
        <v/>
      </c>
      <c r="AD161" s="37" t="str">
        <f aca="false">IF(E161="","",C161&amp;"|"&amp;Y161&amp;"|"&amp;IF(B161="","s/f",TEXT(B161,"yyyymmdd")))</f>
        <v/>
      </c>
      <c r="AE161" s="37" t="n">
        <f aca="false">IF(E161="",0,IF(COUNTIFS($E$5:E161,E161,$AD$5:AD161,AD161)=1,1,0))</f>
        <v>0</v>
      </c>
    </row>
    <row r="162" customFormat="false" ht="15" hidden="false" customHeight="true" outlineLevel="0" collapsed="false">
      <c r="A162" s="31"/>
      <c r="B162" s="30"/>
      <c r="C162" s="31"/>
      <c r="D162" s="31"/>
      <c r="E162" s="32"/>
      <c r="F162" s="32"/>
      <c r="G162" s="33"/>
      <c r="H162" s="31"/>
      <c r="I162" s="24" t="str">
        <f aca="false">IF(B162="","",YEAR(B162))</f>
        <v/>
      </c>
      <c r="J162" s="34" t="str">
        <f aca="false">IF(B162="","",IF(MONTH(B162)=1,"X",""))</f>
        <v/>
      </c>
      <c r="K162" s="34" t="str">
        <f aca="false">IF(B162="","",IF(MONTH(B162)=2,"X",""))</f>
        <v/>
      </c>
      <c r="L162" s="34" t="str">
        <f aca="false">IF(B162="","",IF(MONTH(B162)=3,"X",""))</f>
        <v/>
      </c>
      <c r="M162" s="34" t="str">
        <f aca="false">IF(B162="","",IF(MONTH(B162)=4,"X",""))</f>
        <v/>
      </c>
      <c r="N162" s="34" t="str">
        <f aca="false">IF(B162="","",IF(MONTH(B162)=5,"X",""))</f>
        <v/>
      </c>
      <c r="O162" s="34" t="str">
        <f aca="false">IF(B162="","",IF(MONTH(B162)=6,"X",""))</f>
        <v/>
      </c>
      <c r="P162" s="34" t="str">
        <f aca="false">IF(B162="","",IF(MONTH(B162)=7,"X",""))</f>
        <v/>
      </c>
      <c r="Q162" s="34" t="str">
        <f aca="false">IF(B162="","",IF(MONTH(B162)=8,"X",""))</f>
        <v/>
      </c>
      <c r="R162" s="34" t="str">
        <f aca="false">IF(B162="","",IF(MONTH(B162)=9,"X",""))</f>
        <v/>
      </c>
      <c r="S162" s="34" t="str">
        <f aca="false">IF(B162="","",IF(MONTH(B162)=10,"X",""))</f>
        <v/>
      </c>
      <c r="T162" s="34" t="str">
        <f aca="false">IF(B162="","",IF(MONTH(B162)=11,"X",""))</f>
        <v/>
      </c>
      <c r="U162" s="34" t="str">
        <f aca="false">IF(B162="","",IF(MONTH(B162)=12,"X",""))</f>
        <v/>
      </c>
      <c r="V162" s="24" t="str">
        <f aca="false">IF(E162="","",COUNTIF($E$5:$E$1000,E162))</f>
        <v/>
      </c>
      <c r="W162" s="35" t="str">
        <f aca="false">IF(E162="","",_xlfn.TEXTJOIN(" + ",TRUE(),IF(COUNTIFS($E$5:$E$1000,E162,$C$5:$C$1000,"Auditoría Interna")&gt;0,"Interna",""),IF(COUNTIFS($E$5:$E$1000,E162,$C$5:$C$1000,"Auditoría Externa")&gt;0,"Externa",""),IF(COUNTIFS($E$5:$E$1000,E162,$C$5:$C$1000,"SSF")&gt;0,"SSF",""),IF(COUNTIFS($E$5:$E$1000,E162,$C$5:$C$1000,"Comité de Supervisión")&gt;0,"Comité Sup.",""),IF(COUNTIFS($E$5:$E$1000,E162,$C$5:$C$1000,"Consejo de Administración")&gt;0,"Consejo",""),IF(COUNTIFS($E$5:$E$1000,E162,$C$5:$C$1000,"Otros")&gt;0,"Otros","")))</f>
        <v/>
      </c>
      <c r="X162" s="24" t="str">
        <f aca="false">IF(E162="","",COUNTIFS($E$5:$E$1000,E162,$AB$5:$AB$1000,AB162,$C$5:$C$1000,"&lt;&gt;"&amp;C162))</f>
        <v/>
      </c>
      <c r="Y162" s="33"/>
      <c r="Z162" s="31"/>
      <c r="AA162" s="33"/>
      <c r="AB162" s="37" t="str">
        <f aca="false">IF(B162="","",YEAR(B162)*100+MONTH(B162))</f>
        <v/>
      </c>
      <c r="AC162" s="37" t="str">
        <f aca="false">IF(AND(E162&lt;&gt;"",E162=Cruce!$C$5),COUNTIF($E$5:E162,E162),"")</f>
        <v/>
      </c>
      <c r="AD162" s="37" t="str">
        <f aca="false">IF(E162="","",C162&amp;"|"&amp;Y162&amp;"|"&amp;IF(B162="","s/f",TEXT(B162,"yyyymmdd")))</f>
        <v/>
      </c>
      <c r="AE162" s="37" t="n">
        <f aca="false">IF(E162="",0,IF(COUNTIFS($E$5:E162,E162,$AD$5:AD162,AD162)=1,1,0))</f>
        <v>0</v>
      </c>
    </row>
    <row r="163" customFormat="false" ht="15" hidden="false" customHeight="true" outlineLevel="0" collapsed="false">
      <c r="A163" s="31"/>
      <c r="B163" s="30"/>
      <c r="C163" s="31"/>
      <c r="D163" s="31"/>
      <c r="E163" s="32"/>
      <c r="F163" s="32"/>
      <c r="G163" s="33"/>
      <c r="H163" s="31"/>
      <c r="I163" s="24" t="str">
        <f aca="false">IF(B163="","",YEAR(B163))</f>
        <v/>
      </c>
      <c r="J163" s="34" t="str">
        <f aca="false">IF(B163="","",IF(MONTH(B163)=1,"X",""))</f>
        <v/>
      </c>
      <c r="K163" s="34" t="str">
        <f aca="false">IF(B163="","",IF(MONTH(B163)=2,"X",""))</f>
        <v/>
      </c>
      <c r="L163" s="34" t="str">
        <f aca="false">IF(B163="","",IF(MONTH(B163)=3,"X",""))</f>
        <v/>
      </c>
      <c r="M163" s="34" t="str">
        <f aca="false">IF(B163="","",IF(MONTH(B163)=4,"X",""))</f>
        <v/>
      </c>
      <c r="N163" s="34" t="str">
        <f aca="false">IF(B163="","",IF(MONTH(B163)=5,"X",""))</f>
        <v/>
      </c>
      <c r="O163" s="34" t="str">
        <f aca="false">IF(B163="","",IF(MONTH(B163)=6,"X",""))</f>
        <v/>
      </c>
      <c r="P163" s="34" t="str">
        <f aca="false">IF(B163="","",IF(MONTH(B163)=7,"X",""))</f>
        <v/>
      </c>
      <c r="Q163" s="34" t="str">
        <f aca="false">IF(B163="","",IF(MONTH(B163)=8,"X",""))</f>
        <v/>
      </c>
      <c r="R163" s="34" t="str">
        <f aca="false">IF(B163="","",IF(MONTH(B163)=9,"X",""))</f>
        <v/>
      </c>
      <c r="S163" s="34" t="str">
        <f aca="false">IF(B163="","",IF(MONTH(B163)=10,"X",""))</f>
        <v/>
      </c>
      <c r="T163" s="34" t="str">
        <f aca="false">IF(B163="","",IF(MONTH(B163)=11,"X",""))</f>
        <v/>
      </c>
      <c r="U163" s="34" t="str">
        <f aca="false">IF(B163="","",IF(MONTH(B163)=12,"X",""))</f>
        <v/>
      </c>
      <c r="V163" s="24" t="str">
        <f aca="false">IF(E163="","",COUNTIF($E$5:$E$1000,E163))</f>
        <v/>
      </c>
      <c r="W163" s="35" t="str">
        <f aca="false">IF(E163="","",_xlfn.TEXTJOIN(" + ",TRUE(),IF(COUNTIFS($E$5:$E$1000,E163,$C$5:$C$1000,"Auditoría Interna")&gt;0,"Interna",""),IF(COUNTIFS($E$5:$E$1000,E163,$C$5:$C$1000,"Auditoría Externa")&gt;0,"Externa",""),IF(COUNTIFS($E$5:$E$1000,E163,$C$5:$C$1000,"SSF")&gt;0,"SSF",""),IF(COUNTIFS($E$5:$E$1000,E163,$C$5:$C$1000,"Comité de Supervisión")&gt;0,"Comité Sup.",""),IF(COUNTIFS($E$5:$E$1000,E163,$C$5:$C$1000,"Consejo de Administración")&gt;0,"Consejo",""),IF(COUNTIFS($E$5:$E$1000,E163,$C$5:$C$1000,"Otros")&gt;0,"Otros","")))</f>
        <v/>
      </c>
      <c r="X163" s="24" t="str">
        <f aca="false">IF(E163="","",COUNTIFS($E$5:$E$1000,E163,$AB$5:$AB$1000,AB163,$C$5:$C$1000,"&lt;&gt;"&amp;C163))</f>
        <v/>
      </c>
      <c r="Y163" s="33"/>
      <c r="Z163" s="31"/>
      <c r="AA163" s="33"/>
      <c r="AB163" s="37" t="str">
        <f aca="false">IF(B163="","",YEAR(B163)*100+MONTH(B163))</f>
        <v/>
      </c>
      <c r="AC163" s="37" t="str">
        <f aca="false">IF(AND(E163&lt;&gt;"",E163=Cruce!$C$5),COUNTIF($E$5:E163,E163),"")</f>
        <v/>
      </c>
      <c r="AD163" s="37" t="str">
        <f aca="false">IF(E163="","",C163&amp;"|"&amp;Y163&amp;"|"&amp;IF(B163="","s/f",TEXT(B163,"yyyymmdd")))</f>
        <v/>
      </c>
      <c r="AE163" s="37" t="n">
        <f aca="false">IF(E163="",0,IF(COUNTIFS($E$5:E163,E163,$AD$5:AD163,AD163)=1,1,0))</f>
        <v>0</v>
      </c>
    </row>
    <row r="164" customFormat="false" ht="15" hidden="false" customHeight="true" outlineLevel="0" collapsed="false">
      <c r="A164" s="31"/>
      <c r="B164" s="30"/>
      <c r="C164" s="31"/>
      <c r="D164" s="31"/>
      <c r="E164" s="32"/>
      <c r="F164" s="32"/>
      <c r="G164" s="33"/>
      <c r="H164" s="31"/>
      <c r="I164" s="24" t="str">
        <f aca="false">IF(B164="","",YEAR(B164))</f>
        <v/>
      </c>
      <c r="J164" s="34" t="str">
        <f aca="false">IF(B164="","",IF(MONTH(B164)=1,"X",""))</f>
        <v/>
      </c>
      <c r="K164" s="34" t="str">
        <f aca="false">IF(B164="","",IF(MONTH(B164)=2,"X",""))</f>
        <v/>
      </c>
      <c r="L164" s="34" t="str">
        <f aca="false">IF(B164="","",IF(MONTH(B164)=3,"X",""))</f>
        <v/>
      </c>
      <c r="M164" s="34" t="str">
        <f aca="false">IF(B164="","",IF(MONTH(B164)=4,"X",""))</f>
        <v/>
      </c>
      <c r="N164" s="34" t="str">
        <f aca="false">IF(B164="","",IF(MONTH(B164)=5,"X",""))</f>
        <v/>
      </c>
      <c r="O164" s="34" t="str">
        <f aca="false">IF(B164="","",IF(MONTH(B164)=6,"X",""))</f>
        <v/>
      </c>
      <c r="P164" s="34" t="str">
        <f aca="false">IF(B164="","",IF(MONTH(B164)=7,"X",""))</f>
        <v/>
      </c>
      <c r="Q164" s="34" t="str">
        <f aca="false">IF(B164="","",IF(MONTH(B164)=8,"X",""))</f>
        <v/>
      </c>
      <c r="R164" s="34" t="str">
        <f aca="false">IF(B164="","",IF(MONTH(B164)=9,"X",""))</f>
        <v/>
      </c>
      <c r="S164" s="34" t="str">
        <f aca="false">IF(B164="","",IF(MONTH(B164)=10,"X",""))</f>
        <v/>
      </c>
      <c r="T164" s="34" t="str">
        <f aca="false">IF(B164="","",IF(MONTH(B164)=11,"X",""))</f>
        <v/>
      </c>
      <c r="U164" s="34" t="str">
        <f aca="false">IF(B164="","",IF(MONTH(B164)=12,"X",""))</f>
        <v/>
      </c>
      <c r="V164" s="24" t="str">
        <f aca="false">IF(E164="","",COUNTIF($E$5:$E$1000,E164))</f>
        <v/>
      </c>
      <c r="W164" s="35" t="str">
        <f aca="false">IF(E164="","",_xlfn.TEXTJOIN(" + ",TRUE(),IF(COUNTIFS($E$5:$E$1000,E164,$C$5:$C$1000,"Auditoría Interna")&gt;0,"Interna",""),IF(COUNTIFS($E$5:$E$1000,E164,$C$5:$C$1000,"Auditoría Externa")&gt;0,"Externa",""),IF(COUNTIFS($E$5:$E$1000,E164,$C$5:$C$1000,"SSF")&gt;0,"SSF",""),IF(COUNTIFS($E$5:$E$1000,E164,$C$5:$C$1000,"Comité de Supervisión")&gt;0,"Comité Sup.",""),IF(COUNTIFS($E$5:$E$1000,E164,$C$5:$C$1000,"Consejo de Administración")&gt;0,"Consejo",""),IF(COUNTIFS($E$5:$E$1000,E164,$C$5:$C$1000,"Otros")&gt;0,"Otros","")))</f>
        <v/>
      </c>
      <c r="X164" s="24" t="str">
        <f aca="false">IF(E164="","",COUNTIFS($E$5:$E$1000,E164,$AB$5:$AB$1000,AB164,$C$5:$C$1000,"&lt;&gt;"&amp;C164))</f>
        <v/>
      </c>
      <c r="Y164" s="33"/>
      <c r="Z164" s="31"/>
      <c r="AA164" s="33"/>
      <c r="AB164" s="37" t="str">
        <f aca="false">IF(B164="","",YEAR(B164)*100+MONTH(B164))</f>
        <v/>
      </c>
      <c r="AC164" s="37" t="str">
        <f aca="false">IF(AND(E164&lt;&gt;"",E164=Cruce!$C$5),COUNTIF($E$5:E164,E164),"")</f>
        <v/>
      </c>
      <c r="AD164" s="37" t="str">
        <f aca="false">IF(E164="","",C164&amp;"|"&amp;Y164&amp;"|"&amp;IF(B164="","s/f",TEXT(B164,"yyyymmdd")))</f>
        <v/>
      </c>
      <c r="AE164" s="37" t="n">
        <f aca="false">IF(E164="",0,IF(COUNTIFS($E$5:E164,E164,$AD$5:AD164,AD164)=1,1,0))</f>
        <v>0</v>
      </c>
    </row>
    <row r="165" customFormat="false" ht="15" hidden="false" customHeight="true" outlineLevel="0" collapsed="false">
      <c r="A165" s="31"/>
      <c r="B165" s="30"/>
      <c r="C165" s="31"/>
      <c r="D165" s="31"/>
      <c r="E165" s="32"/>
      <c r="F165" s="32"/>
      <c r="G165" s="33"/>
      <c r="H165" s="31"/>
      <c r="I165" s="24" t="str">
        <f aca="false">IF(B165="","",YEAR(B165))</f>
        <v/>
      </c>
      <c r="J165" s="34" t="str">
        <f aca="false">IF(B165="","",IF(MONTH(B165)=1,"X",""))</f>
        <v/>
      </c>
      <c r="K165" s="34" t="str">
        <f aca="false">IF(B165="","",IF(MONTH(B165)=2,"X",""))</f>
        <v/>
      </c>
      <c r="L165" s="34" t="str">
        <f aca="false">IF(B165="","",IF(MONTH(B165)=3,"X",""))</f>
        <v/>
      </c>
      <c r="M165" s="34" t="str">
        <f aca="false">IF(B165="","",IF(MONTH(B165)=4,"X",""))</f>
        <v/>
      </c>
      <c r="N165" s="34" t="str">
        <f aca="false">IF(B165="","",IF(MONTH(B165)=5,"X",""))</f>
        <v/>
      </c>
      <c r="O165" s="34" t="str">
        <f aca="false">IF(B165="","",IF(MONTH(B165)=6,"X",""))</f>
        <v/>
      </c>
      <c r="P165" s="34" t="str">
        <f aca="false">IF(B165="","",IF(MONTH(B165)=7,"X",""))</f>
        <v/>
      </c>
      <c r="Q165" s="34" t="str">
        <f aca="false">IF(B165="","",IF(MONTH(B165)=8,"X",""))</f>
        <v/>
      </c>
      <c r="R165" s="34" t="str">
        <f aca="false">IF(B165="","",IF(MONTH(B165)=9,"X",""))</f>
        <v/>
      </c>
      <c r="S165" s="34" t="str">
        <f aca="false">IF(B165="","",IF(MONTH(B165)=10,"X",""))</f>
        <v/>
      </c>
      <c r="T165" s="34" t="str">
        <f aca="false">IF(B165="","",IF(MONTH(B165)=11,"X",""))</f>
        <v/>
      </c>
      <c r="U165" s="34" t="str">
        <f aca="false">IF(B165="","",IF(MONTH(B165)=12,"X",""))</f>
        <v/>
      </c>
      <c r="V165" s="24" t="str">
        <f aca="false">IF(E165="","",COUNTIF($E$5:$E$1000,E165))</f>
        <v/>
      </c>
      <c r="W165" s="35" t="str">
        <f aca="false">IF(E165="","",_xlfn.TEXTJOIN(" + ",TRUE(),IF(COUNTIFS($E$5:$E$1000,E165,$C$5:$C$1000,"Auditoría Interna")&gt;0,"Interna",""),IF(COUNTIFS($E$5:$E$1000,E165,$C$5:$C$1000,"Auditoría Externa")&gt;0,"Externa",""),IF(COUNTIFS($E$5:$E$1000,E165,$C$5:$C$1000,"SSF")&gt;0,"SSF",""),IF(COUNTIFS($E$5:$E$1000,E165,$C$5:$C$1000,"Comité de Supervisión")&gt;0,"Comité Sup.",""),IF(COUNTIFS($E$5:$E$1000,E165,$C$5:$C$1000,"Consejo de Administración")&gt;0,"Consejo",""),IF(COUNTIFS($E$5:$E$1000,E165,$C$5:$C$1000,"Otros")&gt;0,"Otros","")))</f>
        <v/>
      </c>
      <c r="X165" s="24" t="str">
        <f aca="false">IF(E165="","",COUNTIFS($E$5:$E$1000,E165,$AB$5:$AB$1000,AB165,$C$5:$C$1000,"&lt;&gt;"&amp;C165))</f>
        <v/>
      </c>
      <c r="Y165" s="33"/>
      <c r="Z165" s="31"/>
      <c r="AA165" s="33"/>
      <c r="AB165" s="37" t="str">
        <f aca="false">IF(B165="","",YEAR(B165)*100+MONTH(B165))</f>
        <v/>
      </c>
      <c r="AC165" s="37" t="str">
        <f aca="false">IF(AND(E165&lt;&gt;"",E165=Cruce!$C$5),COUNTIF($E$5:E165,E165),"")</f>
        <v/>
      </c>
      <c r="AD165" s="37" t="str">
        <f aca="false">IF(E165="","",C165&amp;"|"&amp;Y165&amp;"|"&amp;IF(B165="","s/f",TEXT(B165,"yyyymmdd")))</f>
        <v/>
      </c>
      <c r="AE165" s="37" t="n">
        <f aca="false">IF(E165="",0,IF(COUNTIFS($E$5:E165,E165,$AD$5:AD165,AD165)=1,1,0))</f>
        <v>0</v>
      </c>
    </row>
    <row r="166" customFormat="false" ht="15" hidden="false" customHeight="true" outlineLevel="0" collapsed="false">
      <c r="A166" s="31"/>
      <c r="B166" s="30"/>
      <c r="C166" s="31"/>
      <c r="D166" s="31"/>
      <c r="E166" s="32"/>
      <c r="F166" s="32"/>
      <c r="G166" s="33"/>
      <c r="H166" s="31"/>
      <c r="I166" s="24" t="str">
        <f aca="false">IF(B166="","",YEAR(B166))</f>
        <v/>
      </c>
      <c r="J166" s="34" t="str">
        <f aca="false">IF(B166="","",IF(MONTH(B166)=1,"X",""))</f>
        <v/>
      </c>
      <c r="K166" s="34" t="str">
        <f aca="false">IF(B166="","",IF(MONTH(B166)=2,"X",""))</f>
        <v/>
      </c>
      <c r="L166" s="34" t="str">
        <f aca="false">IF(B166="","",IF(MONTH(B166)=3,"X",""))</f>
        <v/>
      </c>
      <c r="M166" s="34" t="str">
        <f aca="false">IF(B166="","",IF(MONTH(B166)=4,"X",""))</f>
        <v/>
      </c>
      <c r="N166" s="34" t="str">
        <f aca="false">IF(B166="","",IF(MONTH(B166)=5,"X",""))</f>
        <v/>
      </c>
      <c r="O166" s="34" t="str">
        <f aca="false">IF(B166="","",IF(MONTH(B166)=6,"X",""))</f>
        <v/>
      </c>
      <c r="P166" s="34" t="str">
        <f aca="false">IF(B166="","",IF(MONTH(B166)=7,"X",""))</f>
        <v/>
      </c>
      <c r="Q166" s="34" t="str">
        <f aca="false">IF(B166="","",IF(MONTH(B166)=8,"X",""))</f>
        <v/>
      </c>
      <c r="R166" s="34" t="str">
        <f aca="false">IF(B166="","",IF(MONTH(B166)=9,"X",""))</f>
        <v/>
      </c>
      <c r="S166" s="34" t="str">
        <f aca="false">IF(B166="","",IF(MONTH(B166)=10,"X",""))</f>
        <v/>
      </c>
      <c r="T166" s="34" t="str">
        <f aca="false">IF(B166="","",IF(MONTH(B166)=11,"X",""))</f>
        <v/>
      </c>
      <c r="U166" s="34" t="str">
        <f aca="false">IF(B166="","",IF(MONTH(B166)=12,"X",""))</f>
        <v/>
      </c>
      <c r="V166" s="24" t="str">
        <f aca="false">IF(E166="","",COUNTIF($E$5:$E$1000,E166))</f>
        <v/>
      </c>
      <c r="W166" s="35" t="str">
        <f aca="false">IF(E166="","",_xlfn.TEXTJOIN(" + ",TRUE(),IF(COUNTIFS($E$5:$E$1000,E166,$C$5:$C$1000,"Auditoría Interna")&gt;0,"Interna",""),IF(COUNTIFS($E$5:$E$1000,E166,$C$5:$C$1000,"Auditoría Externa")&gt;0,"Externa",""),IF(COUNTIFS($E$5:$E$1000,E166,$C$5:$C$1000,"SSF")&gt;0,"SSF",""),IF(COUNTIFS($E$5:$E$1000,E166,$C$5:$C$1000,"Comité de Supervisión")&gt;0,"Comité Sup.",""),IF(COUNTIFS($E$5:$E$1000,E166,$C$5:$C$1000,"Consejo de Administración")&gt;0,"Consejo",""),IF(COUNTIFS($E$5:$E$1000,E166,$C$5:$C$1000,"Otros")&gt;0,"Otros","")))</f>
        <v/>
      </c>
      <c r="X166" s="24" t="str">
        <f aca="false">IF(E166="","",COUNTIFS($E$5:$E$1000,E166,$AB$5:$AB$1000,AB166,$C$5:$C$1000,"&lt;&gt;"&amp;C166))</f>
        <v/>
      </c>
      <c r="Y166" s="33"/>
      <c r="Z166" s="31"/>
      <c r="AA166" s="33"/>
      <c r="AB166" s="37" t="str">
        <f aca="false">IF(B166="","",YEAR(B166)*100+MONTH(B166))</f>
        <v/>
      </c>
      <c r="AC166" s="37" t="str">
        <f aca="false">IF(AND(E166&lt;&gt;"",E166=Cruce!$C$5),COUNTIF($E$5:E166,E166),"")</f>
        <v/>
      </c>
      <c r="AD166" s="37" t="str">
        <f aca="false">IF(E166="","",C166&amp;"|"&amp;Y166&amp;"|"&amp;IF(B166="","s/f",TEXT(B166,"yyyymmdd")))</f>
        <v/>
      </c>
      <c r="AE166" s="37" t="n">
        <f aca="false">IF(E166="",0,IF(COUNTIFS($E$5:E166,E166,$AD$5:AD166,AD166)=1,1,0))</f>
        <v>0</v>
      </c>
    </row>
    <row r="167" customFormat="false" ht="15" hidden="false" customHeight="true" outlineLevel="0" collapsed="false">
      <c r="A167" s="31"/>
      <c r="B167" s="30"/>
      <c r="C167" s="31"/>
      <c r="D167" s="31"/>
      <c r="E167" s="32"/>
      <c r="F167" s="32"/>
      <c r="G167" s="33"/>
      <c r="H167" s="31"/>
      <c r="I167" s="24" t="str">
        <f aca="false">IF(B167="","",YEAR(B167))</f>
        <v/>
      </c>
      <c r="J167" s="34" t="str">
        <f aca="false">IF(B167="","",IF(MONTH(B167)=1,"X",""))</f>
        <v/>
      </c>
      <c r="K167" s="34" t="str">
        <f aca="false">IF(B167="","",IF(MONTH(B167)=2,"X",""))</f>
        <v/>
      </c>
      <c r="L167" s="34" t="str">
        <f aca="false">IF(B167="","",IF(MONTH(B167)=3,"X",""))</f>
        <v/>
      </c>
      <c r="M167" s="34" t="str">
        <f aca="false">IF(B167="","",IF(MONTH(B167)=4,"X",""))</f>
        <v/>
      </c>
      <c r="N167" s="34" t="str">
        <f aca="false">IF(B167="","",IF(MONTH(B167)=5,"X",""))</f>
        <v/>
      </c>
      <c r="O167" s="34" t="str">
        <f aca="false">IF(B167="","",IF(MONTH(B167)=6,"X",""))</f>
        <v/>
      </c>
      <c r="P167" s="34" t="str">
        <f aca="false">IF(B167="","",IF(MONTH(B167)=7,"X",""))</f>
        <v/>
      </c>
      <c r="Q167" s="34" t="str">
        <f aca="false">IF(B167="","",IF(MONTH(B167)=8,"X",""))</f>
        <v/>
      </c>
      <c r="R167" s="34" t="str">
        <f aca="false">IF(B167="","",IF(MONTH(B167)=9,"X",""))</f>
        <v/>
      </c>
      <c r="S167" s="34" t="str">
        <f aca="false">IF(B167="","",IF(MONTH(B167)=10,"X",""))</f>
        <v/>
      </c>
      <c r="T167" s="34" t="str">
        <f aca="false">IF(B167="","",IF(MONTH(B167)=11,"X",""))</f>
        <v/>
      </c>
      <c r="U167" s="34" t="str">
        <f aca="false">IF(B167="","",IF(MONTH(B167)=12,"X",""))</f>
        <v/>
      </c>
      <c r="V167" s="24" t="str">
        <f aca="false">IF(E167="","",COUNTIF($E$5:$E$1000,E167))</f>
        <v/>
      </c>
      <c r="W167" s="35" t="str">
        <f aca="false">IF(E167="","",_xlfn.TEXTJOIN(" + ",TRUE(),IF(COUNTIFS($E$5:$E$1000,E167,$C$5:$C$1000,"Auditoría Interna")&gt;0,"Interna",""),IF(COUNTIFS($E$5:$E$1000,E167,$C$5:$C$1000,"Auditoría Externa")&gt;0,"Externa",""),IF(COUNTIFS($E$5:$E$1000,E167,$C$5:$C$1000,"SSF")&gt;0,"SSF",""),IF(COUNTIFS($E$5:$E$1000,E167,$C$5:$C$1000,"Comité de Supervisión")&gt;0,"Comité Sup.",""),IF(COUNTIFS($E$5:$E$1000,E167,$C$5:$C$1000,"Consejo de Administración")&gt;0,"Consejo",""),IF(COUNTIFS($E$5:$E$1000,E167,$C$5:$C$1000,"Otros")&gt;0,"Otros","")))</f>
        <v/>
      </c>
      <c r="X167" s="24" t="str">
        <f aca="false">IF(E167="","",COUNTIFS($E$5:$E$1000,E167,$AB$5:$AB$1000,AB167,$C$5:$C$1000,"&lt;&gt;"&amp;C167))</f>
        <v/>
      </c>
      <c r="Y167" s="33"/>
      <c r="Z167" s="31"/>
      <c r="AA167" s="33"/>
      <c r="AB167" s="37" t="str">
        <f aca="false">IF(B167="","",YEAR(B167)*100+MONTH(B167))</f>
        <v/>
      </c>
      <c r="AC167" s="37" t="str">
        <f aca="false">IF(AND(E167&lt;&gt;"",E167=Cruce!$C$5),COUNTIF($E$5:E167,E167),"")</f>
        <v/>
      </c>
      <c r="AD167" s="37" t="str">
        <f aca="false">IF(E167="","",C167&amp;"|"&amp;Y167&amp;"|"&amp;IF(B167="","s/f",TEXT(B167,"yyyymmdd")))</f>
        <v/>
      </c>
      <c r="AE167" s="37" t="n">
        <f aca="false">IF(E167="",0,IF(COUNTIFS($E$5:E167,E167,$AD$5:AD167,AD167)=1,1,0))</f>
        <v>0</v>
      </c>
    </row>
    <row r="168" customFormat="false" ht="15" hidden="false" customHeight="true" outlineLevel="0" collapsed="false">
      <c r="A168" s="31"/>
      <c r="B168" s="30"/>
      <c r="C168" s="31"/>
      <c r="D168" s="31"/>
      <c r="E168" s="32"/>
      <c r="F168" s="32"/>
      <c r="G168" s="33"/>
      <c r="H168" s="31"/>
      <c r="I168" s="24" t="str">
        <f aca="false">IF(B168="","",YEAR(B168))</f>
        <v/>
      </c>
      <c r="J168" s="34" t="str">
        <f aca="false">IF(B168="","",IF(MONTH(B168)=1,"X",""))</f>
        <v/>
      </c>
      <c r="K168" s="34" t="str">
        <f aca="false">IF(B168="","",IF(MONTH(B168)=2,"X",""))</f>
        <v/>
      </c>
      <c r="L168" s="34" t="str">
        <f aca="false">IF(B168="","",IF(MONTH(B168)=3,"X",""))</f>
        <v/>
      </c>
      <c r="M168" s="34" t="str">
        <f aca="false">IF(B168="","",IF(MONTH(B168)=4,"X",""))</f>
        <v/>
      </c>
      <c r="N168" s="34" t="str">
        <f aca="false">IF(B168="","",IF(MONTH(B168)=5,"X",""))</f>
        <v/>
      </c>
      <c r="O168" s="34" t="str">
        <f aca="false">IF(B168="","",IF(MONTH(B168)=6,"X",""))</f>
        <v/>
      </c>
      <c r="P168" s="34" t="str">
        <f aca="false">IF(B168="","",IF(MONTH(B168)=7,"X",""))</f>
        <v/>
      </c>
      <c r="Q168" s="34" t="str">
        <f aca="false">IF(B168="","",IF(MONTH(B168)=8,"X",""))</f>
        <v/>
      </c>
      <c r="R168" s="34" t="str">
        <f aca="false">IF(B168="","",IF(MONTH(B168)=9,"X",""))</f>
        <v/>
      </c>
      <c r="S168" s="34" t="str">
        <f aca="false">IF(B168="","",IF(MONTH(B168)=10,"X",""))</f>
        <v/>
      </c>
      <c r="T168" s="34" t="str">
        <f aca="false">IF(B168="","",IF(MONTH(B168)=11,"X",""))</f>
        <v/>
      </c>
      <c r="U168" s="34" t="str">
        <f aca="false">IF(B168="","",IF(MONTH(B168)=12,"X",""))</f>
        <v/>
      </c>
      <c r="V168" s="24" t="str">
        <f aca="false">IF(E168="","",COUNTIF($E$5:$E$1000,E168))</f>
        <v/>
      </c>
      <c r="W168" s="35" t="str">
        <f aca="false">IF(E168="","",_xlfn.TEXTJOIN(" + ",TRUE(),IF(COUNTIFS($E$5:$E$1000,E168,$C$5:$C$1000,"Auditoría Interna")&gt;0,"Interna",""),IF(COUNTIFS($E$5:$E$1000,E168,$C$5:$C$1000,"Auditoría Externa")&gt;0,"Externa",""),IF(COUNTIFS($E$5:$E$1000,E168,$C$5:$C$1000,"SSF")&gt;0,"SSF",""),IF(COUNTIFS($E$5:$E$1000,E168,$C$5:$C$1000,"Comité de Supervisión")&gt;0,"Comité Sup.",""),IF(COUNTIFS($E$5:$E$1000,E168,$C$5:$C$1000,"Consejo de Administración")&gt;0,"Consejo",""),IF(COUNTIFS($E$5:$E$1000,E168,$C$5:$C$1000,"Otros")&gt;0,"Otros","")))</f>
        <v/>
      </c>
      <c r="X168" s="24" t="str">
        <f aca="false">IF(E168="","",COUNTIFS($E$5:$E$1000,E168,$AB$5:$AB$1000,AB168,$C$5:$C$1000,"&lt;&gt;"&amp;C168))</f>
        <v/>
      </c>
      <c r="Y168" s="33"/>
      <c r="Z168" s="31"/>
      <c r="AA168" s="33"/>
      <c r="AB168" s="37" t="str">
        <f aca="false">IF(B168="","",YEAR(B168)*100+MONTH(B168))</f>
        <v/>
      </c>
      <c r="AC168" s="37" t="str">
        <f aca="false">IF(AND(E168&lt;&gt;"",E168=Cruce!$C$5),COUNTIF($E$5:E168,E168),"")</f>
        <v/>
      </c>
      <c r="AD168" s="37" t="str">
        <f aca="false">IF(E168="","",C168&amp;"|"&amp;Y168&amp;"|"&amp;IF(B168="","s/f",TEXT(B168,"yyyymmdd")))</f>
        <v/>
      </c>
      <c r="AE168" s="37" t="n">
        <f aca="false">IF(E168="",0,IF(COUNTIFS($E$5:E168,E168,$AD$5:AD168,AD168)=1,1,0))</f>
        <v>0</v>
      </c>
    </row>
    <row r="169" customFormat="false" ht="15" hidden="false" customHeight="true" outlineLevel="0" collapsed="false">
      <c r="A169" s="31"/>
      <c r="B169" s="30"/>
      <c r="C169" s="31"/>
      <c r="D169" s="31"/>
      <c r="E169" s="32"/>
      <c r="F169" s="32"/>
      <c r="G169" s="33"/>
      <c r="H169" s="31"/>
      <c r="I169" s="24" t="str">
        <f aca="false">IF(B169="","",YEAR(B169))</f>
        <v/>
      </c>
      <c r="J169" s="34" t="str">
        <f aca="false">IF(B169="","",IF(MONTH(B169)=1,"X",""))</f>
        <v/>
      </c>
      <c r="K169" s="34" t="str">
        <f aca="false">IF(B169="","",IF(MONTH(B169)=2,"X",""))</f>
        <v/>
      </c>
      <c r="L169" s="34" t="str">
        <f aca="false">IF(B169="","",IF(MONTH(B169)=3,"X",""))</f>
        <v/>
      </c>
      <c r="M169" s="34" t="str">
        <f aca="false">IF(B169="","",IF(MONTH(B169)=4,"X",""))</f>
        <v/>
      </c>
      <c r="N169" s="34" t="str">
        <f aca="false">IF(B169="","",IF(MONTH(B169)=5,"X",""))</f>
        <v/>
      </c>
      <c r="O169" s="34" t="str">
        <f aca="false">IF(B169="","",IF(MONTH(B169)=6,"X",""))</f>
        <v/>
      </c>
      <c r="P169" s="34" t="str">
        <f aca="false">IF(B169="","",IF(MONTH(B169)=7,"X",""))</f>
        <v/>
      </c>
      <c r="Q169" s="34" t="str">
        <f aca="false">IF(B169="","",IF(MONTH(B169)=8,"X",""))</f>
        <v/>
      </c>
      <c r="R169" s="34" t="str">
        <f aca="false">IF(B169="","",IF(MONTH(B169)=9,"X",""))</f>
        <v/>
      </c>
      <c r="S169" s="34" t="str">
        <f aca="false">IF(B169="","",IF(MONTH(B169)=10,"X",""))</f>
        <v/>
      </c>
      <c r="T169" s="34" t="str">
        <f aca="false">IF(B169="","",IF(MONTH(B169)=11,"X",""))</f>
        <v/>
      </c>
      <c r="U169" s="34" t="str">
        <f aca="false">IF(B169="","",IF(MONTH(B169)=12,"X",""))</f>
        <v/>
      </c>
      <c r="V169" s="24" t="str">
        <f aca="false">IF(E169="","",COUNTIF($E$5:$E$1000,E169))</f>
        <v/>
      </c>
      <c r="W169" s="35" t="str">
        <f aca="false">IF(E169="","",_xlfn.TEXTJOIN(" + ",TRUE(),IF(COUNTIFS($E$5:$E$1000,E169,$C$5:$C$1000,"Auditoría Interna")&gt;0,"Interna",""),IF(COUNTIFS($E$5:$E$1000,E169,$C$5:$C$1000,"Auditoría Externa")&gt;0,"Externa",""),IF(COUNTIFS($E$5:$E$1000,E169,$C$5:$C$1000,"SSF")&gt;0,"SSF",""),IF(COUNTIFS($E$5:$E$1000,E169,$C$5:$C$1000,"Comité de Supervisión")&gt;0,"Comité Sup.",""),IF(COUNTIFS($E$5:$E$1000,E169,$C$5:$C$1000,"Consejo de Administración")&gt;0,"Consejo",""),IF(COUNTIFS($E$5:$E$1000,E169,$C$5:$C$1000,"Otros")&gt;0,"Otros","")))</f>
        <v/>
      </c>
      <c r="X169" s="24" t="str">
        <f aca="false">IF(E169="","",COUNTIFS($E$5:$E$1000,E169,$AB$5:$AB$1000,AB169,$C$5:$C$1000,"&lt;&gt;"&amp;C169))</f>
        <v/>
      </c>
      <c r="Y169" s="33"/>
      <c r="Z169" s="31"/>
      <c r="AA169" s="33"/>
      <c r="AB169" s="37" t="str">
        <f aca="false">IF(B169="","",YEAR(B169)*100+MONTH(B169))</f>
        <v/>
      </c>
      <c r="AC169" s="37" t="str">
        <f aca="false">IF(AND(E169&lt;&gt;"",E169=Cruce!$C$5),COUNTIF($E$5:E169,E169),"")</f>
        <v/>
      </c>
      <c r="AD169" s="37" t="str">
        <f aca="false">IF(E169="","",C169&amp;"|"&amp;Y169&amp;"|"&amp;IF(B169="","s/f",TEXT(B169,"yyyymmdd")))</f>
        <v/>
      </c>
      <c r="AE169" s="37" t="n">
        <f aca="false">IF(E169="",0,IF(COUNTIFS($E$5:E169,E169,$AD$5:AD169,AD169)=1,1,0))</f>
        <v>0</v>
      </c>
    </row>
    <row r="170" customFormat="false" ht="15" hidden="false" customHeight="true" outlineLevel="0" collapsed="false">
      <c r="A170" s="31"/>
      <c r="B170" s="30"/>
      <c r="C170" s="31"/>
      <c r="D170" s="31"/>
      <c r="E170" s="32"/>
      <c r="F170" s="32"/>
      <c r="G170" s="33"/>
      <c r="H170" s="31"/>
      <c r="I170" s="24" t="str">
        <f aca="false">IF(B170="","",YEAR(B170))</f>
        <v/>
      </c>
      <c r="J170" s="34" t="str">
        <f aca="false">IF(B170="","",IF(MONTH(B170)=1,"X",""))</f>
        <v/>
      </c>
      <c r="K170" s="34" t="str">
        <f aca="false">IF(B170="","",IF(MONTH(B170)=2,"X",""))</f>
        <v/>
      </c>
      <c r="L170" s="34" t="str">
        <f aca="false">IF(B170="","",IF(MONTH(B170)=3,"X",""))</f>
        <v/>
      </c>
      <c r="M170" s="34" t="str">
        <f aca="false">IF(B170="","",IF(MONTH(B170)=4,"X",""))</f>
        <v/>
      </c>
      <c r="N170" s="34" t="str">
        <f aca="false">IF(B170="","",IF(MONTH(B170)=5,"X",""))</f>
        <v/>
      </c>
      <c r="O170" s="34" t="str">
        <f aca="false">IF(B170="","",IF(MONTH(B170)=6,"X",""))</f>
        <v/>
      </c>
      <c r="P170" s="34" t="str">
        <f aca="false">IF(B170="","",IF(MONTH(B170)=7,"X",""))</f>
        <v/>
      </c>
      <c r="Q170" s="34" t="str">
        <f aca="false">IF(B170="","",IF(MONTH(B170)=8,"X",""))</f>
        <v/>
      </c>
      <c r="R170" s="34" t="str">
        <f aca="false">IF(B170="","",IF(MONTH(B170)=9,"X",""))</f>
        <v/>
      </c>
      <c r="S170" s="34" t="str">
        <f aca="false">IF(B170="","",IF(MONTH(B170)=10,"X",""))</f>
        <v/>
      </c>
      <c r="T170" s="34" t="str">
        <f aca="false">IF(B170="","",IF(MONTH(B170)=11,"X",""))</f>
        <v/>
      </c>
      <c r="U170" s="34" t="str">
        <f aca="false">IF(B170="","",IF(MONTH(B170)=12,"X",""))</f>
        <v/>
      </c>
      <c r="V170" s="24" t="str">
        <f aca="false">IF(E170="","",COUNTIF($E$5:$E$1000,E170))</f>
        <v/>
      </c>
      <c r="W170" s="35" t="str">
        <f aca="false">IF(E170="","",_xlfn.TEXTJOIN(" + ",TRUE(),IF(COUNTIFS($E$5:$E$1000,E170,$C$5:$C$1000,"Auditoría Interna")&gt;0,"Interna",""),IF(COUNTIFS($E$5:$E$1000,E170,$C$5:$C$1000,"Auditoría Externa")&gt;0,"Externa",""),IF(COUNTIFS($E$5:$E$1000,E170,$C$5:$C$1000,"SSF")&gt;0,"SSF",""),IF(COUNTIFS($E$5:$E$1000,E170,$C$5:$C$1000,"Comité de Supervisión")&gt;0,"Comité Sup.",""),IF(COUNTIFS($E$5:$E$1000,E170,$C$5:$C$1000,"Consejo de Administración")&gt;0,"Consejo",""),IF(COUNTIFS($E$5:$E$1000,E170,$C$5:$C$1000,"Otros")&gt;0,"Otros","")))</f>
        <v/>
      </c>
      <c r="X170" s="24" t="str">
        <f aca="false">IF(E170="","",COUNTIFS($E$5:$E$1000,E170,$AB$5:$AB$1000,AB170,$C$5:$C$1000,"&lt;&gt;"&amp;C170))</f>
        <v/>
      </c>
      <c r="Y170" s="33"/>
      <c r="Z170" s="31"/>
      <c r="AA170" s="33"/>
      <c r="AB170" s="37" t="str">
        <f aca="false">IF(B170="","",YEAR(B170)*100+MONTH(B170))</f>
        <v/>
      </c>
      <c r="AC170" s="37" t="str">
        <f aca="false">IF(AND(E170&lt;&gt;"",E170=Cruce!$C$5),COUNTIF($E$5:E170,E170),"")</f>
        <v/>
      </c>
      <c r="AD170" s="37" t="str">
        <f aca="false">IF(E170="","",C170&amp;"|"&amp;Y170&amp;"|"&amp;IF(B170="","s/f",TEXT(B170,"yyyymmdd")))</f>
        <v/>
      </c>
      <c r="AE170" s="37" t="n">
        <f aca="false">IF(E170="",0,IF(COUNTIFS($E$5:E170,E170,$AD$5:AD170,AD170)=1,1,0))</f>
        <v>0</v>
      </c>
    </row>
    <row r="171" customFormat="false" ht="15" hidden="false" customHeight="true" outlineLevel="0" collapsed="false">
      <c r="A171" s="31"/>
      <c r="B171" s="30"/>
      <c r="C171" s="31"/>
      <c r="D171" s="31"/>
      <c r="E171" s="32"/>
      <c r="F171" s="32"/>
      <c r="G171" s="33"/>
      <c r="H171" s="31"/>
      <c r="I171" s="24" t="str">
        <f aca="false">IF(B171="","",YEAR(B171))</f>
        <v/>
      </c>
      <c r="J171" s="34" t="str">
        <f aca="false">IF(B171="","",IF(MONTH(B171)=1,"X",""))</f>
        <v/>
      </c>
      <c r="K171" s="34" t="str">
        <f aca="false">IF(B171="","",IF(MONTH(B171)=2,"X",""))</f>
        <v/>
      </c>
      <c r="L171" s="34" t="str">
        <f aca="false">IF(B171="","",IF(MONTH(B171)=3,"X",""))</f>
        <v/>
      </c>
      <c r="M171" s="34" t="str">
        <f aca="false">IF(B171="","",IF(MONTH(B171)=4,"X",""))</f>
        <v/>
      </c>
      <c r="N171" s="34" t="str">
        <f aca="false">IF(B171="","",IF(MONTH(B171)=5,"X",""))</f>
        <v/>
      </c>
      <c r="O171" s="34" t="str">
        <f aca="false">IF(B171="","",IF(MONTH(B171)=6,"X",""))</f>
        <v/>
      </c>
      <c r="P171" s="34" t="str">
        <f aca="false">IF(B171="","",IF(MONTH(B171)=7,"X",""))</f>
        <v/>
      </c>
      <c r="Q171" s="34" t="str">
        <f aca="false">IF(B171="","",IF(MONTH(B171)=8,"X",""))</f>
        <v/>
      </c>
      <c r="R171" s="34" t="str">
        <f aca="false">IF(B171="","",IF(MONTH(B171)=9,"X",""))</f>
        <v/>
      </c>
      <c r="S171" s="34" t="str">
        <f aca="false">IF(B171="","",IF(MONTH(B171)=10,"X",""))</f>
        <v/>
      </c>
      <c r="T171" s="34" t="str">
        <f aca="false">IF(B171="","",IF(MONTH(B171)=11,"X",""))</f>
        <v/>
      </c>
      <c r="U171" s="34" t="str">
        <f aca="false">IF(B171="","",IF(MONTH(B171)=12,"X",""))</f>
        <v/>
      </c>
      <c r="V171" s="24" t="str">
        <f aca="false">IF(E171="","",COUNTIF($E$5:$E$1000,E171))</f>
        <v/>
      </c>
      <c r="W171" s="35" t="str">
        <f aca="false">IF(E171="","",_xlfn.TEXTJOIN(" + ",TRUE(),IF(COUNTIFS($E$5:$E$1000,E171,$C$5:$C$1000,"Auditoría Interna")&gt;0,"Interna",""),IF(COUNTIFS($E$5:$E$1000,E171,$C$5:$C$1000,"Auditoría Externa")&gt;0,"Externa",""),IF(COUNTIFS($E$5:$E$1000,E171,$C$5:$C$1000,"SSF")&gt;0,"SSF",""),IF(COUNTIFS($E$5:$E$1000,E171,$C$5:$C$1000,"Comité de Supervisión")&gt;0,"Comité Sup.",""),IF(COUNTIFS($E$5:$E$1000,E171,$C$5:$C$1000,"Consejo de Administración")&gt;0,"Consejo",""),IF(COUNTIFS($E$5:$E$1000,E171,$C$5:$C$1000,"Otros")&gt;0,"Otros","")))</f>
        <v/>
      </c>
      <c r="X171" s="24" t="str">
        <f aca="false">IF(E171="","",COUNTIFS($E$5:$E$1000,E171,$AB$5:$AB$1000,AB171,$C$5:$C$1000,"&lt;&gt;"&amp;C171))</f>
        <v/>
      </c>
      <c r="Y171" s="33"/>
      <c r="Z171" s="31"/>
      <c r="AA171" s="33"/>
      <c r="AB171" s="37" t="str">
        <f aca="false">IF(B171="","",YEAR(B171)*100+MONTH(B171))</f>
        <v/>
      </c>
      <c r="AC171" s="37" t="str">
        <f aca="false">IF(AND(E171&lt;&gt;"",E171=Cruce!$C$5),COUNTIF($E$5:E171,E171),"")</f>
        <v/>
      </c>
      <c r="AD171" s="37" t="str">
        <f aca="false">IF(E171="","",C171&amp;"|"&amp;Y171&amp;"|"&amp;IF(B171="","s/f",TEXT(B171,"yyyymmdd")))</f>
        <v/>
      </c>
      <c r="AE171" s="37" t="n">
        <f aca="false">IF(E171="",0,IF(COUNTIFS($E$5:E171,E171,$AD$5:AD171,AD171)=1,1,0))</f>
        <v>0</v>
      </c>
    </row>
    <row r="172" customFormat="false" ht="15" hidden="false" customHeight="true" outlineLevel="0" collapsed="false">
      <c r="A172" s="31"/>
      <c r="B172" s="30"/>
      <c r="C172" s="31"/>
      <c r="D172" s="31"/>
      <c r="E172" s="32"/>
      <c r="F172" s="32"/>
      <c r="G172" s="33"/>
      <c r="H172" s="31"/>
      <c r="I172" s="24" t="str">
        <f aca="false">IF(B172="","",YEAR(B172))</f>
        <v/>
      </c>
      <c r="J172" s="34" t="str">
        <f aca="false">IF(B172="","",IF(MONTH(B172)=1,"X",""))</f>
        <v/>
      </c>
      <c r="K172" s="34" t="str">
        <f aca="false">IF(B172="","",IF(MONTH(B172)=2,"X",""))</f>
        <v/>
      </c>
      <c r="L172" s="34" t="str">
        <f aca="false">IF(B172="","",IF(MONTH(B172)=3,"X",""))</f>
        <v/>
      </c>
      <c r="M172" s="34" t="str">
        <f aca="false">IF(B172="","",IF(MONTH(B172)=4,"X",""))</f>
        <v/>
      </c>
      <c r="N172" s="34" t="str">
        <f aca="false">IF(B172="","",IF(MONTH(B172)=5,"X",""))</f>
        <v/>
      </c>
      <c r="O172" s="34" t="str">
        <f aca="false">IF(B172="","",IF(MONTH(B172)=6,"X",""))</f>
        <v/>
      </c>
      <c r="P172" s="34" t="str">
        <f aca="false">IF(B172="","",IF(MONTH(B172)=7,"X",""))</f>
        <v/>
      </c>
      <c r="Q172" s="34" t="str">
        <f aca="false">IF(B172="","",IF(MONTH(B172)=8,"X",""))</f>
        <v/>
      </c>
      <c r="R172" s="34" t="str">
        <f aca="false">IF(B172="","",IF(MONTH(B172)=9,"X",""))</f>
        <v/>
      </c>
      <c r="S172" s="34" t="str">
        <f aca="false">IF(B172="","",IF(MONTH(B172)=10,"X",""))</f>
        <v/>
      </c>
      <c r="T172" s="34" t="str">
        <f aca="false">IF(B172="","",IF(MONTH(B172)=11,"X",""))</f>
        <v/>
      </c>
      <c r="U172" s="34" t="str">
        <f aca="false">IF(B172="","",IF(MONTH(B172)=12,"X",""))</f>
        <v/>
      </c>
      <c r="V172" s="24" t="str">
        <f aca="false">IF(E172="","",COUNTIF($E$5:$E$1000,E172))</f>
        <v/>
      </c>
      <c r="W172" s="35" t="str">
        <f aca="false">IF(E172="","",_xlfn.TEXTJOIN(" + ",TRUE(),IF(COUNTIFS($E$5:$E$1000,E172,$C$5:$C$1000,"Auditoría Interna")&gt;0,"Interna",""),IF(COUNTIFS($E$5:$E$1000,E172,$C$5:$C$1000,"Auditoría Externa")&gt;0,"Externa",""),IF(COUNTIFS($E$5:$E$1000,E172,$C$5:$C$1000,"SSF")&gt;0,"SSF",""),IF(COUNTIFS($E$5:$E$1000,E172,$C$5:$C$1000,"Comité de Supervisión")&gt;0,"Comité Sup.",""),IF(COUNTIFS($E$5:$E$1000,E172,$C$5:$C$1000,"Consejo de Administración")&gt;0,"Consejo",""),IF(COUNTIFS($E$5:$E$1000,E172,$C$5:$C$1000,"Otros")&gt;0,"Otros","")))</f>
        <v/>
      </c>
      <c r="X172" s="24" t="str">
        <f aca="false">IF(E172="","",COUNTIFS($E$5:$E$1000,E172,$AB$5:$AB$1000,AB172,$C$5:$C$1000,"&lt;&gt;"&amp;C172))</f>
        <v/>
      </c>
      <c r="Y172" s="33"/>
      <c r="Z172" s="31"/>
      <c r="AA172" s="33"/>
      <c r="AB172" s="37" t="str">
        <f aca="false">IF(B172="","",YEAR(B172)*100+MONTH(B172))</f>
        <v/>
      </c>
      <c r="AC172" s="37" t="str">
        <f aca="false">IF(AND(E172&lt;&gt;"",E172=Cruce!$C$5),COUNTIF($E$5:E172,E172),"")</f>
        <v/>
      </c>
      <c r="AD172" s="37" t="str">
        <f aca="false">IF(E172="","",C172&amp;"|"&amp;Y172&amp;"|"&amp;IF(B172="","s/f",TEXT(B172,"yyyymmdd")))</f>
        <v/>
      </c>
      <c r="AE172" s="37" t="n">
        <f aca="false">IF(E172="",0,IF(COUNTIFS($E$5:E172,E172,$AD$5:AD172,AD172)=1,1,0))</f>
        <v>0</v>
      </c>
    </row>
    <row r="173" customFormat="false" ht="15" hidden="false" customHeight="true" outlineLevel="0" collapsed="false">
      <c r="A173" s="31"/>
      <c r="B173" s="30"/>
      <c r="C173" s="31"/>
      <c r="D173" s="31"/>
      <c r="E173" s="32"/>
      <c r="F173" s="32"/>
      <c r="G173" s="33"/>
      <c r="H173" s="31"/>
      <c r="I173" s="24" t="str">
        <f aca="false">IF(B173="","",YEAR(B173))</f>
        <v/>
      </c>
      <c r="J173" s="34" t="str">
        <f aca="false">IF(B173="","",IF(MONTH(B173)=1,"X",""))</f>
        <v/>
      </c>
      <c r="K173" s="34" t="str">
        <f aca="false">IF(B173="","",IF(MONTH(B173)=2,"X",""))</f>
        <v/>
      </c>
      <c r="L173" s="34" t="str">
        <f aca="false">IF(B173="","",IF(MONTH(B173)=3,"X",""))</f>
        <v/>
      </c>
      <c r="M173" s="34" t="str">
        <f aca="false">IF(B173="","",IF(MONTH(B173)=4,"X",""))</f>
        <v/>
      </c>
      <c r="N173" s="34" t="str">
        <f aca="false">IF(B173="","",IF(MONTH(B173)=5,"X",""))</f>
        <v/>
      </c>
      <c r="O173" s="34" t="str">
        <f aca="false">IF(B173="","",IF(MONTH(B173)=6,"X",""))</f>
        <v/>
      </c>
      <c r="P173" s="34" t="str">
        <f aca="false">IF(B173="","",IF(MONTH(B173)=7,"X",""))</f>
        <v/>
      </c>
      <c r="Q173" s="34" t="str">
        <f aca="false">IF(B173="","",IF(MONTH(B173)=8,"X",""))</f>
        <v/>
      </c>
      <c r="R173" s="34" t="str">
        <f aca="false">IF(B173="","",IF(MONTH(B173)=9,"X",""))</f>
        <v/>
      </c>
      <c r="S173" s="34" t="str">
        <f aca="false">IF(B173="","",IF(MONTH(B173)=10,"X",""))</f>
        <v/>
      </c>
      <c r="T173" s="34" t="str">
        <f aca="false">IF(B173="","",IF(MONTH(B173)=11,"X",""))</f>
        <v/>
      </c>
      <c r="U173" s="34" t="str">
        <f aca="false">IF(B173="","",IF(MONTH(B173)=12,"X",""))</f>
        <v/>
      </c>
      <c r="V173" s="24" t="str">
        <f aca="false">IF(E173="","",COUNTIF($E$5:$E$1000,E173))</f>
        <v/>
      </c>
      <c r="W173" s="35" t="str">
        <f aca="false">IF(E173="","",_xlfn.TEXTJOIN(" + ",TRUE(),IF(COUNTIFS($E$5:$E$1000,E173,$C$5:$C$1000,"Auditoría Interna")&gt;0,"Interna",""),IF(COUNTIFS($E$5:$E$1000,E173,$C$5:$C$1000,"Auditoría Externa")&gt;0,"Externa",""),IF(COUNTIFS($E$5:$E$1000,E173,$C$5:$C$1000,"SSF")&gt;0,"SSF",""),IF(COUNTIFS($E$5:$E$1000,E173,$C$5:$C$1000,"Comité de Supervisión")&gt;0,"Comité Sup.",""),IF(COUNTIFS($E$5:$E$1000,E173,$C$5:$C$1000,"Consejo de Administración")&gt;0,"Consejo",""),IF(COUNTIFS($E$5:$E$1000,E173,$C$5:$C$1000,"Otros")&gt;0,"Otros","")))</f>
        <v/>
      </c>
      <c r="X173" s="24" t="str">
        <f aca="false">IF(E173="","",COUNTIFS($E$5:$E$1000,E173,$AB$5:$AB$1000,AB173,$C$5:$C$1000,"&lt;&gt;"&amp;C173))</f>
        <v/>
      </c>
      <c r="Y173" s="33"/>
      <c r="Z173" s="31"/>
      <c r="AA173" s="33"/>
      <c r="AB173" s="37" t="str">
        <f aca="false">IF(B173="","",YEAR(B173)*100+MONTH(B173))</f>
        <v/>
      </c>
      <c r="AC173" s="37" t="str">
        <f aca="false">IF(AND(E173&lt;&gt;"",E173=Cruce!$C$5),COUNTIF($E$5:E173,E173),"")</f>
        <v/>
      </c>
      <c r="AD173" s="37" t="str">
        <f aca="false">IF(E173="","",C173&amp;"|"&amp;Y173&amp;"|"&amp;IF(B173="","s/f",TEXT(B173,"yyyymmdd")))</f>
        <v/>
      </c>
      <c r="AE173" s="37" t="n">
        <f aca="false">IF(E173="",0,IF(COUNTIFS($E$5:E173,E173,$AD$5:AD173,AD173)=1,1,0))</f>
        <v>0</v>
      </c>
    </row>
    <row r="174" customFormat="false" ht="15" hidden="false" customHeight="true" outlineLevel="0" collapsed="false">
      <c r="A174" s="31"/>
      <c r="B174" s="30"/>
      <c r="C174" s="31"/>
      <c r="D174" s="31"/>
      <c r="E174" s="32"/>
      <c r="F174" s="32"/>
      <c r="G174" s="33"/>
      <c r="H174" s="31"/>
      <c r="I174" s="24" t="str">
        <f aca="false">IF(B174="","",YEAR(B174))</f>
        <v/>
      </c>
      <c r="J174" s="34" t="str">
        <f aca="false">IF(B174="","",IF(MONTH(B174)=1,"X",""))</f>
        <v/>
      </c>
      <c r="K174" s="34" t="str">
        <f aca="false">IF(B174="","",IF(MONTH(B174)=2,"X",""))</f>
        <v/>
      </c>
      <c r="L174" s="34" t="str">
        <f aca="false">IF(B174="","",IF(MONTH(B174)=3,"X",""))</f>
        <v/>
      </c>
      <c r="M174" s="34" t="str">
        <f aca="false">IF(B174="","",IF(MONTH(B174)=4,"X",""))</f>
        <v/>
      </c>
      <c r="N174" s="34" t="str">
        <f aca="false">IF(B174="","",IF(MONTH(B174)=5,"X",""))</f>
        <v/>
      </c>
      <c r="O174" s="34" t="str">
        <f aca="false">IF(B174="","",IF(MONTH(B174)=6,"X",""))</f>
        <v/>
      </c>
      <c r="P174" s="34" t="str">
        <f aca="false">IF(B174="","",IF(MONTH(B174)=7,"X",""))</f>
        <v/>
      </c>
      <c r="Q174" s="34" t="str">
        <f aca="false">IF(B174="","",IF(MONTH(B174)=8,"X",""))</f>
        <v/>
      </c>
      <c r="R174" s="34" t="str">
        <f aca="false">IF(B174="","",IF(MONTH(B174)=9,"X",""))</f>
        <v/>
      </c>
      <c r="S174" s="34" t="str">
        <f aca="false">IF(B174="","",IF(MONTH(B174)=10,"X",""))</f>
        <v/>
      </c>
      <c r="T174" s="34" t="str">
        <f aca="false">IF(B174="","",IF(MONTH(B174)=11,"X",""))</f>
        <v/>
      </c>
      <c r="U174" s="34" t="str">
        <f aca="false">IF(B174="","",IF(MONTH(B174)=12,"X",""))</f>
        <v/>
      </c>
      <c r="V174" s="24" t="str">
        <f aca="false">IF(E174="","",COUNTIF($E$5:$E$1000,E174))</f>
        <v/>
      </c>
      <c r="W174" s="35" t="str">
        <f aca="false">IF(E174="","",_xlfn.TEXTJOIN(" + ",TRUE(),IF(COUNTIFS($E$5:$E$1000,E174,$C$5:$C$1000,"Auditoría Interna")&gt;0,"Interna",""),IF(COUNTIFS($E$5:$E$1000,E174,$C$5:$C$1000,"Auditoría Externa")&gt;0,"Externa",""),IF(COUNTIFS($E$5:$E$1000,E174,$C$5:$C$1000,"SSF")&gt;0,"SSF",""),IF(COUNTIFS($E$5:$E$1000,E174,$C$5:$C$1000,"Comité de Supervisión")&gt;0,"Comité Sup.",""),IF(COUNTIFS($E$5:$E$1000,E174,$C$5:$C$1000,"Consejo de Administración")&gt;0,"Consejo",""),IF(COUNTIFS($E$5:$E$1000,E174,$C$5:$C$1000,"Otros")&gt;0,"Otros","")))</f>
        <v/>
      </c>
      <c r="X174" s="24" t="str">
        <f aca="false">IF(E174="","",COUNTIFS($E$5:$E$1000,E174,$AB$5:$AB$1000,AB174,$C$5:$C$1000,"&lt;&gt;"&amp;C174))</f>
        <v/>
      </c>
      <c r="Y174" s="33"/>
      <c r="Z174" s="31"/>
      <c r="AA174" s="33"/>
      <c r="AB174" s="37" t="str">
        <f aca="false">IF(B174="","",YEAR(B174)*100+MONTH(B174))</f>
        <v/>
      </c>
      <c r="AC174" s="37" t="str">
        <f aca="false">IF(AND(E174&lt;&gt;"",E174=Cruce!$C$5),COUNTIF($E$5:E174,E174),"")</f>
        <v/>
      </c>
      <c r="AD174" s="37" t="str">
        <f aca="false">IF(E174="","",C174&amp;"|"&amp;Y174&amp;"|"&amp;IF(B174="","s/f",TEXT(B174,"yyyymmdd")))</f>
        <v/>
      </c>
      <c r="AE174" s="37" t="n">
        <f aca="false">IF(E174="",0,IF(COUNTIFS($E$5:E174,E174,$AD$5:AD174,AD174)=1,1,0))</f>
        <v>0</v>
      </c>
    </row>
    <row r="175" customFormat="false" ht="15" hidden="false" customHeight="true" outlineLevel="0" collapsed="false">
      <c r="A175" s="31"/>
      <c r="B175" s="30"/>
      <c r="C175" s="31"/>
      <c r="D175" s="31"/>
      <c r="E175" s="32"/>
      <c r="F175" s="32"/>
      <c r="G175" s="33"/>
      <c r="H175" s="31"/>
      <c r="I175" s="24" t="str">
        <f aca="false">IF(B175="","",YEAR(B175))</f>
        <v/>
      </c>
      <c r="J175" s="34" t="str">
        <f aca="false">IF(B175="","",IF(MONTH(B175)=1,"X",""))</f>
        <v/>
      </c>
      <c r="K175" s="34" t="str">
        <f aca="false">IF(B175="","",IF(MONTH(B175)=2,"X",""))</f>
        <v/>
      </c>
      <c r="L175" s="34" t="str">
        <f aca="false">IF(B175="","",IF(MONTH(B175)=3,"X",""))</f>
        <v/>
      </c>
      <c r="M175" s="34" t="str">
        <f aca="false">IF(B175="","",IF(MONTH(B175)=4,"X",""))</f>
        <v/>
      </c>
      <c r="N175" s="34" t="str">
        <f aca="false">IF(B175="","",IF(MONTH(B175)=5,"X",""))</f>
        <v/>
      </c>
      <c r="O175" s="34" t="str">
        <f aca="false">IF(B175="","",IF(MONTH(B175)=6,"X",""))</f>
        <v/>
      </c>
      <c r="P175" s="34" t="str">
        <f aca="false">IF(B175="","",IF(MONTH(B175)=7,"X",""))</f>
        <v/>
      </c>
      <c r="Q175" s="34" t="str">
        <f aca="false">IF(B175="","",IF(MONTH(B175)=8,"X",""))</f>
        <v/>
      </c>
      <c r="R175" s="34" t="str">
        <f aca="false">IF(B175="","",IF(MONTH(B175)=9,"X",""))</f>
        <v/>
      </c>
      <c r="S175" s="34" t="str">
        <f aca="false">IF(B175="","",IF(MONTH(B175)=10,"X",""))</f>
        <v/>
      </c>
      <c r="T175" s="34" t="str">
        <f aca="false">IF(B175="","",IF(MONTH(B175)=11,"X",""))</f>
        <v/>
      </c>
      <c r="U175" s="34" t="str">
        <f aca="false">IF(B175="","",IF(MONTH(B175)=12,"X",""))</f>
        <v/>
      </c>
      <c r="V175" s="24" t="str">
        <f aca="false">IF(E175="","",COUNTIF($E$5:$E$1000,E175))</f>
        <v/>
      </c>
      <c r="W175" s="35" t="str">
        <f aca="false">IF(E175="","",_xlfn.TEXTJOIN(" + ",TRUE(),IF(COUNTIFS($E$5:$E$1000,E175,$C$5:$C$1000,"Auditoría Interna")&gt;0,"Interna",""),IF(COUNTIFS($E$5:$E$1000,E175,$C$5:$C$1000,"Auditoría Externa")&gt;0,"Externa",""),IF(COUNTIFS($E$5:$E$1000,E175,$C$5:$C$1000,"SSF")&gt;0,"SSF",""),IF(COUNTIFS($E$5:$E$1000,E175,$C$5:$C$1000,"Comité de Supervisión")&gt;0,"Comité Sup.",""),IF(COUNTIFS($E$5:$E$1000,E175,$C$5:$C$1000,"Consejo de Administración")&gt;0,"Consejo",""),IF(COUNTIFS($E$5:$E$1000,E175,$C$5:$C$1000,"Otros")&gt;0,"Otros","")))</f>
        <v/>
      </c>
      <c r="X175" s="24" t="str">
        <f aca="false">IF(E175="","",COUNTIFS($E$5:$E$1000,E175,$AB$5:$AB$1000,AB175,$C$5:$C$1000,"&lt;&gt;"&amp;C175))</f>
        <v/>
      </c>
      <c r="Y175" s="33"/>
      <c r="Z175" s="31"/>
      <c r="AA175" s="33"/>
      <c r="AB175" s="37" t="str">
        <f aca="false">IF(B175="","",YEAR(B175)*100+MONTH(B175))</f>
        <v/>
      </c>
      <c r="AC175" s="37" t="str">
        <f aca="false">IF(AND(E175&lt;&gt;"",E175=Cruce!$C$5),COUNTIF($E$5:E175,E175),"")</f>
        <v/>
      </c>
      <c r="AD175" s="37" t="str">
        <f aca="false">IF(E175="","",C175&amp;"|"&amp;Y175&amp;"|"&amp;IF(B175="","s/f",TEXT(B175,"yyyymmdd")))</f>
        <v/>
      </c>
      <c r="AE175" s="37" t="n">
        <f aca="false">IF(E175="",0,IF(COUNTIFS($E$5:E175,E175,$AD$5:AD175,AD175)=1,1,0))</f>
        <v>0</v>
      </c>
    </row>
    <row r="176" customFormat="false" ht="15" hidden="false" customHeight="true" outlineLevel="0" collapsed="false">
      <c r="A176" s="31"/>
      <c r="B176" s="30"/>
      <c r="C176" s="31"/>
      <c r="D176" s="31"/>
      <c r="E176" s="32"/>
      <c r="F176" s="32"/>
      <c r="G176" s="33"/>
      <c r="H176" s="31"/>
      <c r="I176" s="24" t="str">
        <f aca="false">IF(B176="","",YEAR(B176))</f>
        <v/>
      </c>
      <c r="J176" s="34" t="str">
        <f aca="false">IF(B176="","",IF(MONTH(B176)=1,"X",""))</f>
        <v/>
      </c>
      <c r="K176" s="34" t="str">
        <f aca="false">IF(B176="","",IF(MONTH(B176)=2,"X",""))</f>
        <v/>
      </c>
      <c r="L176" s="34" t="str">
        <f aca="false">IF(B176="","",IF(MONTH(B176)=3,"X",""))</f>
        <v/>
      </c>
      <c r="M176" s="34" t="str">
        <f aca="false">IF(B176="","",IF(MONTH(B176)=4,"X",""))</f>
        <v/>
      </c>
      <c r="N176" s="34" t="str">
        <f aca="false">IF(B176="","",IF(MONTH(B176)=5,"X",""))</f>
        <v/>
      </c>
      <c r="O176" s="34" t="str">
        <f aca="false">IF(B176="","",IF(MONTH(B176)=6,"X",""))</f>
        <v/>
      </c>
      <c r="P176" s="34" t="str">
        <f aca="false">IF(B176="","",IF(MONTH(B176)=7,"X",""))</f>
        <v/>
      </c>
      <c r="Q176" s="34" t="str">
        <f aca="false">IF(B176="","",IF(MONTH(B176)=8,"X",""))</f>
        <v/>
      </c>
      <c r="R176" s="34" t="str">
        <f aca="false">IF(B176="","",IF(MONTH(B176)=9,"X",""))</f>
        <v/>
      </c>
      <c r="S176" s="34" t="str">
        <f aca="false">IF(B176="","",IF(MONTH(B176)=10,"X",""))</f>
        <v/>
      </c>
      <c r="T176" s="34" t="str">
        <f aca="false">IF(B176="","",IF(MONTH(B176)=11,"X",""))</f>
        <v/>
      </c>
      <c r="U176" s="34" t="str">
        <f aca="false">IF(B176="","",IF(MONTH(B176)=12,"X",""))</f>
        <v/>
      </c>
      <c r="V176" s="24" t="str">
        <f aca="false">IF(E176="","",COUNTIF($E$5:$E$1000,E176))</f>
        <v/>
      </c>
      <c r="W176" s="35" t="str">
        <f aca="false">IF(E176="","",_xlfn.TEXTJOIN(" + ",TRUE(),IF(COUNTIFS($E$5:$E$1000,E176,$C$5:$C$1000,"Auditoría Interna")&gt;0,"Interna",""),IF(COUNTIFS($E$5:$E$1000,E176,$C$5:$C$1000,"Auditoría Externa")&gt;0,"Externa",""),IF(COUNTIFS($E$5:$E$1000,E176,$C$5:$C$1000,"SSF")&gt;0,"SSF",""),IF(COUNTIFS($E$5:$E$1000,E176,$C$5:$C$1000,"Comité de Supervisión")&gt;0,"Comité Sup.",""),IF(COUNTIFS($E$5:$E$1000,E176,$C$5:$C$1000,"Consejo de Administración")&gt;0,"Consejo",""),IF(COUNTIFS($E$5:$E$1000,E176,$C$5:$C$1000,"Otros")&gt;0,"Otros","")))</f>
        <v/>
      </c>
      <c r="X176" s="24" t="str">
        <f aca="false">IF(E176="","",COUNTIFS($E$5:$E$1000,E176,$AB$5:$AB$1000,AB176,$C$5:$C$1000,"&lt;&gt;"&amp;C176))</f>
        <v/>
      </c>
      <c r="Y176" s="33"/>
      <c r="Z176" s="31"/>
      <c r="AA176" s="33"/>
      <c r="AB176" s="37" t="str">
        <f aca="false">IF(B176="","",YEAR(B176)*100+MONTH(B176))</f>
        <v/>
      </c>
      <c r="AC176" s="37" t="str">
        <f aca="false">IF(AND(E176&lt;&gt;"",E176=Cruce!$C$5),COUNTIF($E$5:E176,E176),"")</f>
        <v/>
      </c>
      <c r="AD176" s="37" t="str">
        <f aca="false">IF(E176="","",C176&amp;"|"&amp;Y176&amp;"|"&amp;IF(B176="","s/f",TEXT(B176,"yyyymmdd")))</f>
        <v/>
      </c>
      <c r="AE176" s="37" t="n">
        <f aca="false">IF(E176="",0,IF(COUNTIFS($E$5:E176,E176,$AD$5:AD176,AD176)=1,1,0))</f>
        <v>0</v>
      </c>
    </row>
    <row r="177" customFormat="false" ht="15" hidden="false" customHeight="true" outlineLevel="0" collapsed="false">
      <c r="A177" s="31"/>
      <c r="B177" s="30"/>
      <c r="C177" s="31"/>
      <c r="D177" s="31"/>
      <c r="E177" s="32"/>
      <c r="F177" s="32"/>
      <c r="G177" s="33"/>
      <c r="H177" s="31"/>
      <c r="I177" s="24" t="str">
        <f aca="false">IF(B177="","",YEAR(B177))</f>
        <v/>
      </c>
      <c r="J177" s="34" t="str">
        <f aca="false">IF(B177="","",IF(MONTH(B177)=1,"X",""))</f>
        <v/>
      </c>
      <c r="K177" s="34" t="str">
        <f aca="false">IF(B177="","",IF(MONTH(B177)=2,"X",""))</f>
        <v/>
      </c>
      <c r="L177" s="34" t="str">
        <f aca="false">IF(B177="","",IF(MONTH(B177)=3,"X",""))</f>
        <v/>
      </c>
      <c r="M177" s="34" t="str">
        <f aca="false">IF(B177="","",IF(MONTH(B177)=4,"X",""))</f>
        <v/>
      </c>
      <c r="N177" s="34" t="str">
        <f aca="false">IF(B177="","",IF(MONTH(B177)=5,"X",""))</f>
        <v/>
      </c>
      <c r="O177" s="34" t="str">
        <f aca="false">IF(B177="","",IF(MONTH(B177)=6,"X",""))</f>
        <v/>
      </c>
      <c r="P177" s="34" t="str">
        <f aca="false">IF(B177="","",IF(MONTH(B177)=7,"X",""))</f>
        <v/>
      </c>
      <c r="Q177" s="34" t="str">
        <f aca="false">IF(B177="","",IF(MONTH(B177)=8,"X",""))</f>
        <v/>
      </c>
      <c r="R177" s="34" t="str">
        <f aca="false">IF(B177="","",IF(MONTH(B177)=9,"X",""))</f>
        <v/>
      </c>
      <c r="S177" s="34" t="str">
        <f aca="false">IF(B177="","",IF(MONTH(B177)=10,"X",""))</f>
        <v/>
      </c>
      <c r="T177" s="34" t="str">
        <f aca="false">IF(B177="","",IF(MONTH(B177)=11,"X",""))</f>
        <v/>
      </c>
      <c r="U177" s="34" t="str">
        <f aca="false">IF(B177="","",IF(MONTH(B177)=12,"X",""))</f>
        <v/>
      </c>
      <c r="V177" s="24" t="str">
        <f aca="false">IF(E177="","",COUNTIF($E$5:$E$1000,E177))</f>
        <v/>
      </c>
      <c r="W177" s="35" t="str">
        <f aca="false">IF(E177="","",_xlfn.TEXTJOIN(" + ",TRUE(),IF(COUNTIFS($E$5:$E$1000,E177,$C$5:$C$1000,"Auditoría Interna")&gt;0,"Interna",""),IF(COUNTIFS($E$5:$E$1000,E177,$C$5:$C$1000,"Auditoría Externa")&gt;0,"Externa",""),IF(COUNTIFS($E$5:$E$1000,E177,$C$5:$C$1000,"SSF")&gt;0,"SSF",""),IF(COUNTIFS($E$5:$E$1000,E177,$C$5:$C$1000,"Comité de Supervisión")&gt;0,"Comité Sup.",""),IF(COUNTIFS($E$5:$E$1000,E177,$C$5:$C$1000,"Consejo de Administración")&gt;0,"Consejo",""),IF(COUNTIFS($E$5:$E$1000,E177,$C$5:$C$1000,"Otros")&gt;0,"Otros","")))</f>
        <v/>
      </c>
      <c r="X177" s="24" t="str">
        <f aca="false">IF(E177="","",COUNTIFS($E$5:$E$1000,E177,$AB$5:$AB$1000,AB177,$C$5:$C$1000,"&lt;&gt;"&amp;C177))</f>
        <v/>
      </c>
      <c r="Y177" s="33"/>
      <c r="Z177" s="31"/>
      <c r="AA177" s="33"/>
      <c r="AB177" s="37" t="str">
        <f aca="false">IF(B177="","",YEAR(B177)*100+MONTH(B177))</f>
        <v/>
      </c>
      <c r="AC177" s="37" t="str">
        <f aca="false">IF(AND(E177&lt;&gt;"",E177=Cruce!$C$5),COUNTIF($E$5:E177,E177),"")</f>
        <v/>
      </c>
      <c r="AD177" s="37" t="str">
        <f aca="false">IF(E177="","",C177&amp;"|"&amp;Y177&amp;"|"&amp;IF(B177="","s/f",TEXT(B177,"yyyymmdd")))</f>
        <v/>
      </c>
      <c r="AE177" s="37" t="n">
        <f aca="false">IF(E177="",0,IF(COUNTIFS($E$5:E177,E177,$AD$5:AD177,AD177)=1,1,0))</f>
        <v>0</v>
      </c>
    </row>
    <row r="178" customFormat="false" ht="15" hidden="false" customHeight="true" outlineLevel="0" collapsed="false">
      <c r="A178" s="31"/>
      <c r="B178" s="30"/>
      <c r="C178" s="31"/>
      <c r="D178" s="31"/>
      <c r="E178" s="32"/>
      <c r="F178" s="32"/>
      <c r="G178" s="33"/>
      <c r="H178" s="31"/>
      <c r="I178" s="24" t="str">
        <f aca="false">IF(B178="","",YEAR(B178))</f>
        <v/>
      </c>
      <c r="J178" s="34" t="str">
        <f aca="false">IF(B178="","",IF(MONTH(B178)=1,"X",""))</f>
        <v/>
      </c>
      <c r="K178" s="34" t="str">
        <f aca="false">IF(B178="","",IF(MONTH(B178)=2,"X",""))</f>
        <v/>
      </c>
      <c r="L178" s="34" t="str">
        <f aca="false">IF(B178="","",IF(MONTH(B178)=3,"X",""))</f>
        <v/>
      </c>
      <c r="M178" s="34" t="str">
        <f aca="false">IF(B178="","",IF(MONTH(B178)=4,"X",""))</f>
        <v/>
      </c>
      <c r="N178" s="34" t="str">
        <f aca="false">IF(B178="","",IF(MONTH(B178)=5,"X",""))</f>
        <v/>
      </c>
      <c r="O178" s="34" t="str">
        <f aca="false">IF(B178="","",IF(MONTH(B178)=6,"X",""))</f>
        <v/>
      </c>
      <c r="P178" s="34" t="str">
        <f aca="false">IF(B178="","",IF(MONTH(B178)=7,"X",""))</f>
        <v/>
      </c>
      <c r="Q178" s="34" t="str">
        <f aca="false">IF(B178="","",IF(MONTH(B178)=8,"X",""))</f>
        <v/>
      </c>
      <c r="R178" s="34" t="str">
        <f aca="false">IF(B178="","",IF(MONTH(B178)=9,"X",""))</f>
        <v/>
      </c>
      <c r="S178" s="34" t="str">
        <f aca="false">IF(B178="","",IF(MONTH(B178)=10,"X",""))</f>
        <v/>
      </c>
      <c r="T178" s="34" t="str">
        <f aca="false">IF(B178="","",IF(MONTH(B178)=11,"X",""))</f>
        <v/>
      </c>
      <c r="U178" s="34" t="str">
        <f aca="false">IF(B178="","",IF(MONTH(B178)=12,"X",""))</f>
        <v/>
      </c>
      <c r="V178" s="24" t="str">
        <f aca="false">IF(E178="","",COUNTIF($E$5:$E$1000,E178))</f>
        <v/>
      </c>
      <c r="W178" s="35" t="str">
        <f aca="false">IF(E178="","",_xlfn.TEXTJOIN(" + ",TRUE(),IF(COUNTIFS($E$5:$E$1000,E178,$C$5:$C$1000,"Auditoría Interna")&gt;0,"Interna",""),IF(COUNTIFS($E$5:$E$1000,E178,$C$5:$C$1000,"Auditoría Externa")&gt;0,"Externa",""),IF(COUNTIFS($E$5:$E$1000,E178,$C$5:$C$1000,"SSF")&gt;0,"SSF",""),IF(COUNTIFS($E$5:$E$1000,E178,$C$5:$C$1000,"Comité de Supervisión")&gt;0,"Comité Sup.",""),IF(COUNTIFS($E$5:$E$1000,E178,$C$5:$C$1000,"Consejo de Administración")&gt;0,"Consejo",""),IF(COUNTIFS($E$5:$E$1000,E178,$C$5:$C$1000,"Otros")&gt;0,"Otros","")))</f>
        <v/>
      </c>
      <c r="X178" s="24" t="str">
        <f aca="false">IF(E178="","",COUNTIFS($E$5:$E$1000,E178,$AB$5:$AB$1000,AB178,$C$5:$C$1000,"&lt;&gt;"&amp;C178))</f>
        <v/>
      </c>
      <c r="Y178" s="33"/>
      <c r="Z178" s="31"/>
      <c r="AA178" s="33"/>
      <c r="AB178" s="37" t="str">
        <f aca="false">IF(B178="","",YEAR(B178)*100+MONTH(B178))</f>
        <v/>
      </c>
      <c r="AC178" s="37" t="str">
        <f aca="false">IF(AND(E178&lt;&gt;"",E178=Cruce!$C$5),COUNTIF($E$5:E178,E178),"")</f>
        <v/>
      </c>
      <c r="AD178" s="37" t="str">
        <f aca="false">IF(E178="","",C178&amp;"|"&amp;Y178&amp;"|"&amp;IF(B178="","s/f",TEXT(B178,"yyyymmdd")))</f>
        <v/>
      </c>
      <c r="AE178" s="37" t="n">
        <f aca="false">IF(E178="",0,IF(COUNTIFS($E$5:E178,E178,$AD$5:AD178,AD178)=1,1,0))</f>
        <v>0</v>
      </c>
    </row>
    <row r="179" customFormat="false" ht="15" hidden="false" customHeight="true" outlineLevel="0" collapsed="false">
      <c r="A179" s="31"/>
      <c r="B179" s="30"/>
      <c r="C179" s="31"/>
      <c r="D179" s="31"/>
      <c r="E179" s="32"/>
      <c r="F179" s="32"/>
      <c r="G179" s="33"/>
      <c r="H179" s="31"/>
      <c r="I179" s="24" t="str">
        <f aca="false">IF(B179="","",YEAR(B179))</f>
        <v/>
      </c>
      <c r="J179" s="34" t="str">
        <f aca="false">IF(B179="","",IF(MONTH(B179)=1,"X",""))</f>
        <v/>
      </c>
      <c r="K179" s="34" t="str">
        <f aca="false">IF(B179="","",IF(MONTH(B179)=2,"X",""))</f>
        <v/>
      </c>
      <c r="L179" s="34" t="str">
        <f aca="false">IF(B179="","",IF(MONTH(B179)=3,"X",""))</f>
        <v/>
      </c>
      <c r="M179" s="34" t="str">
        <f aca="false">IF(B179="","",IF(MONTH(B179)=4,"X",""))</f>
        <v/>
      </c>
      <c r="N179" s="34" t="str">
        <f aca="false">IF(B179="","",IF(MONTH(B179)=5,"X",""))</f>
        <v/>
      </c>
      <c r="O179" s="34" t="str">
        <f aca="false">IF(B179="","",IF(MONTH(B179)=6,"X",""))</f>
        <v/>
      </c>
      <c r="P179" s="34" t="str">
        <f aca="false">IF(B179="","",IF(MONTH(B179)=7,"X",""))</f>
        <v/>
      </c>
      <c r="Q179" s="34" t="str">
        <f aca="false">IF(B179="","",IF(MONTH(B179)=8,"X",""))</f>
        <v/>
      </c>
      <c r="R179" s="34" t="str">
        <f aca="false">IF(B179="","",IF(MONTH(B179)=9,"X",""))</f>
        <v/>
      </c>
      <c r="S179" s="34" t="str">
        <f aca="false">IF(B179="","",IF(MONTH(B179)=10,"X",""))</f>
        <v/>
      </c>
      <c r="T179" s="34" t="str">
        <f aca="false">IF(B179="","",IF(MONTH(B179)=11,"X",""))</f>
        <v/>
      </c>
      <c r="U179" s="34" t="str">
        <f aca="false">IF(B179="","",IF(MONTH(B179)=12,"X",""))</f>
        <v/>
      </c>
      <c r="V179" s="24" t="str">
        <f aca="false">IF(E179="","",COUNTIF($E$5:$E$1000,E179))</f>
        <v/>
      </c>
      <c r="W179" s="35" t="str">
        <f aca="false">IF(E179="","",_xlfn.TEXTJOIN(" + ",TRUE(),IF(COUNTIFS($E$5:$E$1000,E179,$C$5:$C$1000,"Auditoría Interna")&gt;0,"Interna",""),IF(COUNTIFS($E$5:$E$1000,E179,$C$5:$C$1000,"Auditoría Externa")&gt;0,"Externa",""),IF(COUNTIFS($E$5:$E$1000,E179,$C$5:$C$1000,"SSF")&gt;0,"SSF",""),IF(COUNTIFS($E$5:$E$1000,E179,$C$5:$C$1000,"Comité de Supervisión")&gt;0,"Comité Sup.",""),IF(COUNTIFS($E$5:$E$1000,E179,$C$5:$C$1000,"Consejo de Administración")&gt;0,"Consejo",""),IF(COUNTIFS($E$5:$E$1000,E179,$C$5:$C$1000,"Otros")&gt;0,"Otros","")))</f>
        <v/>
      </c>
      <c r="X179" s="24" t="str">
        <f aca="false">IF(E179="","",COUNTIFS($E$5:$E$1000,E179,$AB$5:$AB$1000,AB179,$C$5:$C$1000,"&lt;&gt;"&amp;C179))</f>
        <v/>
      </c>
      <c r="Y179" s="33"/>
      <c r="Z179" s="31"/>
      <c r="AA179" s="33"/>
      <c r="AB179" s="37" t="str">
        <f aca="false">IF(B179="","",YEAR(B179)*100+MONTH(B179))</f>
        <v/>
      </c>
      <c r="AC179" s="37" t="str">
        <f aca="false">IF(AND(E179&lt;&gt;"",E179=Cruce!$C$5),COUNTIF($E$5:E179,E179),"")</f>
        <v/>
      </c>
      <c r="AD179" s="37" t="str">
        <f aca="false">IF(E179="","",C179&amp;"|"&amp;Y179&amp;"|"&amp;IF(B179="","s/f",TEXT(B179,"yyyymmdd")))</f>
        <v/>
      </c>
      <c r="AE179" s="37" t="n">
        <f aca="false">IF(E179="",0,IF(COUNTIFS($E$5:E179,E179,$AD$5:AD179,AD179)=1,1,0))</f>
        <v>0</v>
      </c>
    </row>
    <row r="180" customFormat="false" ht="15" hidden="false" customHeight="true" outlineLevel="0" collapsed="false">
      <c r="A180" s="31"/>
      <c r="B180" s="30"/>
      <c r="C180" s="31"/>
      <c r="D180" s="31"/>
      <c r="E180" s="32"/>
      <c r="F180" s="32"/>
      <c r="G180" s="33"/>
      <c r="H180" s="31"/>
      <c r="I180" s="24" t="str">
        <f aca="false">IF(B180="","",YEAR(B180))</f>
        <v/>
      </c>
      <c r="J180" s="34" t="str">
        <f aca="false">IF(B180="","",IF(MONTH(B180)=1,"X",""))</f>
        <v/>
      </c>
      <c r="K180" s="34" t="str">
        <f aca="false">IF(B180="","",IF(MONTH(B180)=2,"X",""))</f>
        <v/>
      </c>
      <c r="L180" s="34" t="str">
        <f aca="false">IF(B180="","",IF(MONTH(B180)=3,"X",""))</f>
        <v/>
      </c>
      <c r="M180" s="34" t="str">
        <f aca="false">IF(B180="","",IF(MONTH(B180)=4,"X",""))</f>
        <v/>
      </c>
      <c r="N180" s="34" t="str">
        <f aca="false">IF(B180="","",IF(MONTH(B180)=5,"X",""))</f>
        <v/>
      </c>
      <c r="O180" s="34" t="str">
        <f aca="false">IF(B180="","",IF(MONTH(B180)=6,"X",""))</f>
        <v/>
      </c>
      <c r="P180" s="34" t="str">
        <f aca="false">IF(B180="","",IF(MONTH(B180)=7,"X",""))</f>
        <v/>
      </c>
      <c r="Q180" s="34" t="str">
        <f aca="false">IF(B180="","",IF(MONTH(B180)=8,"X",""))</f>
        <v/>
      </c>
      <c r="R180" s="34" t="str">
        <f aca="false">IF(B180="","",IF(MONTH(B180)=9,"X",""))</f>
        <v/>
      </c>
      <c r="S180" s="34" t="str">
        <f aca="false">IF(B180="","",IF(MONTH(B180)=10,"X",""))</f>
        <v/>
      </c>
      <c r="T180" s="34" t="str">
        <f aca="false">IF(B180="","",IF(MONTH(B180)=11,"X",""))</f>
        <v/>
      </c>
      <c r="U180" s="34" t="str">
        <f aca="false">IF(B180="","",IF(MONTH(B180)=12,"X",""))</f>
        <v/>
      </c>
      <c r="V180" s="24" t="str">
        <f aca="false">IF(E180="","",COUNTIF($E$5:$E$1000,E180))</f>
        <v/>
      </c>
      <c r="W180" s="35" t="str">
        <f aca="false">IF(E180="","",_xlfn.TEXTJOIN(" + ",TRUE(),IF(COUNTIFS($E$5:$E$1000,E180,$C$5:$C$1000,"Auditoría Interna")&gt;0,"Interna",""),IF(COUNTIFS($E$5:$E$1000,E180,$C$5:$C$1000,"Auditoría Externa")&gt;0,"Externa",""),IF(COUNTIFS($E$5:$E$1000,E180,$C$5:$C$1000,"SSF")&gt;0,"SSF",""),IF(COUNTIFS($E$5:$E$1000,E180,$C$5:$C$1000,"Comité de Supervisión")&gt;0,"Comité Sup.",""),IF(COUNTIFS($E$5:$E$1000,E180,$C$5:$C$1000,"Consejo de Administración")&gt;0,"Consejo",""),IF(COUNTIFS($E$5:$E$1000,E180,$C$5:$C$1000,"Otros")&gt;0,"Otros","")))</f>
        <v/>
      </c>
      <c r="X180" s="24" t="str">
        <f aca="false">IF(E180="","",COUNTIFS($E$5:$E$1000,E180,$AB$5:$AB$1000,AB180,$C$5:$C$1000,"&lt;&gt;"&amp;C180))</f>
        <v/>
      </c>
      <c r="Y180" s="33"/>
      <c r="Z180" s="31"/>
      <c r="AA180" s="33"/>
      <c r="AB180" s="37" t="str">
        <f aca="false">IF(B180="","",YEAR(B180)*100+MONTH(B180))</f>
        <v/>
      </c>
      <c r="AC180" s="37" t="str">
        <f aca="false">IF(AND(E180&lt;&gt;"",E180=Cruce!$C$5),COUNTIF($E$5:E180,E180),"")</f>
        <v/>
      </c>
      <c r="AD180" s="37" t="str">
        <f aca="false">IF(E180="","",C180&amp;"|"&amp;Y180&amp;"|"&amp;IF(B180="","s/f",TEXT(B180,"yyyymmdd")))</f>
        <v/>
      </c>
      <c r="AE180" s="37" t="n">
        <f aca="false">IF(E180="",0,IF(COUNTIFS($E$5:E180,E180,$AD$5:AD180,AD180)=1,1,0))</f>
        <v>0</v>
      </c>
    </row>
    <row r="181" customFormat="false" ht="15" hidden="false" customHeight="true" outlineLevel="0" collapsed="false">
      <c r="A181" s="31"/>
      <c r="B181" s="30"/>
      <c r="C181" s="31"/>
      <c r="D181" s="31"/>
      <c r="E181" s="32"/>
      <c r="F181" s="32"/>
      <c r="G181" s="33"/>
      <c r="H181" s="31"/>
      <c r="I181" s="24" t="str">
        <f aca="false">IF(B181="","",YEAR(B181))</f>
        <v/>
      </c>
      <c r="J181" s="34" t="str">
        <f aca="false">IF(B181="","",IF(MONTH(B181)=1,"X",""))</f>
        <v/>
      </c>
      <c r="K181" s="34" t="str">
        <f aca="false">IF(B181="","",IF(MONTH(B181)=2,"X",""))</f>
        <v/>
      </c>
      <c r="L181" s="34" t="str">
        <f aca="false">IF(B181="","",IF(MONTH(B181)=3,"X",""))</f>
        <v/>
      </c>
      <c r="M181" s="34" t="str">
        <f aca="false">IF(B181="","",IF(MONTH(B181)=4,"X",""))</f>
        <v/>
      </c>
      <c r="N181" s="34" t="str">
        <f aca="false">IF(B181="","",IF(MONTH(B181)=5,"X",""))</f>
        <v/>
      </c>
      <c r="O181" s="34" t="str">
        <f aca="false">IF(B181="","",IF(MONTH(B181)=6,"X",""))</f>
        <v/>
      </c>
      <c r="P181" s="34" t="str">
        <f aca="false">IF(B181="","",IF(MONTH(B181)=7,"X",""))</f>
        <v/>
      </c>
      <c r="Q181" s="34" t="str">
        <f aca="false">IF(B181="","",IF(MONTH(B181)=8,"X",""))</f>
        <v/>
      </c>
      <c r="R181" s="34" t="str">
        <f aca="false">IF(B181="","",IF(MONTH(B181)=9,"X",""))</f>
        <v/>
      </c>
      <c r="S181" s="34" t="str">
        <f aca="false">IF(B181="","",IF(MONTH(B181)=10,"X",""))</f>
        <v/>
      </c>
      <c r="T181" s="34" t="str">
        <f aca="false">IF(B181="","",IF(MONTH(B181)=11,"X",""))</f>
        <v/>
      </c>
      <c r="U181" s="34" t="str">
        <f aca="false">IF(B181="","",IF(MONTH(B181)=12,"X",""))</f>
        <v/>
      </c>
      <c r="V181" s="24" t="str">
        <f aca="false">IF(E181="","",COUNTIF($E$5:$E$1000,E181))</f>
        <v/>
      </c>
      <c r="W181" s="35" t="str">
        <f aca="false">IF(E181="","",_xlfn.TEXTJOIN(" + ",TRUE(),IF(COUNTIFS($E$5:$E$1000,E181,$C$5:$C$1000,"Auditoría Interna")&gt;0,"Interna",""),IF(COUNTIFS($E$5:$E$1000,E181,$C$5:$C$1000,"Auditoría Externa")&gt;0,"Externa",""),IF(COUNTIFS($E$5:$E$1000,E181,$C$5:$C$1000,"SSF")&gt;0,"SSF",""),IF(COUNTIFS($E$5:$E$1000,E181,$C$5:$C$1000,"Comité de Supervisión")&gt;0,"Comité Sup.",""),IF(COUNTIFS($E$5:$E$1000,E181,$C$5:$C$1000,"Consejo de Administración")&gt;0,"Consejo",""),IF(COUNTIFS($E$5:$E$1000,E181,$C$5:$C$1000,"Otros")&gt;0,"Otros","")))</f>
        <v/>
      </c>
      <c r="X181" s="24" t="str">
        <f aca="false">IF(E181="","",COUNTIFS($E$5:$E$1000,E181,$AB$5:$AB$1000,AB181,$C$5:$C$1000,"&lt;&gt;"&amp;C181))</f>
        <v/>
      </c>
      <c r="Y181" s="33"/>
      <c r="Z181" s="31"/>
      <c r="AA181" s="33"/>
      <c r="AB181" s="37" t="str">
        <f aca="false">IF(B181="","",YEAR(B181)*100+MONTH(B181))</f>
        <v/>
      </c>
      <c r="AC181" s="37" t="str">
        <f aca="false">IF(AND(E181&lt;&gt;"",E181=Cruce!$C$5),COUNTIF($E$5:E181,E181),"")</f>
        <v/>
      </c>
      <c r="AD181" s="37" t="str">
        <f aca="false">IF(E181="","",C181&amp;"|"&amp;Y181&amp;"|"&amp;IF(B181="","s/f",TEXT(B181,"yyyymmdd")))</f>
        <v/>
      </c>
      <c r="AE181" s="37" t="n">
        <f aca="false">IF(E181="",0,IF(COUNTIFS($E$5:E181,E181,$AD$5:AD181,AD181)=1,1,0))</f>
        <v>0</v>
      </c>
    </row>
    <row r="182" customFormat="false" ht="15" hidden="false" customHeight="true" outlineLevel="0" collapsed="false">
      <c r="A182" s="31"/>
      <c r="B182" s="30"/>
      <c r="C182" s="31"/>
      <c r="D182" s="31"/>
      <c r="E182" s="32"/>
      <c r="F182" s="32"/>
      <c r="G182" s="33"/>
      <c r="H182" s="31"/>
      <c r="I182" s="24" t="str">
        <f aca="false">IF(B182="","",YEAR(B182))</f>
        <v/>
      </c>
      <c r="J182" s="34" t="str">
        <f aca="false">IF(B182="","",IF(MONTH(B182)=1,"X",""))</f>
        <v/>
      </c>
      <c r="K182" s="34" t="str">
        <f aca="false">IF(B182="","",IF(MONTH(B182)=2,"X",""))</f>
        <v/>
      </c>
      <c r="L182" s="34" t="str">
        <f aca="false">IF(B182="","",IF(MONTH(B182)=3,"X",""))</f>
        <v/>
      </c>
      <c r="M182" s="34" t="str">
        <f aca="false">IF(B182="","",IF(MONTH(B182)=4,"X",""))</f>
        <v/>
      </c>
      <c r="N182" s="34" t="str">
        <f aca="false">IF(B182="","",IF(MONTH(B182)=5,"X",""))</f>
        <v/>
      </c>
      <c r="O182" s="34" t="str">
        <f aca="false">IF(B182="","",IF(MONTH(B182)=6,"X",""))</f>
        <v/>
      </c>
      <c r="P182" s="34" t="str">
        <f aca="false">IF(B182="","",IF(MONTH(B182)=7,"X",""))</f>
        <v/>
      </c>
      <c r="Q182" s="34" t="str">
        <f aca="false">IF(B182="","",IF(MONTH(B182)=8,"X",""))</f>
        <v/>
      </c>
      <c r="R182" s="34" t="str">
        <f aca="false">IF(B182="","",IF(MONTH(B182)=9,"X",""))</f>
        <v/>
      </c>
      <c r="S182" s="34" t="str">
        <f aca="false">IF(B182="","",IF(MONTH(B182)=10,"X",""))</f>
        <v/>
      </c>
      <c r="T182" s="34" t="str">
        <f aca="false">IF(B182="","",IF(MONTH(B182)=11,"X",""))</f>
        <v/>
      </c>
      <c r="U182" s="34" t="str">
        <f aca="false">IF(B182="","",IF(MONTH(B182)=12,"X",""))</f>
        <v/>
      </c>
      <c r="V182" s="24" t="str">
        <f aca="false">IF(E182="","",COUNTIF($E$5:$E$1000,E182))</f>
        <v/>
      </c>
      <c r="W182" s="35" t="str">
        <f aca="false">IF(E182="","",_xlfn.TEXTJOIN(" + ",TRUE(),IF(COUNTIFS($E$5:$E$1000,E182,$C$5:$C$1000,"Auditoría Interna")&gt;0,"Interna",""),IF(COUNTIFS($E$5:$E$1000,E182,$C$5:$C$1000,"Auditoría Externa")&gt;0,"Externa",""),IF(COUNTIFS($E$5:$E$1000,E182,$C$5:$C$1000,"SSF")&gt;0,"SSF",""),IF(COUNTIFS($E$5:$E$1000,E182,$C$5:$C$1000,"Comité de Supervisión")&gt;0,"Comité Sup.",""),IF(COUNTIFS($E$5:$E$1000,E182,$C$5:$C$1000,"Consejo de Administración")&gt;0,"Consejo",""),IF(COUNTIFS($E$5:$E$1000,E182,$C$5:$C$1000,"Otros")&gt;0,"Otros","")))</f>
        <v/>
      </c>
      <c r="X182" s="24" t="str">
        <f aca="false">IF(E182="","",COUNTIFS($E$5:$E$1000,E182,$AB$5:$AB$1000,AB182,$C$5:$C$1000,"&lt;&gt;"&amp;C182))</f>
        <v/>
      </c>
      <c r="Y182" s="33"/>
      <c r="Z182" s="31"/>
      <c r="AA182" s="33"/>
      <c r="AB182" s="37" t="str">
        <f aca="false">IF(B182="","",YEAR(B182)*100+MONTH(B182))</f>
        <v/>
      </c>
      <c r="AC182" s="37" t="str">
        <f aca="false">IF(AND(E182&lt;&gt;"",E182=Cruce!$C$5),COUNTIF($E$5:E182,E182),"")</f>
        <v/>
      </c>
      <c r="AD182" s="37" t="str">
        <f aca="false">IF(E182="","",C182&amp;"|"&amp;Y182&amp;"|"&amp;IF(B182="","s/f",TEXT(B182,"yyyymmdd")))</f>
        <v/>
      </c>
      <c r="AE182" s="37" t="n">
        <f aca="false">IF(E182="",0,IF(COUNTIFS($E$5:E182,E182,$AD$5:AD182,AD182)=1,1,0))</f>
        <v>0</v>
      </c>
    </row>
    <row r="183" customFormat="false" ht="15" hidden="false" customHeight="true" outlineLevel="0" collapsed="false">
      <c r="A183" s="31"/>
      <c r="B183" s="30"/>
      <c r="C183" s="31"/>
      <c r="D183" s="31"/>
      <c r="E183" s="32"/>
      <c r="F183" s="32"/>
      <c r="G183" s="33"/>
      <c r="H183" s="31"/>
      <c r="I183" s="24" t="str">
        <f aca="false">IF(B183="","",YEAR(B183))</f>
        <v/>
      </c>
      <c r="J183" s="34" t="str">
        <f aca="false">IF(B183="","",IF(MONTH(B183)=1,"X",""))</f>
        <v/>
      </c>
      <c r="K183" s="34" t="str">
        <f aca="false">IF(B183="","",IF(MONTH(B183)=2,"X",""))</f>
        <v/>
      </c>
      <c r="L183" s="34" t="str">
        <f aca="false">IF(B183="","",IF(MONTH(B183)=3,"X",""))</f>
        <v/>
      </c>
      <c r="M183" s="34" t="str">
        <f aca="false">IF(B183="","",IF(MONTH(B183)=4,"X",""))</f>
        <v/>
      </c>
      <c r="N183" s="34" t="str">
        <f aca="false">IF(B183="","",IF(MONTH(B183)=5,"X",""))</f>
        <v/>
      </c>
      <c r="O183" s="34" t="str">
        <f aca="false">IF(B183="","",IF(MONTH(B183)=6,"X",""))</f>
        <v/>
      </c>
      <c r="P183" s="34" t="str">
        <f aca="false">IF(B183="","",IF(MONTH(B183)=7,"X",""))</f>
        <v/>
      </c>
      <c r="Q183" s="34" t="str">
        <f aca="false">IF(B183="","",IF(MONTH(B183)=8,"X",""))</f>
        <v/>
      </c>
      <c r="R183" s="34" t="str">
        <f aca="false">IF(B183="","",IF(MONTH(B183)=9,"X",""))</f>
        <v/>
      </c>
      <c r="S183" s="34" t="str">
        <f aca="false">IF(B183="","",IF(MONTH(B183)=10,"X",""))</f>
        <v/>
      </c>
      <c r="T183" s="34" t="str">
        <f aca="false">IF(B183="","",IF(MONTH(B183)=11,"X",""))</f>
        <v/>
      </c>
      <c r="U183" s="34" t="str">
        <f aca="false">IF(B183="","",IF(MONTH(B183)=12,"X",""))</f>
        <v/>
      </c>
      <c r="V183" s="24" t="str">
        <f aca="false">IF(E183="","",COUNTIF($E$5:$E$1000,E183))</f>
        <v/>
      </c>
      <c r="W183" s="35" t="str">
        <f aca="false">IF(E183="","",_xlfn.TEXTJOIN(" + ",TRUE(),IF(COUNTIFS($E$5:$E$1000,E183,$C$5:$C$1000,"Auditoría Interna")&gt;0,"Interna",""),IF(COUNTIFS($E$5:$E$1000,E183,$C$5:$C$1000,"Auditoría Externa")&gt;0,"Externa",""),IF(COUNTIFS($E$5:$E$1000,E183,$C$5:$C$1000,"SSF")&gt;0,"SSF",""),IF(COUNTIFS($E$5:$E$1000,E183,$C$5:$C$1000,"Comité de Supervisión")&gt;0,"Comité Sup.",""),IF(COUNTIFS($E$5:$E$1000,E183,$C$5:$C$1000,"Consejo de Administración")&gt;0,"Consejo",""),IF(COUNTIFS($E$5:$E$1000,E183,$C$5:$C$1000,"Otros")&gt;0,"Otros","")))</f>
        <v/>
      </c>
      <c r="X183" s="24" t="str">
        <f aca="false">IF(E183="","",COUNTIFS($E$5:$E$1000,E183,$AB$5:$AB$1000,AB183,$C$5:$C$1000,"&lt;&gt;"&amp;C183))</f>
        <v/>
      </c>
      <c r="Y183" s="33"/>
      <c r="Z183" s="31"/>
      <c r="AA183" s="33"/>
      <c r="AB183" s="37" t="str">
        <f aca="false">IF(B183="","",YEAR(B183)*100+MONTH(B183))</f>
        <v/>
      </c>
      <c r="AC183" s="37" t="str">
        <f aca="false">IF(AND(E183&lt;&gt;"",E183=Cruce!$C$5),COUNTIF($E$5:E183,E183),"")</f>
        <v/>
      </c>
      <c r="AD183" s="37" t="str">
        <f aca="false">IF(E183="","",C183&amp;"|"&amp;Y183&amp;"|"&amp;IF(B183="","s/f",TEXT(B183,"yyyymmdd")))</f>
        <v/>
      </c>
      <c r="AE183" s="37" t="n">
        <f aca="false">IF(E183="",0,IF(COUNTIFS($E$5:E183,E183,$AD$5:AD183,AD183)=1,1,0))</f>
        <v>0</v>
      </c>
    </row>
    <row r="184" customFormat="false" ht="15" hidden="false" customHeight="true" outlineLevel="0" collapsed="false">
      <c r="A184" s="31"/>
      <c r="B184" s="30"/>
      <c r="C184" s="31"/>
      <c r="D184" s="31"/>
      <c r="E184" s="32"/>
      <c r="F184" s="32"/>
      <c r="G184" s="33"/>
      <c r="H184" s="31"/>
      <c r="I184" s="24" t="str">
        <f aca="false">IF(B184="","",YEAR(B184))</f>
        <v/>
      </c>
      <c r="J184" s="34" t="str">
        <f aca="false">IF(B184="","",IF(MONTH(B184)=1,"X",""))</f>
        <v/>
      </c>
      <c r="K184" s="34" t="str">
        <f aca="false">IF(B184="","",IF(MONTH(B184)=2,"X",""))</f>
        <v/>
      </c>
      <c r="L184" s="34" t="str">
        <f aca="false">IF(B184="","",IF(MONTH(B184)=3,"X",""))</f>
        <v/>
      </c>
      <c r="M184" s="34" t="str">
        <f aca="false">IF(B184="","",IF(MONTH(B184)=4,"X",""))</f>
        <v/>
      </c>
      <c r="N184" s="34" t="str">
        <f aca="false">IF(B184="","",IF(MONTH(B184)=5,"X",""))</f>
        <v/>
      </c>
      <c r="O184" s="34" t="str">
        <f aca="false">IF(B184="","",IF(MONTH(B184)=6,"X",""))</f>
        <v/>
      </c>
      <c r="P184" s="34" t="str">
        <f aca="false">IF(B184="","",IF(MONTH(B184)=7,"X",""))</f>
        <v/>
      </c>
      <c r="Q184" s="34" t="str">
        <f aca="false">IF(B184="","",IF(MONTH(B184)=8,"X",""))</f>
        <v/>
      </c>
      <c r="R184" s="34" t="str">
        <f aca="false">IF(B184="","",IF(MONTH(B184)=9,"X",""))</f>
        <v/>
      </c>
      <c r="S184" s="34" t="str">
        <f aca="false">IF(B184="","",IF(MONTH(B184)=10,"X",""))</f>
        <v/>
      </c>
      <c r="T184" s="34" t="str">
        <f aca="false">IF(B184="","",IF(MONTH(B184)=11,"X",""))</f>
        <v/>
      </c>
      <c r="U184" s="34" t="str">
        <f aca="false">IF(B184="","",IF(MONTH(B184)=12,"X",""))</f>
        <v/>
      </c>
      <c r="V184" s="24" t="str">
        <f aca="false">IF(E184="","",COUNTIF($E$5:$E$1000,E184))</f>
        <v/>
      </c>
      <c r="W184" s="35" t="str">
        <f aca="false">IF(E184="","",_xlfn.TEXTJOIN(" + ",TRUE(),IF(COUNTIFS($E$5:$E$1000,E184,$C$5:$C$1000,"Auditoría Interna")&gt;0,"Interna",""),IF(COUNTIFS($E$5:$E$1000,E184,$C$5:$C$1000,"Auditoría Externa")&gt;0,"Externa",""),IF(COUNTIFS($E$5:$E$1000,E184,$C$5:$C$1000,"SSF")&gt;0,"SSF",""),IF(COUNTIFS($E$5:$E$1000,E184,$C$5:$C$1000,"Comité de Supervisión")&gt;0,"Comité Sup.",""),IF(COUNTIFS($E$5:$E$1000,E184,$C$5:$C$1000,"Consejo de Administración")&gt;0,"Consejo",""),IF(COUNTIFS($E$5:$E$1000,E184,$C$5:$C$1000,"Otros")&gt;0,"Otros","")))</f>
        <v/>
      </c>
      <c r="X184" s="24" t="str">
        <f aca="false">IF(E184="","",COUNTIFS($E$5:$E$1000,E184,$AB$5:$AB$1000,AB184,$C$5:$C$1000,"&lt;&gt;"&amp;C184))</f>
        <v/>
      </c>
      <c r="Y184" s="33"/>
      <c r="Z184" s="31"/>
      <c r="AA184" s="33"/>
      <c r="AB184" s="37" t="str">
        <f aca="false">IF(B184="","",YEAR(B184)*100+MONTH(B184))</f>
        <v/>
      </c>
      <c r="AC184" s="37" t="str">
        <f aca="false">IF(AND(E184&lt;&gt;"",E184=Cruce!$C$5),COUNTIF($E$5:E184,E184),"")</f>
        <v/>
      </c>
      <c r="AD184" s="37" t="str">
        <f aca="false">IF(E184="","",C184&amp;"|"&amp;Y184&amp;"|"&amp;IF(B184="","s/f",TEXT(B184,"yyyymmdd")))</f>
        <v/>
      </c>
      <c r="AE184" s="37" t="n">
        <f aca="false">IF(E184="",0,IF(COUNTIFS($E$5:E184,E184,$AD$5:AD184,AD184)=1,1,0))</f>
        <v>0</v>
      </c>
    </row>
    <row r="185" customFormat="false" ht="15" hidden="false" customHeight="true" outlineLevel="0" collapsed="false">
      <c r="A185" s="31"/>
      <c r="B185" s="30"/>
      <c r="C185" s="31"/>
      <c r="D185" s="31"/>
      <c r="E185" s="32"/>
      <c r="F185" s="32"/>
      <c r="G185" s="33"/>
      <c r="H185" s="31"/>
      <c r="I185" s="24" t="str">
        <f aca="false">IF(B185="","",YEAR(B185))</f>
        <v/>
      </c>
      <c r="J185" s="34" t="str">
        <f aca="false">IF(B185="","",IF(MONTH(B185)=1,"X",""))</f>
        <v/>
      </c>
      <c r="K185" s="34" t="str">
        <f aca="false">IF(B185="","",IF(MONTH(B185)=2,"X",""))</f>
        <v/>
      </c>
      <c r="L185" s="34" t="str">
        <f aca="false">IF(B185="","",IF(MONTH(B185)=3,"X",""))</f>
        <v/>
      </c>
      <c r="M185" s="34" t="str">
        <f aca="false">IF(B185="","",IF(MONTH(B185)=4,"X",""))</f>
        <v/>
      </c>
      <c r="N185" s="34" t="str">
        <f aca="false">IF(B185="","",IF(MONTH(B185)=5,"X",""))</f>
        <v/>
      </c>
      <c r="O185" s="34" t="str">
        <f aca="false">IF(B185="","",IF(MONTH(B185)=6,"X",""))</f>
        <v/>
      </c>
      <c r="P185" s="34" t="str">
        <f aca="false">IF(B185="","",IF(MONTH(B185)=7,"X",""))</f>
        <v/>
      </c>
      <c r="Q185" s="34" t="str">
        <f aca="false">IF(B185="","",IF(MONTH(B185)=8,"X",""))</f>
        <v/>
      </c>
      <c r="R185" s="34" t="str">
        <f aca="false">IF(B185="","",IF(MONTH(B185)=9,"X",""))</f>
        <v/>
      </c>
      <c r="S185" s="34" t="str">
        <f aca="false">IF(B185="","",IF(MONTH(B185)=10,"X",""))</f>
        <v/>
      </c>
      <c r="T185" s="34" t="str">
        <f aca="false">IF(B185="","",IF(MONTH(B185)=11,"X",""))</f>
        <v/>
      </c>
      <c r="U185" s="34" t="str">
        <f aca="false">IF(B185="","",IF(MONTH(B185)=12,"X",""))</f>
        <v/>
      </c>
      <c r="V185" s="24" t="str">
        <f aca="false">IF(E185="","",COUNTIF($E$5:$E$1000,E185))</f>
        <v/>
      </c>
      <c r="W185" s="35" t="str">
        <f aca="false">IF(E185="","",_xlfn.TEXTJOIN(" + ",TRUE(),IF(COUNTIFS($E$5:$E$1000,E185,$C$5:$C$1000,"Auditoría Interna")&gt;0,"Interna",""),IF(COUNTIFS($E$5:$E$1000,E185,$C$5:$C$1000,"Auditoría Externa")&gt;0,"Externa",""),IF(COUNTIFS($E$5:$E$1000,E185,$C$5:$C$1000,"SSF")&gt;0,"SSF",""),IF(COUNTIFS($E$5:$E$1000,E185,$C$5:$C$1000,"Comité de Supervisión")&gt;0,"Comité Sup.",""),IF(COUNTIFS($E$5:$E$1000,E185,$C$5:$C$1000,"Consejo de Administración")&gt;0,"Consejo",""),IF(COUNTIFS($E$5:$E$1000,E185,$C$5:$C$1000,"Otros")&gt;0,"Otros","")))</f>
        <v/>
      </c>
      <c r="X185" s="24" t="str">
        <f aca="false">IF(E185="","",COUNTIFS($E$5:$E$1000,E185,$AB$5:$AB$1000,AB185,$C$5:$C$1000,"&lt;&gt;"&amp;C185))</f>
        <v/>
      </c>
      <c r="Y185" s="33"/>
      <c r="Z185" s="31"/>
      <c r="AA185" s="33"/>
      <c r="AB185" s="37" t="str">
        <f aca="false">IF(B185="","",YEAR(B185)*100+MONTH(B185))</f>
        <v/>
      </c>
      <c r="AC185" s="37" t="str">
        <f aca="false">IF(AND(E185&lt;&gt;"",E185=Cruce!$C$5),COUNTIF($E$5:E185,E185),"")</f>
        <v/>
      </c>
      <c r="AD185" s="37" t="str">
        <f aca="false">IF(E185="","",C185&amp;"|"&amp;Y185&amp;"|"&amp;IF(B185="","s/f",TEXT(B185,"yyyymmdd")))</f>
        <v/>
      </c>
      <c r="AE185" s="37" t="n">
        <f aca="false">IF(E185="",0,IF(COUNTIFS($E$5:E185,E185,$AD$5:AD185,AD185)=1,1,0))</f>
        <v>0</v>
      </c>
    </row>
    <row r="186" customFormat="false" ht="15" hidden="false" customHeight="true" outlineLevel="0" collapsed="false">
      <c r="A186" s="31"/>
      <c r="B186" s="30"/>
      <c r="C186" s="31"/>
      <c r="D186" s="31"/>
      <c r="E186" s="32"/>
      <c r="F186" s="32"/>
      <c r="G186" s="33"/>
      <c r="H186" s="31"/>
      <c r="I186" s="24" t="str">
        <f aca="false">IF(B186="","",YEAR(B186))</f>
        <v/>
      </c>
      <c r="J186" s="34" t="str">
        <f aca="false">IF(B186="","",IF(MONTH(B186)=1,"X",""))</f>
        <v/>
      </c>
      <c r="K186" s="34" t="str">
        <f aca="false">IF(B186="","",IF(MONTH(B186)=2,"X",""))</f>
        <v/>
      </c>
      <c r="L186" s="34" t="str">
        <f aca="false">IF(B186="","",IF(MONTH(B186)=3,"X",""))</f>
        <v/>
      </c>
      <c r="M186" s="34" t="str">
        <f aca="false">IF(B186="","",IF(MONTH(B186)=4,"X",""))</f>
        <v/>
      </c>
      <c r="N186" s="34" t="str">
        <f aca="false">IF(B186="","",IF(MONTH(B186)=5,"X",""))</f>
        <v/>
      </c>
      <c r="O186" s="34" t="str">
        <f aca="false">IF(B186="","",IF(MONTH(B186)=6,"X",""))</f>
        <v/>
      </c>
      <c r="P186" s="34" t="str">
        <f aca="false">IF(B186="","",IF(MONTH(B186)=7,"X",""))</f>
        <v/>
      </c>
      <c r="Q186" s="34" t="str">
        <f aca="false">IF(B186="","",IF(MONTH(B186)=8,"X",""))</f>
        <v/>
      </c>
      <c r="R186" s="34" t="str">
        <f aca="false">IF(B186="","",IF(MONTH(B186)=9,"X",""))</f>
        <v/>
      </c>
      <c r="S186" s="34" t="str">
        <f aca="false">IF(B186="","",IF(MONTH(B186)=10,"X",""))</f>
        <v/>
      </c>
      <c r="T186" s="34" t="str">
        <f aca="false">IF(B186="","",IF(MONTH(B186)=11,"X",""))</f>
        <v/>
      </c>
      <c r="U186" s="34" t="str">
        <f aca="false">IF(B186="","",IF(MONTH(B186)=12,"X",""))</f>
        <v/>
      </c>
      <c r="V186" s="24" t="str">
        <f aca="false">IF(E186="","",COUNTIF($E$5:$E$1000,E186))</f>
        <v/>
      </c>
      <c r="W186" s="35" t="str">
        <f aca="false">IF(E186="","",_xlfn.TEXTJOIN(" + ",TRUE(),IF(COUNTIFS($E$5:$E$1000,E186,$C$5:$C$1000,"Auditoría Interna")&gt;0,"Interna",""),IF(COUNTIFS($E$5:$E$1000,E186,$C$5:$C$1000,"Auditoría Externa")&gt;0,"Externa",""),IF(COUNTIFS($E$5:$E$1000,E186,$C$5:$C$1000,"SSF")&gt;0,"SSF",""),IF(COUNTIFS($E$5:$E$1000,E186,$C$5:$C$1000,"Comité de Supervisión")&gt;0,"Comité Sup.",""),IF(COUNTIFS($E$5:$E$1000,E186,$C$5:$C$1000,"Consejo de Administración")&gt;0,"Consejo",""),IF(COUNTIFS($E$5:$E$1000,E186,$C$5:$C$1000,"Otros")&gt;0,"Otros","")))</f>
        <v/>
      </c>
      <c r="X186" s="24" t="str">
        <f aca="false">IF(E186="","",COUNTIFS($E$5:$E$1000,E186,$AB$5:$AB$1000,AB186,$C$5:$C$1000,"&lt;&gt;"&amp;C186))</f>
        <v/>
      </c>
      <c r="Y186" s="33"/>
      <c r="Z186" s="31"/>
      <c r="AA186" s="33"/>
      <c r="AB186" s="37" t="str">
        <f aca="false">IF(B186="","",YEAR(B186)*100+MONTH(B186))</f>
        <v/>
      </c>
      <c r="AC186" s="37" t="str">
        <f aca="false">IF(AND(E186&lt;&gt;"",E186=Cruce!$C$5),COUNTIF($E$5:E186,E186),"")</f>
        <v/>
      </c>
      <c r="AD186" s="37" t="str">
        <f aca="false">IF(E186="","",C186&amp;"|"&amp;Y186&amp;"|"&amp;IF(B186="","s/f",TEXT(B186,"yyyymmdd")))</f>
        <v/>
      </c>
      <c r="AE186" s="37" t="n">
        <f aca="false">IF(E186="",0,IF(COUNTIFS($E$5:E186,E186,$AD$5:AD186,AD186)=1,1,0))</f>
        <v>0</v>
      </c>
    </row>
    <row r="187" customFormat="false" ht="15" hidden="false" customHeight="true" outlineLevel="0" collapsed="false">
      <c r="A187" s="31"/>
      <c r="B187" s="30"/>
      <c r="C187" s="31"/>
      <c r="D187" s="31"/>
      <c r="E187" s="32"/>
      <c r="F187" s="32"/>
      <c r="G187" s="33"/>
      <c r="H187" s="31"/>
      <c r="I187" s="24" t="str">
        <f aca="false">IF(B187="","",YEAR(B187))</f>
        <v/>
      </c>
      <c r="J187" s="34" t="str">
        <f aca="false">IF(B187="","",IF(MONTH(B187)=1,"X",""))</f>
        <v/>
      </c>
      <c r="K187" s="34" t="str">
        <f aca="false">IF(B187="","",IF(MONTH(B187)=2,"X",""))</f>
        <v/>
      </c>
      <c r="L187" s="34" t="str">
        <f aca="false">IF(B187="","",IF(MONTH(B187)=3,"X",""))</f>
        <v/>
      </c>
      <c r="M187" s="34" t="str">
        <f aca="false">IF(B187="","",IF(MONTH(B187)=4,"X",""))</f>
        <v/>
      </c>
      <c r="N187" s="34" t="str">
        <f aca="false">IF(B187="","",IF(MONTH(B187)=5,"X",""))</f>
        <v/>
      </c>
      <c r="O187" s="34" t="str">
        <f aca="false">IF(B187="","",IF(MONTH(B187)=6,"X",""))</f>
        <v/>
      </c>
      <c r="P187" s="34" t="str">
        <f aca="false">IF(B187="","",IF(MONTH(B187)=7,"X",""))</f>
        <v/>
      </c>
      <c r="Q187" s="34" t="str">
        <f aca="false">IF(B187="","",IF(MONTH(B187)=8,"X",""))</f>
        <v/>
      </c>
      <c r="R187" s="34" t="str">
        <f aca="false">IF(B187="","",IF(MONTH(B187)=9,"X",""))</f>
        <v/>
      </c>
      <c r="S187" s="34" t="str">
        <f aca="false">IF(B187="","",IF(MONTH(B187)=10,"X",""))</f>
        <v/>
      </c>
      <c r="T187" s="34" t="str">
        <f aca="false">IF(B187="","",IF(MONTH(B187)=11,"X",""))</f>
        <v/>
      </c>
      <c r="U187" s="34" t="str">
        <f aca="false">IF(B187="","",IF(MONTH(B187)=12,"X",""))</f>
        <v/>
      </c>
      <c r="V187" s="24" t="str">
        <f aca="false">IF(E187="","",COUNTIF($E$5:$E$1000,E187))</f>
        <v/>
      </c>
      <c r="W187" s="35" t="str">
        <f aca="false">IF(E187="","",_xlfn.TEXTJOIN(" + ",TRUE(),IF(COUNTIFS($E$5:$E$1000,E187,$C$5:$C$1000,"Auditoría Interna")&gt;0,"Interna",""),IF(COUNTIFS($E$5:$E$1000,E187,$C$5:$C$1000,"Auditoría Externa")&gt;0,"Externa",""),IF(COUNTIFS($E$5:$E$1000,E187,$C$5:$C$1000,"SSF")&gt;0,"SSF",""),IF(COUNTIFS($E$5:$E$1000,E187,$C$5:$C$1000,"Comité de Supervisión")&gt;0,"Comité Sup.",""),IF(COUNTIFS($E$5:$E$1000,E187,$C$5:$C$1000,"Consejo de Administración")&gt;0,"Consejo",""),IF(COUNTIFS($E$5:$E$1000,E187,$C$5:$C$1000,"Otros")&gt;0,"Otros","")))</f>
        <v/>
      </c>
      <c r="X187" s="24" t="str">
        <f aca="false">IF(E187="","",COUNTIFS($E$5:$E$1000,E187,$AB$5:$AB$1000,AB187,$C$5:$C$1000,"&lt;&gt;"&amp;C187))</f>
        <v/>
      </c>
      <c r="Y187" s="33"/>
      <c r="Z187" s="31"/>
      <c r="AA187" s="33"/>
      <c r="AB187" s="37" t="str">
        <f aca="false">IF(B187="","",YEAR(B187)*100+MONTH(B187))</f>
        <v/>
      </c>
      <c r="AC187" s="37" t="str">
        <f aca="false">IF(AND(E187&lt;&gt;"",E187=Cruce!$C$5),COUNTIF($E$5:E187,E187),"")</f>
        <v/>
      </c>
      <c r="AD187" s="37" t="str">
        <f aca="false">IF(E187="","",C187&amp;"|"&amp;Y187&amp;"|"&amp;IF(B187="","s/f",TEXT(B187,"yyyymmdd")))</f>
        <v/>
      </c>
      <c r="AE187" s="37" t="n">
        <f aca="false">IF(E187="",0,IF(COUNTIFS($E$5:E187,E187,$AD$5:AD187,AD187)=1,1,0))</f>
        <v>0</v>
      </c>
    </row>
    <row r="188" customFormat="false" ht="15" hidden="false" customHeight="true" outlineLevel="0" collapsed="false">
      <c r="A188" s="31"/>
      <c r="B188" s="30"/>
      <c r="C188" s="31"/>
      <c r="D188" s="31"/>
      <c r="E188" s="32"/>
      <c r="F188" s="32"/>
      <c r="G188" s="33"/>
      <c r="H188" s="31"/>
      <c r="I188" s="24" t="str">
        <f aca="false">IF(B188="","",YEAR(B188))</f>
        <v/>
      </c>
      <c r="J188" s="34" t="str">
        <f aca="false">IF(B188="","",IF(MONTH(B188)=1,"X",""))</f>
        <v/>
      </c>
      <c r="K188" s="34" t="str">
        <f aca="false">IF(B188="","",IF(MONTH(B188)=2,"X",""))</f>
        <v/>
      </c>
      <c r="L188" s="34" t="str">
        <f aca="false">IF(B188="","",IF(MONTH(B188)=3,"X",""))</f>
        <v/>
      </c>
      <c r="M188" s="34" t="str">
        <f aca="false">IF(B188="","",IF(MONTH(B188)=4,"X",""))</f>
        <v/>
      </c>
      <c r="N188" s="34" t="str">
        <f aca="false">IF(B188="","",IF(MONTH(B188)=5,"X",""))</f>
        <v/>
      </c>
      <c r="O188" s="34" t="str">
        <f aca="false">IF(B188="","",IF(MONTH(B188)=6,"X",""))</f>
        <v/>
      </c>
      <c r="P188" s="34" t="str">
        <f aca="false">IF(B188="","",IF(MONTH(B188)=7,"X",""))</f>
        <v/>
      </c>
      <c r="Q188" s="34" t="str">
        <f aca="false">IF(B188="","",IF(MONTH(B188)=8,"X",""))</f>
        <v/>
      </c>
      <c r="R188" s="34" t="str">
        <f aca="false">IF(B188="","",IF(MONTH(B188)=9,"X",""))</f>
        <v/>
      </c>
      <c r="S188" s="34" t="str">
        <f aca="false">IF(B188="","",IF(MONTH(B188)=10,"X",""))</f>
        <v/>
      </c>
      <c r="T188" s="34" t="str">
        <f aca="false">IF(B188="","",IF(MONTH(B188)=11,"X",""))</f>
        <v/>
      </c>
      <c r="U188" s="34" t="str">
        <f aca="false">IF(B188="","",IF(MONTH(B188)=12,"X",""))</f>
        <v/>
      </c>
      <c r="V188" s="24" t="str">
        <f aca="false">IF(E188="","",COUNTIF($E$5:$E$1000,E188))</f>
        <v/>
      </c>
      <c r="W188" s="35" t="str">
        <f aca="false">IF(E188="","",_xlfn.TEXTJOIN(" + ",TRUE(),IF(COUNTIFS($E$5:$E$1000,E188,$C$5:$C$1000,"Auditoría Interna")&gt;0,"Interna",""),IF(COUNTIFS($E$5:$E$1000,E188,$C$5:$C$1000,"Auditoría Externa")&gt;0,"Externa",""),IF(COUNTIFS($E$5:$E$1000,E188,$C$5:$C$1000,"SSF")&gt;0,"SSF",""),IF(COUNTIFS($E$5:$E$1000,E188,$C$5:$C$1000,"Comité de Supervisión")&gt;0,"Comité Sup.",""),IF(COUNTIFS($E$5:$E$1000,E188,$C$5:$C$1000,"Consejo de Administración")&gt;0,"Consejo",""),IF(COUNTIFS($E$5:$E$1000,E188,$C$5:$C$1000,"Otros")&gt;0,"Otros","")))</f>
        <v/>
      </c>
      <c r="X188" s="24" t="str">
        <f aca="false">IF(E188="","",COUNTIFS($E$5:$E$1000,E188,$AB$5:$AB$1000,AB188,$C$5:$C$1000,"&lt;&gt;"&amp;C188))</f>
        <v/>
      </c>
      <c r="Y188" s="33"/>
      <c r="Z188" s="31"/>
      <c r="AA188" s="33"/>
      <c r="AB188" s="37" t="str">
        <f aca="false">IF(B188="","",YEAR(B188)*100+MONTH(B188))</f>
        <v/>
      </c>
      <c r="AC188" s="37" t="str">
        <f aca="false">IF(AND(E188&lt;&gt;"",E188=Cruce!$C$5),COUNTIF($E$5:E188,E188),"")</f>
        <v/>
      </c>
      <c r="AD188" s="37" t="str">
        <f aca="false">IF(E188="","",C188&amp;"|"&amp;Y188&amp;"|"&amp;IF(B188="","s/f",TEXT(B188,"yyyymmdd")))</f>
        <v/>
      </c>
      <c r="AE188" s="37" t="n">
        <f aca="false">IF(E188="",0,IF(COUNTIFS($E$5:E188,E188,$AD$5:AD188,AD188)=1,1,0))</f>
        <v>0</v>
      </c>
    </row>
    <row r="189" customFormat="false" ht="15" hidden="false" customHeight="true" outlineLevel="0" collapsed="false">
      <c r="A189" s="31"/>
      <c r="B189" s="30"/>
      <c r="C189" s="31"/>
      <c r="D189" s="31"/>
      <c r="E189" s="32"/>
      <c r="F189" s="32"/>
      <c r="G189" s="33"/>
      <c r="H189" s="31"/>
      <c r="I189" s="24" t="str">
        <f aca="false">IF(B189="","",YEAR(B189))</f>
        <v/>
      </c>
      <c r="J189" s="34" t="str">
        <f aca="false">IF(B189="","",IF(MONTH(B189)=1,"X",""))</f>
        <v/>
      </c>
      <c r="K189" s="34" t="str">
        <f aca="false">IF(B189="","",IF(MONTH(B189)=2,"X",""))</f>
        <v/>
      </c>
      <c r="L189" s="34" t="str">
        <f aca="false">IF(B189="","",IF(MONTH(B189)=3,"X",""))</f>
        <v/>
      </c>
      <c r="M189" s="34" t="str">
        <f aca="false">IF(B189="","",IF(MONTH(B189)=4,"X",""))</f>
        <v/>
      </c>
      <c r="N189" s="34" t="str">
        <f aca="false">IF(B189="","",IF(MONTH(B189)=5,"X",""))</f>
        <v/>
      </c>
      <c r="O189" s="34" t="str">
        <f aca="false">IF(B189="","",IF(MONTH(B189)=6,"X",""))</f>
        <v/>
      </c>
      <c r="P189" s="34" t="str">
        <f aca="false">IF(B189="","",IF(MONTH(B189)=7,"X",""))</f>
        <v/>
      </c>
      <c r="Q189" s="34" t="str">
        <f aca="false">IF(B189="","",IF(MONTH(B189)=8,"X",""))</f>
        <v/>
      </c>
      <c r="R189" s="34" t="str">
        <f aca="false">IF(B189="","",IF(MONTH(B189)=9,"X",""))</f>
        <v/>
      </c>
      <c r="S189" s="34" t="str">
        <f aca="false">IF(B189="","",IF(MONTH(B189)=10,"X",""))</f>
        <v/>
      </c>
      <c r="T189" s="34" t="str">
        <f aca="false">IF(B189="","",IF(MONTH(B189)=11,"X",""))</f>
        <v/>
      </c>
      <c r="U189" s="34" t="str">
        <f aca="false">IF(B189="","",IF(MONTH(B189)=12,"X",""))</f>
        <v/>
      </c>
      <c r="V189" s="24" t="str">
        <f aca="false">IF(E189="","",COUNTIF($E$5:$E$1000,E189))</f>
        <v/>
      </c>
      <c r="W189" s="35" t="str">
        <f aca="false">IF(E189="","",_xlfn.TEXTJOIN(" + ",TRUE(),IF(COUNTIFS($E$5:$E$1000,E189,$C$5:$C$1000,"Auditoría Interna")&gt;0,"Interna",""),IF(COUNTIFS($E$5:$E$1000,E189,$C$5:$C$1000,"Auditoría Externa")&gt;0,"Externa",""),IF(COUNTIFS($E$5:$E$1000,E189,$C$5:$C$1000,"SSF")&gt;0,"SSF",""),IF(COUNTIFS($E$5:$E$1000,E189,$C$5:$C$1000,"Comité de Supervisión")&gt;0,"Comité Sup.",""),IF(COUNTIFS($E$5:$E$1000,E189,$C$5:$C$1000,"Consejo de Administración")&gt;0,"Consejo",""),IF(COUNTIFS($E$5:$E$1000,E189,$C$5:$C$1000,"Otros")&gt;0,"Otros","")))</f>
        <v/>
      </c>
      <c r="X189" s="24" t="str">
        <f aca="false">IF(E189="","",COUNTIFS($E$5:$E$1000,E189,$AB$5:$AB$1000,AB189,$C$5:$C$1000,"&lt;&gt;"&amp;C189))</f>
        <v/>
      </c>
      <c r="Y189" s="33"/>
      <c r="Z189" s="31"/>
      <c r="AA189" s="33"/>
      <c r="AB189" s="37" t="str">
        <f aca="false">IF(B189="","",YEAR(B189)*100+MONTH(B189))</f>
        <v/>
      </c>
      <c r="AC189" s="37" t="str">
        <f aca="false">IF(AND(E189&lt;&gt;"",E189=Cruce!$C$5),COUNTIF($E$5:E189,E189),"")</f>
        <v/>
      </c>
      <c r="AD189" s="37" t="str">
        <f aca="false">IF(E189="","",C189&amp;"|"&amp;Y189&amp;"|"&amp;IF(B189="","s/f",TEXT(B189,"yyyymmdd")))</f>
        <v/>
      </c>
      <c r="AE189" s="37" t="n">
        <f aca="false">IF(E189="",0,IF(COUNTIFS($E$5:E189,E189,$AD$5:AD189,AD189)=1,1,0))</f>
        <v>0</v>
      </c>
    </row>
    <row r="190" customFormat="false" ht="15" hidden="false" customHeight="true" outlineLevel="0" collapsed="false">
      <c r="A190" s="31"/>
      <c r="B190" s="30"/>
      <c r="C190" s="31"/>
      <c r="D190" s="31"/>
      <c r="E190" s="32"/>
      <c r="F190" s="32"/>
      <c r="G190" s="33"/>
      <c r="H190" s="31"/>
      <c r="I190" s="24" t="str">
        <f aca="false">IF(B190="","",YEAR(B190))</f>
        <v/>
      </c>
      <c r="J190" s="34" t="str">
        <f aca="false">IF(B190="","",IF(MONTH(B190)=1,"X",""))</f>
        <v/>
      </c>
      <c r="K190" s="34" t="str">
        <f aca="false">IF(B190="","",IF(MONTH(B190)=2,"X",""))</f>
        <v/>
      </c>
      <c r="L190" s="34" t="str">
        <f aca="false">IF(B190="","",IF(MONTH(B190)=3,"X",""))</f>
        <v/>
      </c>
      <c r="M190" s="34" t="str">
        <f aca="false">IF(B190="","",IF(MONTH(B190)=4,"X",""))</f>
        <v/>
      </c>
      <c r="N190" s="34" t="str">
        <f aca="false">IF(B190="","",IF(MONTH(B190)=5,"X",""))</f>
        <v/>
      </c>
      <c r="O190" s="34" t="str">
        <f aca="false">IF(B190="","",IF(MONTH(B190)=6,"X",""))</f>
        <v/>
      </c>
      <c r="P190" s="34" t="str">
        <f aca="false">IF(B190="","",IF(MONTH(B190)=7,"X",""))</f>
        <v/>
      </c>
      <c r="Q190" s="34" t="str">
        <f aca="false">IF(B190="","",IF(MONTH(B190)=8,"X",""))</f>
        <v/>
      </c>
      <c r="R190" s="34" t="str">
        <f aca="false">IF(B190="","",IF(MONTH(B190)=9,"X",""))</f>
        <v/>
      </c>
      <c r="S190" s="34" t="str">
        <f aca="false">IF(B190="","",IF(MONTH(B190)=10,"X",""))</f>
        <v/>
      </c>
      <c r="T190" s="34" t="str">
        <f aca="false">IF(B190="","",IF(MONTH(B190)=11,"X",""))</f>
        <v/>
      </c>
      <c r="U190" s="34" t="str">
        <f aca="false">IF(B190="","",IF(MONTH(B190)=12,"X",""))</f>
        <v/>
      </c>
      <c r="V190" s="24" t="str">
        <f aca="false">IF(E190="","",COUNTIF($E$5:$E$1000,E190))</f>
        <v/>
      </c>
      <c r="W190" s="35" t="str">
        <f aca="false">IF(E190="","",_xlfn.TEXTJOIN(" + ",TRUE(),IF(COUNTIFS($E$5:$E$1000,E190,$C$5:$C$1000,"Auditoría Interna")&gt;0,"Interna",""),IF(COUNTIFS($E$5:$E$1000,E190,$C$5:$C$1000,"Auditoría Externa")&gt;0,"Externa",""),IF(COUNTIFS($E$5:$E$1000,E190,$C$5:$C$1000,"SSF")&gt;0,"SSF",""),IF(COUNTIFS($E$5:$E$1000,E190,$C$5:$C$1000,"Comité de Supervisión")&gt;0,"Comité Sup.",""),IF(COUNTIFS($E$5:$E$1000,E190,$C$5:$C$1000,"Consejo de Administración")&gt;0,"Consejo",""),IF(COUNTIFS($E$5:$E$1000,E190,$C$5:$C$1000,"Otros")&gt;0,"Otros","")))</f>
        <v/>
      </c>
      <c r="X190" s="24" t="str">
        <f aca="false">IF(E190="","",COUNTIFS($E$5:$E$1000,E190,$AB$5:$AB$1000,AB190,$C$5:$C$1000,"&lt;&gt;"&amp;C190))</f>
        <v/>
      </c>
      <c r="Y190" s="33"/>
      <c r="Z190" s="31"/>
      <c r="AA190" s="33"/>
      <c r="AB190" s="37" t="str">
        <f aca="false">IF(B190="","",YEAR(B190)*100+MONTH(B190))</f>
        <v/>
      </c>
      <c r="AC190" s="37" t="str">
        <f aca="false">IF(AND(E190&lt;&gt;"",E190=Cruce!$C$5),COUNTIF($E$5:E190,E190),"")</f>
        <v/>
      </c>
      <c r="AD190" s="37" t="str">
        <f aca="false">IF(E190="","",C190&amp;"|"&amp;Y190&amp;"|"&amp;IF(B190="","s/f",TEXT(B190,"yyyymmdd")))</f>
        <v/>
      </c>
      <c r="AE190" s="37" t="n">
        <f aca="false">IF(E190="",0,IF(COUNTIFS($E$5:E190,E190,$AD$5:AD190,AD190)=1,1,0))</f>
        <v>0</v>
      </c>
    </row>
    <row r="191" customFormat="false" ht="15" hidden="false" customHeight="true" outlineLevel="0" collapsed="false">
      <c r="A191" s="31"/>
      <c r="B191" s="30"/>
      <c r="C191" s="31"/>
      <c r="D191" s="31"/>
      <c r="E191" s="32"/>
      <c r="F191" s="32"/>
      <c r="G191" s="33"/>
      <c r="H191" s="31"/>
      <c r="I191" s="24" t="str">
        <f aca="false">IF(B191="","",YEAR(B191))</f>
        <v/>
      </c>
      <c r="J191" s="34" t="str">
        <f aca="false">IF(B191="","",IF(MONTH(B191)=1,"X",""))</f>
        <v/>
      </c>
      <c r="K191" s="34" t="str">
        <f aca="false">IF(B191="","",IF(MONTH(B191)=2,"X",""))</f>
        <v/>
      </c>
      <c r="L191" s="34" t="str">
        <f aca="false">IF(B191="","",IF(MONTH(B191)=3,"X",""))</f>
        <v/>
      </c>
      <c r="M191" s="34" t="str">
        <f aca="false">IF(B191="","",IF(MONTH(B191)=4,"X",""))</f>
        <v/>
      </c>
      <c r="N191" s="34" t="str">
        <f aca="false">IF(B191="","",IF(MONTH(B191)=5,"X",""))</f>
        <v/>
      </c>
      <c r="O191" s="34" t="str">
        <f aca="false">IF(B191="","",IF(MONTH(B191)=6,"X",""))</f>
        <v/>
      </c>
      <c r="P191" s="34" t="str">
        <f aca="false">IF(B191="","",IF(MONTH(B191)=7,"X",""))</f>
        <v/>
      </c>
      <c r="Q191" s="34" t="str">
        <f aca="false">IF(B191="","",IF(MONTH(B191)=8,"X",""))</f>
        <v/>
      </c>
      <c r="R191" s="34" t="str">
        <f aca="false">IF(B191="","",IF(MONTH(B191)=9,"X",""))</f>
        <v/>
      </c>
      <c r="S191" s="34" t="str">
        <f aca="false">IF(B191="","",IF(MONTH(B191)=10,"X",""))</f>
        <v/>
      </c>
      <c r="T191" s="34" t="str">
        <f aca="false">IF(B191="","",IF(MONTH(B191)=11,"X",""))</f>
        <v/>
      </c>
      <c r="U191" s="34" t="str">
        <f aca="false">IF(B191="","",IF(MONTH(B191)=12,"X",""))</f>
        <v/>
      </c>
      <c r="V191" s="24" t="str">
        <f aca="false">IF(E191="","",COUNTIF($E$5:$E$1000,E191))</f>
        <v/>
      </c>
      <c r="W191" s="35" t="str">
        <f aca="false">IF(E191="","",_xlfn.TEXTJOIN(" + ",TRUE(),IF(COUNTIFS($E$5:$E$1000,E191,$C$5:$C$1000,"Auditoría Interna")&gt;0,"Interna",""),IF(COUNTIFS($E$5:$E$1000,E191,$C$5:$C$1000,"Auditoría Externa")&gt;0,"Externa",""),IF(COUNTIFS($E$5:$E$1000,E191,$C$5:$C$1000,"SSF")&gt;0,"SSF",""),IF(COUNTIFS($E$5:$E$1000,E191,$C$5:$C$1000,"Comité de Supervisión")&gt;0,"Comité Sup.",""),IF(COUNTIFS($E$5:$E$1000,E191,$C$5:$C$1000,"Consejo de Administración")&gt;0,"Consejo",""),IF(COUNTIFS($E$5:$E$1000,E191,$C$5:$C$1000,"Otros")&gt;0,"Otros","")))</f>
        <v/>
      </c>
      <c r="X191" s="24" t="str">
        <f aca="false">IF(E191="","",COUNTIFS($E$5:$E$1000,E191,$AB$5:$AB$1000,AB191,$C$5:$C$1000,"&lt;&gt;"&amp;C191))</f>
        <v/>
      </c>
      <c r="Y191" s="33"/>
      <c r="Z191" s="31"/>
      <c r="AA191" s="33"/>
      <c r="AB191" s="37" t="str">
        <f aca="false">IF(B191="","",YEAR(B191)*100+MONTH(B191))</f>
        <v/>
      </c>
      <c r="AC191" s="37" t="str">
        <f aca="false">IF(AND(E191&lt;&gt;"",E191=Cruce!$C$5),COUNTIF($E$5:E191,E191),"")</f>
        <v/>
      </c>
      <c r="AD191" s="37" t="str">
        <f aca="false">IF(E191="","",C191&amp;"|"&amp;Y191&amp;"|"&amp;IF(B191="","s/f",TEXT(B191,"yyyymmdd")))</f>
        <v/>
      </c>
      <c r="AE191" s="37" t="n">
        <f aca="false">IF(E191="",0,IF(COUNTIFS($E$5:E191,E191,$AD$5:AD191,AD191)=1,1,0))</f>
        <v>0</v>
      </c>
    </row>
    <row r="192" customFormat="false" ht="15" hidden="false" customHeight="true" outlineLevel="0" collapsed="false">
      <c r="A192" s="31"/>
      <c r="B192" s="30"/>
      <c r="C192" s="31"/>
      <c r="D192" s="31"/>
      <c r="E192" s="32"/>
      <c r="F192" s="32"/>
      <c r="G192" s="33"/>
      <c r="H192" s="31"/>
      <c r="I192" s="24" t="str">
        <f aca="false">IF(B192="","",YEAR(B192))</f>
        <v/>
      </c>
      <c r="J192" s="34" t="str">
        <f aca="false">IF(B192="","",IF(MONTH(B192)=1,"X",""))</f>
        <v/>
      </c>
      <c r="K192" s="34" t="str">
        <f aca="false">IF(B192="","",IF(MONTH(B192)=2,"X",""))</f>
        <v/>
      </c>
      <c r="L192" s="34" t="str">
        <f aca="false">IF(B192="","",IF(MONTH(B192)=3,"X",""))</f>
        <v/>
      </c>
      <c r="M192" s="34" t="str">
        <f aca="false">IF(B192="","",IF(MONTH(B192)=4,"X",""))</f>
        <v/>
      </c>
      <c r="N192" s="34" t="str">
        <f aca="false">IF(B192="","",IF(MONTH(B192)=5,"X",""))</f>
        <v/>
      </c>
      <c r="O192" s="34" t="str">
        <f aca="false">IF(B192="","",IF(MONTH(B192)=6,"X",""))</f>
        <v/>
      </c>
      <c r="P192" s="34" t="str">
        <f aca="false">IF(B192="","",IF(MONTH(B192)=7,"X",""))</f>
        <v/>
      </c>
      <c r="Q192" s="34" t="str">
        <f aca="false">IF(B192="","",IF(MONTH(B192)=8,"X",""))</f>
        <v/>
      </c>
      <c r="R192" s="34" t="str">
        <f aca="false">IF(B192="","",IF(MONTH(B192)=9,"X",""))</f>
        <v/>
      </c>
      <c r="S192" s="34" t="str">
        <f aca="false">IF(B192="","",IF(MONTH(B192)=10,"X",""))</f>
        <v/>
      </c>
      <c r="T192" s="34" t="str">
        <f aca="false">IF(B192="","",IF(MONTH(B192)=11,"X",""))</f>
        <v/>
      </c>
      <c r="U192" s="34" t="str">
        <f aca="false">IF(B192="","",IF(MONTH(B192)=12,"X",""))</f>
        <v/>
      </c>
      <c r="V192" s="24" t="str">
        <f aca="false">IF(E192="","",COUNTIF($E$5:$E$1000,E192))</f>
        <v/>
      </c>
      <c r="W192" s="35" t="str">
        <f aca="false">IF(E192="","",_xlfn.TEXTJOIN(" + ",TRUE(),IF(COUNTIFS($E$5:$E$1000,E192,$C$5:$C$1000,"Auditoría Interna")&gt;0,"Interna",""),IF(COUNTIFS($E$5:$E$1000,E192,$C$5:$C$1000,"Auditoría Externa")&gt;0,"Externa",""),IF(COUNTIFS($E$5:$E$1000,E192,$C$5:$C$1000,"SSF")&gt;0,"SSF",""),IF(COUNTIFS($E$5:$E$1000,E192,$C$5:$C$1000,"Comité de Supervisión")&gt;0,"Comité Sup.",""),IF(COUNTIFS($E$5:$E$1000,E192,$C$5:$C$1000,"Consejo de Administración")&gt;0,"Consejo",""),IF(COUNTIFS($E$5:$E$1000,E192,$C$5:$C$1000,"Otros")&gt;0,"Otros","")))</f>
        <v/>
      </c>
      <c r="X192" s="24" t="str">
        <f aca="false">IF(E192="","",COUNTIFS($E$5:$E$1000,E192,$AB$5:$AB$1000,AB192,$C$5:$C$1000,"&lt;&gt;"&amp;C192))</f>
        <v/>
      </c>
      <c r="Y192" s="33"/>
      <c r="Z192" s="31"/>
      <c r="AA192" s="33"/>
      <c r="AB192" s="37" t="str">
        <f aca="false">IF(B192="","",YEAR(B192)*100+MONTH(B192))</f>
        <v/>
      </c>
      <c r="AC192" s="37" t="str">
        <f aca="false">IF(AND(E192&lt;&gt;"",E192=Cruce!$C$5),COUNTIF($E$5:E192,E192),"")</f>
        <v/>
      </c>
      <c r="AD192" s="37" t="str">
        <f aca="false">IF(E192="","",C192&amp;"|"&amp;Y192&amp;"|"&amp;IF(B192="","s/f",TEXT(B192,"yyyymmdd")))</f>
        <v/>
      </c>
      <c r="AE192" s="37" t="n">
        <f aca="false">IF(E192="",0,IF(COUNTIFS($E$5:E192,E192,$AD$5:AD192,AD192)=1,1,0))</f>
        <v>0</v>
      </c>
    </row>
    <row r="193" customFormat="false" ht="15" hidden="false" customHeight="true" outlineLevel="0" collapsed="false">
      <c r="A193" s="31"/>
      <c r="B193" s="30"/>
      <c r="C193" s="31"/>
      <c r="D193" s="31"/>
      <c r="E193" s="32"/>
      <c r="F193" s="32"/>
      <c r="G193" s="33"/>
      <c r="H193" s="31"/>
      <c r="I193" s="24" t="str">
        <f aca="false">IF(B193="","",YEAR(B193))</f>
        <v/>
      </c>
      <c r="J193" s="34" t="str">
        <f aca="false">IF(B193="","",IF(MONTH(B193)=1,"X",""))</f>
        <v/>
      </c>
      <c r="K193" s="34" t="str">
        <f aca="false">IF(B193="","",IF(MONTH(B193)=2,"X",""))</f>
        <v/>
      </c>
      <c r="L193" s="34" t="str">
        <f aca="false">IF(B193="","",IF(MONTH(B193)=3,"X",""))</f>
        <v/>
      </c>
      <c r="M193" s="34" t="str">
        <f aca="false">IF(B193="","",IF(MONTH(B193)=4,"X",""))</f>
        <v/>
      </c>
      <c r="N193" s="34" t="str">
        <f aca="false">IF(B193="","",IF(MONTH(B193)=5,"X",""))</f>
        <v/>
      </c>
      <c r="O193" s="34" t="str">
        <f aca="false">IF(B193="","",IF(MONTH(B193)=6,"X",""))</f>
        <v/>
      </c>
      <c r="P193" s="34" t="str">
        <f aca="false">IF(B193="","",IF(MONTH(B193)=7,"X",""))</f>
        <v/>
      </c>
      <c r="Q193" s="34" t="str">
        <f aca="false">IF(B193="","",IF(MONTH(B193)=8,"X",""))</f>
        <v/>
      </c>
      <c r="R193" s="34" t="str">
        <f aca="false">IF(B193="","",IF(MONTH(B193)=9,"X",""))</f>
        <v/>
      </c>
      <c r="S193" s="34" t="str">
        <f aca="false">IF(B193="","",IF(MONTH(B193)=10,"X",""))</f>
        <v/>
      </c>
      <c r="T193" s="34" t="str">
        <f aca="false">IF(B193="","",IF(MONTH(B193)=11,"X",""))</f>
        <v/>
      </c>
      <c r="U193" s="34" t="str">
        <f aca="false">IF(B193="","",IF(MONTH(B193)=12,"X",""))</f>
        <v/>
      </c>
      <c r="V193" s="24" t="str">
        <f aca="false">IF(E193="","",COUNTIF($E$5:$E$1000,E193))</f>
        <v/>
      </c>
      <c r="W193" s="35" t="str">
        <f aca="false">IF(E193="","",_xlfn.TEXTJOIN(" + ",TRUE(),IF(COUNTIFS($E$5:$E$1000,E193,$C$5:$C$1000,"Auditoría Interna")&gt;0,"Interna",""),IF(COUNTIFS($E$5:$E$1000,E193,$C$5:$C$1000,"Auditoría Externa")&gt;0,"Externa",""),IF(COUNTIFS($E$5:$E$1000,E193,$C$5:$C$1000,"SSF")&gt;0,"SSF",""),IF(COUNTIFS($E$5:$E$1000,E193,$C$5:$C$1000,"Comité de Supervisión")&gt;0,"Comité Sup.",""),IF(COUNTIFS($E$5:$E$1000,E193,$C$5:$C$1000,"Consejo de Administración")&gt;0,"Consejo",""),IF(COUNTIFS($E$5:$E$1000,E193,$C$5:$C$1000,"Otros")&gt;0,"Otros","")))</f>
        <v/>
      </c>
      <c r="X193" s="24" t="str">
        <f aca="false">IF(E193="","",COUNTIFS($E$5:$E$1000,E193,$AB$5:$AB$1000,AB193,$C$5:$C$1000,"&lt;&gt;"&amp;C193))</f>
        <v/>
      </c>
      <c r="Y193" s="33"/>
      <c r="Z193" s="31"/>
      <c r="AA193" s="33"/>
      <c r="AB193" s="37" t="str">
        <f aca="false">IF(B193="","",YEAR(B193)*100+MONTH(B193))</f>
        <v/>
      </c>
      <c r="AC193" s="37" t="str">
        <f aca="false">IF(AND(E193&lt;&gt;"",E193=Cruce!$C$5),COUNTIF($E$5:E193,E193),"")</f>
        <v/>
      </c>
      <c r="AD193" s="37" t="str">
        <f aca="false">IF(E193="","",C193&amp;"|"&amp;Y193&amp;"|"&amp;IF(B193="","s/f",TEXT(B193,"yyyymmdd")))</f>
        <v/>
      </c>
      <c r="AE193" s="37" t="n">
        <f aca="false">IF(E193="",0,IF(COUNTIFS($E$5:E193,E193,$AD$5:AD193,AD193)=1,1,0))</f>
        <v>0</v>
      </c>
    </row>
    <row r="194" customFormat="false" ht="15" hidden="false" customHeight="true" outlineLevel="0" collapsed="false">
      <c r="A194" s="31"/>
      <c r="B194" s="30"/>
      <c r="C194" s="31"/>
      <c r="D194" s="31"/>
      <c r="E194" s="32"/>
      <c r="F194" s="32"/>
      <c r="G194" s="33"/>
      <c r="H194" s="31"/>
      <c r="I194" s="24" t="str">
        <f aca="false">IF(B194="","",YEAR(B194))</f>
        <v/>
      </c>
      <c r="J194" s="34" t="str">
        <f aca="false">IF(B194="","",IF(MONTH(B194)=1,"X",""))</f>
        <v/>
      </c>
      <c r="K194" s="34" t="str">
        <f aca="false">IF(B194="","",IF(MONTH(B194)=2,"X",""))</f>
        <v/>
      </c>
      <c r="L194" s="34" t="str">
        <f aca="false">IF(B194="","",IF(MONTH(B194)=3,"X",""))</f>
        <v/>
      </c>
      <c r="M194" s="34" t="str">
        <f aca="false">IF(B194="","",IF(MONTH(B194)=4,"X",""))</f>
        <v/>
      </c>
      <c r="N194" s="34" t="str">
        <f aca="false">IF(B194="","",IF(MONTH(B194)=5,"X",""))</f>
        <v/>
      </c>
      <c r="O194" s="34" t="str">
        <f aca="false">IF(B194="","",IF(MONTH(B194)=6,"X",""))</f>
        <v/>
      </c>
      <c r="P194" s="34" t="str">
        <f aca="false">IF(B194="","",IF(MONTH(B194)=7,"X",""))</f>
        <v/>
      </c>
      <c r="Q194" s="34" t="str">
        <f aca="false">IF(B194="","",IF(MONTH(B194)=8,"X",""))</f>
        <v/>
      </c>
      <c r="R194" s="34" t="str">
        <f aca="false">IF(B194="","",IF(MONTH(B194)=9,"X",""))</f>
        <v/>
      </c>
      <c r="S194" s="34" t="str">
        <f aca="false">IF(B194="","",IF(MONTH(B194)=10,"X",""))</f>
        <v/>
      </c>
      <c r="T194" s="34" t="str">
        <f aca="false">IF(B194="","",IF(MONTH(B194)=11,"X",""))</f>
        <v/>
      </c>
      <c r="U194" s="34" t="str">
        <f aca="false">IF(B194="","",IF(MONTH(B194)=12,"X",""))</f>
        <v/>
      </c>
      <c r="V194" s="24" t="str">
        <f aca="false">IF(E194="","",COUNTIF($E$5:$E$1000,E194))</f>
        <v/>
      </c>
      <c r="W194" s="35" t="str">
        <f aca="false">IF(E194="","",_xlfn.TEXTJOIN(" + ",TRUE(),IF(COUNTIFS($E$5:$E$1000,E194,$C$5:$C$1000,"Auditoría Interna")&gt;0,"Interna",""),IF(COUNTIFS($E$5:$E$1000,E194,$C$5:$C$1000,"Auditoría Externa")&gt;0,"Externa",""),IF(COUNTIFS($E$5:$E$1000,E194,$C$5:$C$1000,"SSF")&gt;0,"SSF",""),IF(COUNTIFS($E$5:$E$1000,E194,$C$5:$C$1000,"Comité de Supervisión")&gt;0,"Comité Sup.",""),IF(COUNTIFS($E$5:$E$1000,E194,$C$5:$C$1000,"Consejo de Administración")&gt;0,"Consejo",""),IF(COUNTIFS($E$5:$E$1000,E194,$C$5:$C$1000,"Otros")&gt;0,"Otros","")))</f>
        <v/>
      </c>
      <c r="X194" s="24" t="str">
        <f aca="false">IF(E194="","",COUNTIFS($E$5:$E$1000,E194,$AB$5:$AB$1000,AB194,$C$5:$C$1000,"&lt;&gt;"&amp;C194))</f>
        <v/>
      </c>
      <c r="Y194" s="33"/>
      <c r="Z194" s="31"/>
      <c r="AA194" s="33"/>
      <c r="AB194" s="37" t="str">
        <f aca="false">IF(B194="","",YEAR(B194)*100+MONTH(B194))</f>
        <v/>
      </c>
      <c r="AC194" s="37" t="str">
        <f aca="false">IF(AND(E194&lt;&gt;"",E194=Cruce!$C$5),COUNTIF($E$5:E194,E194),"")</f>
        <v/>
      </c>
      <c r="AD194" s="37" t="str">
        <f aca="false">IF(E194="","",C194&amp;"|"&amp;Y194&amp;"|"&amp;IF(B194="","s/f",TEXT(B194,"yyyymmdd")))</f>
        <v/>
      </c>
      <c r="AE194" s="37" t="n">
        <f aca="false">IF(E194="",0,IF(COUNTIFS($E$5:E194,E194,$AD$5:AD194,AD194)=1,1,0))</f>
        <v>0</v>
      </c>
    </row>
    <row r="195" customFormat="false" ht="15" hidden="false" customHeight="true" outlineLevel="0" collapsed="false">
      <c r="A195" s="31"/>
      <c r="B195" s="30"/>
      <c r="C195" s="31"/>
      <c r="D195" s="31"/>
      <c r="E195" s="32"/>
      <c r="F195" s="32"/>
      <c r="G195" s="33"/>
      <c r="H195" s="31"/>
      <c r="I195" s="24" t="str">
        <f aca="false">IF(B195="","",YEAR(B195))</f>
        <v/>
      </c>
      <c r="J195" s="34" t="str">
        <f aca="false">IF(B195="","",IF(MONTH(B195)=1,"X",""))</f>
        <v/>
      </c>
      <c r="K195" s="34" t="str">
        <f aca="false">IF(B195="","",IF(MONTH(B195)=2,"X",""))</f>
        <v/>
      </c>
      <c r="L195" s="34" t="str">
        <f aca="false">IF(B195="","",IF(MONTH(B195)=3,"X",""))</f>
        <v/>
      </c>
      <c r="M195" s="34" t="str">
        <f aca="false">IF(B195="","",IF(MONTH(B195)=4,"X",""))</f>
        <v/>
      </c>
      <c r="N195" s="34" t="str">
        <f aca="false">IF(B195="","",IF(MONTH(B195)=5,"X",""))</f>
        <v/>
      </c>
      <c r="O195" s="34" t="str">
        <f aca="false">IF(B195="","",IF(MONTH(B195)=6,"X",""))</f>
        <v/>
      </c>
      <c r="P195" s="34" t="str">
        <f aca="false">IF(B195="","",IF(MONTH(B195)=7,"X",""))</f>
        <v/>
      </c>
      <c r="Q195" s="34" t="str">
        <f aca="false">IF(B195="","",IF(MONTH(B195)=8,"X",""))</f>
        <v/>
      </c>
      <c r="R195" s="34" t="str">
        <f aca="false">IF(B195="","",IF(MONTH(B195)=9,"X",""))</f>
        <v/>
      </c>
      <c r="S195" s="34" t="str">
        <f aca="false">IF(B195="","",IF(MONTH(B195)=10,"X",""))</f>
        <v/>
      </c>
      <c r="T195" s="34" t="str">
        <f aca="false">IF(B195="","",IF(MONTH(B195)=11,"X",""))</f>
        <v/>
      </c>
      <c r="U195" s="34" t="str">
        <f aca="false">IF(B195="","",IF(MONTH(B195)=12,"X",""))</f>
        <v/>
      </c>
      <c r="V195" s="24" t="str">
        <f aca="false">IF(E195="","",COUNTIF($E$5:$E$1000,E195))</f>
        <v/>
      </c>
      <c r="W195" s="35" t="str">
        <f aca="false">IF(E195="","",_xlfn.TEXTJOIN(" + ",TRUE(),IF(COUNTIFS($E$5:$E$1000,E195,$C$5:$C$1000,"Auditoría Interna")&gt;0,"Interna",""),IF(COUNTIFS($E$5:$E$1000,E195,$C$5:$C$1000,"Auditoría Externa")&gt;0,"Externa",""),IF(COUNTIFS($E$5:$E$1000,E195,$C$5:$C$1000,"SSF")&gt;0,"SSF",""),IF(COUNTIFS($E$5:$E$1000,E195,$C$5:$C$1000,"Comité de Supervisión")&gt;0,"Comité Sup.",""),IF(COUNTIFS($E$5:$E$1000,E195,$C$5:$C$1000,"Consejo de Administración")&gt;0,"Consejo",""),IF(COUNTIFS($E$5:$E$1000,E195,$C$5:$C$1000,"Otros")&gt;0,"Otros","")))</f>
        <v/>
      </c>
      <c r="X195" s="24" t="str">
        <f aca="false">IF(E195="","",COUNTIFS($E$5:$E$1000,E195,$AB$5:$AB$1000,AB195,$C$5:$C$1000,"&lt;&gt;"&amp;C195))</f>
        <v/>
      </c>
      <c r="Y195" s="33"/>
      <c r="Z195" s="31"/>
      <c r="AA195" s="33"/>
      <c r="AB195" s="37" t="str">
        <f aca="false">IF(B195="","",YEAR(B195)*100+MONTH(B195))</f>
        <v/>
      </c>
      <c r="AC195" s="37" t="str">
        <f aca="false">IF(AND(E195&lt;&gt;"",E195=Cruce!$C$5),COUNTIF($E$5:E195,E195),"")</f>
        <v/>
      </c>
      <c r="AD195" s="37" t="str">
        <f aca="false">IF(E195="","",C195&amp;"|"&amp;Y195&amp;"|"&amp;IF(B195="","s/f",TEXT(B195,"yyyymmdd")))</f>
        <v/>
      </c>
      <c r="AE195" s="37" t="n">
        <f aca="false">IF(E195="",0,IF(COUNTIFS($E$5:E195,E195,$AD$5:AD195,AD195)=1,1,0))</f>
        <v>0</v>
      </c>
    </row>
    <row r="196" customFormat="false" ht="15" hidden="false" customHeight="true" outlineLevel="0" collapsed="false">
      <c r="A196" s="31"/>
      <c r="B196" s="30"/>
      <c r="C196" s="31"/>
      <c r="D196" s="31"/>
      <c r="E196" s="32"/>
      <c r="F196" s="32"/>
      <c r="G196" s="33"/>
      <c r="H196" s="31"/>
      <c r="I196" s="24" t="str">
        <f aca="false">IF(B196="","",YEAR(B196))</f>
        <v/>
      </c>
      <c r="J196" s="34" t="str">
        <f aca="false">IF(B196="","",IF(MONTH(B196)=1,"X",""))</f>
        <v/>
      </c>
      <c r="K196" s="34" t="str">
        <f aca="false">IF(B196="","",IF(MONTH(B196)=2,"X",""))</f>
        <v/>
      </c>
      <c r="L196" s="34" t="str">
        <f aca="false">IF(B196="","",IF(MONTH(B196)=3,"X",""))</f>
        <v/>
      </c>
      <c r="M196" s="34" t="str">
        <f aca="false">IF(B196="","",IF(MONTH(B196)=4,"X",""))</f>
        <v/>
      </c>
      <c r="N196" s="34" t="str">
        <f aca="false">IF(B196="","",IF(MONTH(B196)=5,"X",""))</f>
        <v/>
      </c>
      <c r="O196" s="34" t="str">
        <f aca="false">IF(B196="","",IF(MONTH(B196)=6,"X",""))</f>
        <v/>
      </c>
      <c r="P196" s="34" t="str">
        <f aca="false">IF(B196="","",IF(MONTH(B196)=7,"X",""))</f>
        <v/>
      </c>
      <c r="Q196" s="34" t="str">
        <f aca="false">IF(B196="","",IF(MONTH(B196)=8,"X",""))</f>
        <v/>
      </c>
      <c r="R196" s="34" t="str">
        <f aca="false">IF(B196="","",IF(MONTH(B196)=9,"X",""))</f>
        <v/>
      </c>
      <c r="S196" s="34" t="str">
        <f aca="false">IF(B196="","",IF(MONTH(B196)=10,"X",""))</f>
        <v/>
      </c>
      <c r="T196" s="34" t="str">
        <f aca="false">IF(B196="","",IF(MONTH(B196)=11,"X",""))</f>
        <v/>
      </c>
      <c r="U196" s="34" t="str">
        <f aca="false">IF(B196="","",IF(MONTH(B196)=12,"X",""))</f>
        <v/>
      </c>
      <c r="V196" s="24" t="str">
        <f aca="false">IF(E196="","",COUNTIF($E$5:$E$1000,E196))</f>
        <v/>
      </c>
      <c r="W196" s="35" t="str">
        <f aca="false">IF(E196="","",_xlfn.TEXTJOIN(" + ",TRUE(),IF(COUNTIFS($E$5:$E$1000,E196,$C$5:$C$1000,"Auditoría Interna")&gt;0,"Interna",""),IF(COUNTIFS($E$5:$E$1000,E196,$C$5:$C$1000,"Auditoría Externa")&gt;0,"Externa",""),IF(COUNTIFS($E$5:$E$1000,E196,$C$5:$C$1000,"SSF")&gt;0,"SSF",""),IF(COUNTIFS($E$5:$E$1000,E196,$C$5:$C$1000,"Comité de Supervisión")&gt;0,"Comité Sup.",""),IF(COUNTIFS($E$5:$E$1000,E196,$C$5:$C$1000,"Consejo de Administración")&gt;0,"Consejo",""),IF(COUNTIFS($E$5:$E$1000,E196,$C$5:$C$1000,"Otros")&gt;0,"Otros","")))</f>
        <v/>
      </c>
      <c r="X196" s="24" t="str">
        <f aca="false">IF(E196="","",COUNTIFS($E$5:$E$1000,E196,$AB$5:$AB$1000,AB196,$C$5:$C$1000,"&lt;&gt;"&amp;C196))</f>
        <v/>
      </c>
      <c r="Y196" s="33"/>
      <c r="Z196" s="31"/>
      <c r="AA196" s="33"/>
      <c r="AB196" s="37" t="str">
        <f aca="false">IF(B196="","",YEAR(B196)*100+MONTH(B196))</f>
        <v/>
      </c>
      <c r="AC196" s="37" t="str">
        <f aca="false">IF(AND(E196&lt;&gt;"",E196=Cruce!$C$5),COUNTIF($E$5:E196,E196),"")</f>
        <v/>
      </c>
      <c r="AD196" s="37" t="str">
        <f aca="false">IF(E196="","",C196&amp;"|"&amp;Y196&amp;"|"&amp;IF(B196="","s/f",TEXT(B196,"yyyymmdd")))</f>
        <v/>
      </c>
      <c r="AE196" s="37" t="n">
        <f aca="false">IF(E196="",0,IF(COUNTIFS($E$5:E196,E196,$AD$5:AD196,AD196)=1,1,0))</f>
        <v>0</v>
      </c>
    </row>
    <row r="197" customFormat="false" ht="15" hidden="false" customHeight="true" outlineLevel="0" collapsed="false">
      <c r="A197" s="31"/>
      <c r="B197" s="30"/>
      <c r="C197" s="31"/>
      <c r="D197" s="31"/>
      <c r="E197" s="32"/>
      <c r="F197" s="32"/>
      <c r="G197" s="33"/>
      <c r="H197" s="31"/>
      <c r="I197" s="24" t="str">
        <f aca="false">IF(B197="","",YEAR(B197))</f>
        <v/>
      </c>
      <c r="J197" s="34" t="str">
        <f aca="false">IF(B197="","",IF(MONTH(B197)=1,"X",""))</f>
        <v/>
      </c>
      <c r="K197" s="34" t="str">
        <f aca="false">IF(B197="","",IF(MONTH(B197)=2,"X",""))</f>
        <v/>
      </c>
      <c r="L197" s="34" t="str">
        <f aca="false">IF(B197="","",IF(MONTH(B197)=3,"X",""))</f>
        <v/>
      </c>
      <c r="M197" s="34" t="str">
        <f aca="false">IF(B197="","",IF(MONTH(B197)=4,"X",""))</f>
        <v/>
      </c>
      <c r="N197" s="34" t="str">
        <f aca="false">IF(B197="","",IF(MONTH(B197)=5,"X",""))</f>
        <v/>
      </c>
      <c r="O197" s="34" t="str">
        <f aca="false">IF(B197="","",IF(MONTH(B197)=6,"X",""))</f>
        <v/>
      </c>
      <c r="P197" s="34" t="str">
        <f aca="false">IF(B197="","",IF(MONTH(B197)=7,"X",""))</f>
        <v/>
      </c>
      <c r="Q197" s="34" t="str">
        <f aca="false">IF(B197="","",IF(MONTH(B197)=8,"X",""))</f>
        <v/>
      </c>
      <c r="R197" s="34" t="str">
        <f aca="false">IF(B197="","",IF(MONTH(B197)=9,"X",""))</f>
        <v/>
      </c>
      <c r="S197" s="34" t="str">
        <f aca="false">IF(B197="","",IF(MONTH(B197)=10,"X",""))</f>
        <v/>
      </c>
      <c r="T197" s="34" t="str">
        <f aca="false">IF(B197="","",IF(MONTH(B197)=11,"X",""))</f>
        <v/>
      </c>
      <c r="U197" s="34" t="str">
        <f aca="false">IF(B197="","",IF(MONTH(B197)=12,"X",""))</f>
        <v/>
      </c>
      <c r="V197" s="24" t="str">
        <f aca="false">IF(E197="","",COUNTIF($E$5:$E$1000,E197))</f>
        <v/>
      </c>
      <c r="W197" s="35" t="str">
        <f aca="false">IF(E197="","",_xlfn.TEXTJOIN(" + ",TRUE(),IF(COUNTIFS($E$5:$E$1000,E197,$C$5:$C$1000,"Auditoría Interna")&gt;0,"Interna",""),IF(COUNTIFS($E$5:$E$1000,E197,$C$5:$C$1000,"Auditoría Externa")&gt;0,"Externa",""),IF(COUNTIFS($E$5:$E$1000,E197,$C$5:$C$1000,"SSF")&gt;0,"SSF",""),IF(COUNTIFS($E$5:$E$1000,E197,$C$5:$C$1000,"Comité de Supervisión")&gt;0,"Comité Sup.",""),IF(COUNTIFS($E$5:$E$1000,E197,$C$5:$C$1000,"Consejo de Administración")&gt;0,"Consejo",""),IF(COUNTIFS($E$5:$E$1000,E197,$C$5:$C$1000,"Otros")&gt;0,"Otros","")))</f>
        <v/>
      </c>
      <c r="X197" s="24" t="str">
        <f aca="false">IF(E197="","",COUNTIFS($E$5:$E$1000,E197,$AB$5:$AB$1000,AB197,$C$5:$C$1000,"&lt;&gt;"&amp;C197))</f>
        <v/>
      </c>
      <c r="Y197" s="33"/>
      <c r="Z197" s="31"/>
      <c r="AA197" s="33"/>
      <c r="AB197" s="37" t="str">
        <f aca="false">IF(B197="","",YEAR(B197)*100+MONTH(B197))</f>
        <v/>
      </c>
      <c r="AC197" s="37" t="str">
        <f aca="false">IF(AND(E197&lt;&gt;"",E197=Cruce!$C$5),COUNTIF($E$5:E197,E197),"")</f>
        <v/>
      </c>
      <c r="AD197" s="37" t="str">
        <f aca="false">IF(E197="","",C197&amp;"|"&amp;Y197&amp;"|"&amp;IF(B197="","s/f",TEXT(B197,"yyyymmdd")))</f>
        <v/>
      </c>
      <c r="AE197" s="37" t="n">
        <f aca="false">IF(E197="",0,IF(COUNTIFS($E$5:E197,E197,$AD$5:AD197,AD197)=1,1,0))</f>
        <v>0</v>
      </c>
    </row>
    <row r="198" customFormat="false" ht="15" hidden="false" customHeight="true" outlineLevel="0" collapsed="false">
      <c r="A198" s="31"/>
      <c r="B198" s="30"/>
      <c r="C198" s="31"/>
      <c r="D198" s="31"/>
      <c r="E198" s="32"/>
      <c r="F198" s="32"/>
      <c r="G198" s="33"/>
      <c r="H198" s="31"/>
      <c r="I198" s="24" t="str">
        <f aca="false">IF(B198="","",YEAR(B198))</f>
        <v/>
      </c>
      <c r="J198" s="34" t="str">
        <f aca="false">IF(B198="","",IF(MONTH(B198)=1,"X",""))</f>
        <v/>
      </c>
      <c r="K198" s="34" t="str">
        <f aca="false">IF(B198="","",IF(MONTH(B198)=2,"X",""))</f>
        <v/>
      </c>
      <c r="L198" s="34" t="str">
        <f aca="false">IF(B198="","",IF(MONTH(B198)=3,"X",""))</f>
        <v/>
      </c>
      <c r="M198" s="34" t="str">
        <f aca="false">IF(B198="","",IF(MONTH(B198)=4,"X",""))</f>
        <v/>
      </c>
      <c r="N198" s="34" t="str">
        <f aca="false">IF(B198="","",IF(MONTH(B198)=5,"X",""))</f>
        <v/>
      </c>
      <c r="O198" s="34" t="str">
        <f aca="false">IF(B198="","",IF(MONTH(B198)=6,"X",""))</f>
        <v/>
      </c>
      <c r="P198" s="34" t="str">
        <f aca="false">IF(B198="","",IF(MONTH(B198)=7,"X",""))</f>
        <v/>
      </c>
      <c r="Q198" s="34" t="str">
        <f aca="false">IF(B198="","",IF(MONTH(B198)=8,"X",""))</f>
        <v/>
      </c>
      <c r="R198" s="34" t="str">
        <f aca="false">IF(B198="","",IF(MONTH(B198)=9,"X",""))</f>
        <v/>
      </c>
      <c r="S198" s="34" t="str">
        <f aca="false">IF(B198="","",IF(MONTH(B198)=10,"X",""))</f>
        <v/>
      </c>
      <c r="T198" s="34" t="str">
        <f aca="false">IF(B198="","",IF(MONTH(B198)=11,"X",""))</f>
        <v/>
      </c>
      <c r="U198" s="34" t="str">
        <f aca="false">IF(B198="","",IF(MONTH(B198)=12,"X",""))</f>
        <v/>
      </c>
      <c r="V198" s="24" t="str">
        <f aca="false">IF(E198="","",COUNTIF($E$5:$E$1000,E198))</f>
        <v/>
      </c>
      <c r="W198" s="35" t="str">
        <f aca="false">IF(E198="","",_xlfn.TEXTJOIN(" + ",TRUE(),IF(COUNTIFS($E$5:$E$1000,E198,$C$5:$C$1000,"Auditoría Interna")&gt;0,"Interna",""),IF(COUNTIFS($E$5:$E$1000,E198,$C$5:$C$1000,"Auditoría Externa")&gt;0,"Externa",""),IF(COUNTIFS($E$5:$E$1000,E198,$C$5:$C$1000,"SSF")&gt;0,"SSF",""),IF(COUNTIFS($E$5:$E$1000,E198,$C$5:$C$1000,"Comité de Supervisión")&gt;0,"Comité Sup.",""),IF(COUNTIFS($E$5:$E$1000,E198,$C$5:$C$1000,"Consejo de Administración")&gt;0,"Consejo",""),IF(COUNTIFS($E$5:$E$1000,E198,$C$5:$C$1000,"Otros")&gt;0,"Otros","")))</f>
        <v/>
      </c>
      <c r="X198" s="24" t="str">
        <f aca="false">IF(E198="","",COUNTIFS($E$5:$E$1000,E198,$AB$5:$AB$1000,AB198,$C$5:$C$1000,"&lt;&gt;"&amp;C198))</f>
        <v/>
      </c>
      <c r="Y198" s="33"/>
      <c r="Z198" s="31"/>
      <c r="AA198" s="33"/>
      <c r="AB198" s="37" t="str">
        <f aca="false">IF(B198="","",YEAR(B198)*100+MONTH(B198))</f>
        <v/>
      </c>
      <c r="AC198" s="37" t="str">
        <f aca="false">IF(AND(E198&lt;&gt;"",E198=Cruce!$C$5),COUNTIF($E$5:E198,E198),"")</f>
        <v/>
      </c>
      <c r="AD198" s="37" t="str">
        <f aca="false">IF(E198="","",C198&amp;"|"&amp;Y198&amp;"|"&amp;IF(B198="","s/f",TEXT(B198,"yyyymmdd")))</f>
        <v/>
      </c>
      <c r="AE198" s="37" t="n">
        <f aca="false">IF(E198="",0,IF(COUNTIFS($E$5:E198,E198,$AD$5:AD198,AD198)=1,1,0))</f>
        <v>0</v>
      </c>
    </row>
    <row r="199" customFormat="false" ht="15" hidden="false" customHeight="true" outlineLevel="0" collapsed="false">
      <c r="A199" s="31"/>
      <c r="B199" s="30"/>
      <c r="C199" s="31"/>
      <c r="D199" s="31"/>
      <c r="E199" s="32"/>
      <c r="F199" s="32"/>
      <c r="G199" s="33"/>
      <c r="H199" s="31"/>
      <c r="I199" s="24" t="str">
        <f aca="false">IF(B199="","",YEAR(B199))</f>
        <v/>
      </c>
      <c r="J199" s="34" t="str">
        <f aca="false">IF(B199="","",IF(MONTH(B199)=1,"X",""))</f>
        <v/>
      </c>
      <c r="K199" s="34" t="str">
        <f aca="false">IF(B199="","",IF(MONTH(B199)=2,"X",""))</f>
        <v/>
      </c>
      <c r="L199" s="34" t="str">
        <f aca="false">IF(B199="","",IF(MONTH(B199)=3,"X",""))</f>
        <v/>
      </c>
      <c r="M199" s="34" t="str">
        <f aca="false">IF(B199="","",IF(MONTH(B199)=4,"X",""))</f>
        <v/>
      </c>
      <c r="N199" s="34" t="str">
        <f aca="false">IF(B199="","",IF(MONTH(B199)=5,"X",""))</f>
        <v/>
      </c>
      <c r="O199" s="34" t="str">
        <f aca="false">IF(B199="","",IF(MONTH(B199)=6,"X",""))</f>
        <v/>
      </c>
      <c r="P199" s="34" t="str">
        <f aca="false">IF(B199="","",IF(MONTH(B199)=7,"X",""))</f>
        <v/>
      </c>
      <c r="Q199" s="34" t="str">
        <f aca="false">IF(B199="","",IF(MONTH(B199)=8,"X",""))</f>
        <v/>
      </c>
      <c r="R199" s="34" t="str">
        <f aca="false">IF(B199="","",IF(MONTH(B199)=9,"X",""))</f>
        <v/>
      </c>
      <c r="S199" s="34" t="str">
        <f aca="false">IF(B199="","",IF(MONTH(B199)=10,"X",""))</f>
        <v/>
      </c>
      <c r="T199" s="34" t="str">
        <f aca="false">IF(B199="","",IF(MONTH(B199)=11,"X",""))</f>
        <v/>
      </c>
      <c r="U199" s="34" t="str">
        <f aca="false">IF(B199="","",IF(MONTH(B199)=12,"X",""))</f>
        <v/>
      </c>
      <c r="V199" s="24" t="str">
        <f aca="false">IF(E199="","",COUNTIF($E$5:$E$1000,E199))</f>
        <v/>
      </c>
      <c r="W199" s="35" t="str">
        <f aca="false">IF(E199="","",_xlfn.TEXTJOIN(" + ",TRUE(),IF(COUNTIFS($E$5:$E$1000,E199,$C$5:$C$1000,"Auditoría Interna")&gt;0,"Interna",""),IF(COUNTIFS($E$5:$E$1000,E199,$C$5:$C$1000,"Auditoría Externa")&gt;0,"Externa",""),IF(COUNTIFS($E$5:$E$1000,E199,$C$5:$C$1000,"SSF")&gt;0,"SSF",""),IF(COUNTIFS($E$5:$E$1000,E199,$C$5:$C$1000,"Comité de Supervisión")&gt;0,"Comité Sup.",""),IF(COUNTIFS($E$5:$E$1000,E199,$C$5:$C$1000,"Consejo de Administración")&gt;0,"Consejo",""),IF(COUNTIFS($E$5:$E$1000,E199,$C$5:$C$1000,"Otros")&gt;0,"Otros","")))</f>
        <v/>
      </c>
      <c r="X199" s="24" t="str">
        <f aca="false">IF(E199="","",COUNTIFS($E$5:$E$1000,E199,$AB$5:$AB$1000,AB199,$C$5:$C$1000,"&lt;&gt;"&amp;C199))</f>
        <v/>
      </c>
      <c r="Y199" s="33"/>
      <c r="Z199" s="31"/>
      <c r="AA199" s="33"/>
      <c r="AB199" s="37" t="str">
        <f aca="false">IF(B199="","",YEAR(B199)*100+MONTH(B199))</f>
        <v/>
      </c>
      <c r="AC199" s="37" t="str">
        <f aca="false">IF(AND(E199&lt;&gt;"",E199=Cruce!$C$5),COUNTIF($E$5:E199,E199),"")</f>
        <v/>
      </c>
      <c r="AD199" s="37" t="str">
        <f aca="false">IF(E199="","",C199&amp;"|"&amp;Y199&amp;"|"&amp;IF(B199="","s/f",TEXT(B199,"yyyymmdd")))</f>
        <v/>
      </c>
      <c r="AE199" s="37" t="n">
        <f aca="false">IF(E199="",0,IF(COUNTIFS($E$5:E199,E199,$AD$5:AD199,AD199)=1,1,0))</f>
        <v>0</v>
      </c>
    </row>
    <row r="200" customFormat="false" ht="15" hidden="false" customHeight="true" outlineLevel="0" collapsed="false">
      <c r="A200" s="31"/>
      <c r="B200" s="30"/>
      <c r="C200" s="31"/>
      <c r="D200" s="31"/>
      <c r="E200" s="32"/>
      <c r="F200" s="32"/>
      <c r="G200" s="33"/>
      <c r="H200" s="31"/>
      <c r="I200" s="24" t="str">
        <f aca="false">IF(B200="","",YEAR(B200))</f>
        <v/>
      </c>
      <c r="J200" s="34" t="str">
        <f aca="false">IF(B200="","",IF(MONTH(B200)=1,"X",""))</f>
        <v/>
      </c>
      <c r="K200" s="34" t="str">
        <f aca="false">IF(B200="","",IF(MONTH(B200)=2,"X",""))</f>
        <v/>
      </c>
      <c r="L200" s="34" t="str">
        <f aca="false">IF(B200="","",IF(MONTH(B200)=3,"X",""))</f>
        <v/>
      </c>
      <c r="M200" s="34" t="str">
        <f aca="false">IF(B200="","",IF(MONTH(B200)=4,"X",""))</f>
        <v/>
      </c>
      <c r="N200" s="34" t="str">
        <f aca="false">IF(B200="","",IF(MONTH(B200)=5,"X",""))</f>
        <v/>
      </c>
      <c r="O200" s="34" t="str">
        <f aca="false">IF(B200="","",IF(MONTH(B200)=6,"X",""))</f>
        <v/>
      </c>
      <c r="P200" s="34" t="str">
        <f aca="false">IF(B200="","",IF(MONTH(B200)=7,"X",""))</f>
        <v/>
      </c>
      <c r="Q200" s="34" t="str">
        <f aca="false">IF(B200="","",IF(MONTH(B200)=8,"X",""))</f>
        <v/>
      </c>
      <c r="R200" s="34" t="str">
        <f aca="false">IF(B200="","",IF(MONTH(B200)=9,"X",""))</f>
        <v/>
      </c>
      <c r="S200" s="34" t="str">
        <f aca="false">IF(B200="","",IF(MONTH(B200)=10,"X",""))</f>
        <v/>
      </c>
      <c r="T200" s="34" t="str">
        <f aca="false">IF(B200="","",IF(MONTH(B200)=11,"X",""))</f>
        <v/>
      </c>
      <c r="U200" s="34" t="str">
        <f aca="false">IF(B200="","",IF(MONTH(B200)=12,"X",""))</f>
        <v/>
      </c>
      <c r="V200" s="24" t="str">
        <f aca="false">IF(E200="","",COUNTIF($E$5:$E$1000,E200))</f>
        <v/>
      </c>
      <c r="W200" s="35" t="str">
        <f aca="false">IF(E200="","",_xlfn.TEXTJOIN(" + ",TRUE(),IF(COUNTIFS($E$5:$E$1000,E200,$C$5:$C$1000,"Auditoría Interna")&gt;0,"Interna",""),IF(COUNTIFS($E$5:$E$1000,E200,$C$5:$C$1000,"Auditoría Externa")&gt;0,"Externa",""),IF(COUNTIFS($E$5:$E$1000,E200,$C$5:$C$1000,"SSF")&gt;0,"SSF",""),IF(COUNTIFS($E$5:$E$1000,E200,$C$5:$C$1000,"Comité de Supervisión")&gt;0,"Comité Sup.",""),IF(COUNTIFS($E$5:$E$1000,E200,$C$5:$C$1000,"Consejo de Administración")&gt;0,"Consejo",""),IF(COUNTIFS($E$5:$E$1000,E200,$C$5:$C$1000,"Otros")&gt;0,"Otros","")))</f>
        <v/>
      </c>
      <c r="X200" s="24" t="str">
        <f aca="false">IF(E200="","",COUNTIFS($E$5:$E$1000,E200,$AB$5:$AB$1000,AB200,$C$5:$C$1000,"&lt;&gt;"&amp;C200))</f>
        <v/>
      </c>
      <c r="Y200" s="33"/>
      <c r="Z200" s="31"/>
      <c r="AA200" s="33"/>
      <c r="AB200" s="37" t="str">
        <f aca="false">IF(B200="","",YEAR(B200)*100+MONTH(B200))</f>
        <v/>
      </c>
      <c r="AC200" s="37" t="str">
        <f aca="false">IF(AND(E200&lt;&gt;"",E200=Cruce!$C$5),COUNTIF($E$5:E200,E200),"")</f>
        <v/>
      </c>
      <c r="AD200" s="37" t="str">
        <f aca="false">IF(E200="","",C200&amp;"|"&amp;Y200&amp;"|"&amp;IF(B200="","s/f",TEXT(B200,"yyyymmdd")))</f>
        <v/>
      </c>
      <c r="AE200" s="37" t="n">
        <f aca="false">IF(E200="",0,IF(COUNTIFS($E$5:E200,E200,$AD$5:AD200,AD200)=1,1,0))</f>
        <v>0</v>
      </c>
    </row>
    <row r="201" customFormat="false" ht="15" hidden="false" customHeight="true" outlineLevel="0" collapsed="false">
      <c r="A201" s="31"/>
      <c r="B201" s="30"/>
      <c r="C201" s="31"/>
      <c r="D201" s="31"/>
      <c r="E201" s="32"/>
      <c r="F201" s="32"/>
      <c r="G201" s="33"/>
      <c r="H201" s="31"/>
      <c r="I201" s="24" t="str">
        <f aca="false">IF(B201="","",YEAR(B201))</f>
        <v/>
      </c>
      <c r="J201" s="34" t="str">
        <f aca="false">IF(B201="","",IF(MONTH(B201)=1,"X",""))</f>
        <v/>
      </c>
      <c r="K201" s="34" t="str">
        <f aca="false">IF(B201="","",IF(MONTH(B201)=2,"X",""))</f>
        <v/>
      </c>
      <c r="L201" s="34" t="str">
        <f aca="false">IF(B201="","",IF(MONTH(B201)=3,"X",""))</f>
        <v/>
      </c>
      <c r="M201" s="34" t="str">
        <f aca="false">IF(B201="","",IF(MONTH(B201)=4,"X",""))</f>
        <v/>
      </c>
      <c r="N201" s="34" t="str">
        <f aca="false">IF(B201="","",IF(MONTH(B201)=5,"X",""))</f>
        <v/>
      </c>
      <c r="O201" s="34" t="str">
        <f aca="false">IF(B201="","",IF(MONTH(B201)=6,"X",""))</f>
        <v/>
      </c>
      <c r="P201" s="34" t="str">
        <f aca="false">IF(B201="","",IF(MONTH(B201)=7,"X",""))</f>
        <v/>
      </c>
      <c r="Q201" s="34" t="str">
        <f aca="false">IF(B201="","",IF(MONTH(B201)=8,"X",""))</f>
        <v/>
      </c>
      <c r="R201" s="34" t="str">
        <f aca="false">IF(B201="","",IF(MONTH(B201)=9,"X",""))</f>
        <v/>
      </c>
      <c r="S201" s="34" t="str">
        <f aca="false">IF(B201="","",IF(MONTH(B201)=10,"X",""))</f>
        <v/>
      </c>
      <c r="T201" s="34" t="str">
        <f aca="false">IF(B201="","",IF(MONTH(B201)=11,"X",""))</f>
        <v/>
      </c>
      <c r="U201" s="34" t="str">
        <f aca="false">IF(B201="","",IF(MONTH(B201)=12,"X",""))</f>
        <v/>
      </c>
      <c r="V201" s="24" t="str">
        <f aca="false">IF(E201="","",COUNTIF($E$5:$E$1000,E201))</f>
        <v/>
      </c>
      <c r="W201" s="35" t="str">
        <f aca="false">IF(E201="","",_xlfn.TEXTJOIN(" + ",TRUE(),IF(COUNTIFS($E$5:$E$1000,E201,$C$5:$C$1000,"Auditoría Interna")&gt;0,"Interna",""),IF(COUNTIFS($E$5:$E$1000,E201,$C$5:$C$1000,"Auditoría Externa")&gt;0,"Externa",""),IF(COUNTIFS($E$5:$E$1000,E201,$C$5:$C$1000,"SSF")&gt;0,"SSF",""),IF(COUNTIFS($E$5:$E$1000,E201,$C$5:$C$1000,"Comité de Supervisión")&gt;0,"Comité Sup.",""),IF(COUNTIFS($E$5:$E$1000,E201,$C$5:$C$1000,"Consejo de Administración")&gt;0,"Consejo",""),IF(COUNTIFS($E$5:$E$1000,E201,$C$5:$C$1000,"Otros")&gt;0,"Otros","")))</f>
        <v/>
      </c>
      <c r="X201" s="24" t="str">
        <f aca="false">IF(E201="","",COUNTIFS($E$5:$E$1000,E201,$AB$5:$AB$1000,AB201,$C$5:$C$1000,"&lt;&gt;"&amp;C201))</f>
        <v/>
      </c>
      <c r="Y201" s="33"/>
      <c r="Z201" s="31"/>
      <c r="AA201" s="33"/>
      <c r="AB201" s="37" t="str">
        <f aca="false">IF(B201="","",YEAR(B201)*100+MONTH(B201))</f>
        <v/>
      </c>
      <c r="AC201" s="37" t="str">
        <f aca="false">IF(AND(E201&lt;&gt;"",E201=Cruce!$C$5),COUNTIF($E$5:E201,E201),"")</f>
        <v/>
      </c>
      <c r="AD201" s="37" t="str">
        <f aca="false">IF(E201="","",C201&amp;"|"&amp;Y201&amp;"|"&amp;IF(B201="","s/f",TEXT(B201,"yyyymmdd")))</f>
        <v/>
      </c>
      <c r="AE201" s="37" t="n">
        <f aca="false">IF(E201="",0,IF(COUNTIFS($E$5:E201,E201,$AD$5:AD201,AD201)=1,1,0))</f>
        <v>0</v>
      </c>
    </row>
    <row r="202" customFormat="false" ht="15" hidden="false" customHeight="true" outlineLevel="0" collapsed="false">
      <c r="A202" s="31"/>
      <c r="B202" s="30"/>
      <c r="C202" s="31"/>
      <c r="D202" s="31"/>
      <c r="E202" s="32"/>
      <c r="F202" s="32"/>
      <c r="G202" s="33"/>
      <c r="H202" s="31"/>
      <c r="I202" s="24" t="str">
        <f aca="false">IF(B202="","",YEAR(B202))</f>
        <v/>
      </c>
      <c r="J202" s="34" t="str">
        <f aca="false">IF(B202="","",IF(MONTH(B202)=1,"X",""))</f>
        <v/>
      </c>
      <c r="K202" s="34" t="str">
        <f aca="false">IF(B202="","",IF(MONTH(B202)=2,"X",""))</f>
        <v/>
      </c>
      <c r="L202" s="34" t="str">
        <f aca="false">IF(B202="","",IF(MONTH(B202)=3,"X",""))</f>
        <v/>
      </c>
      <c r="M202" s="34" t="str">
        <f aca="false">IF(B202="","",IF(MONTH(B202)=4,"X",""))</f>
        <v/>
      </c>
      <c r="N202" s="34" t="str">
        <f aca="false">IF(B202="","",IF(MONTH(B202)=5,"X",""))</f>
        <v/>
      </c>
      <c r="O202" s="34" t="str">
        <f aca="false">IF(B202="","",IF(MONTH(B202)=6,"X",""))</f>
        <v/>
      </c>
      <c r="P202" s="34" t="str">
        <f aca="false">IF(B202="","",IF(MONTH(B202)=7,"X",""))</f>
        <v/>
      </c>
      <c r="Q202" s="34" t="str">
        <f aca="false">IF(B202="","",IF(MONTH(B202)=8,"X",""))</f>
        <v/>
      </c>
      <c r="R202" s="34" t="str">
        <f aca="false">IF(B202="","",IF(MONTH(B202)=9,"X",""))</f>
        <v/>
      </c>
      <c r="S202" s="34" t="str">
        <f aca="false">IF(B202="","",IF(MONTH(B202)=10,"X",""))</f>
        <v/>
      </c>
      <c r="T202" s="34" t="str">
        <f aca="false">IF(B202="","",IF(MONTH(B202)=11,"X",""))</f>
        <v/>
      </c>
      <c r="U202" s="34" t="str">
        <f aca="false">IF(B202="","",IF(MONTH(B202)=12,"X",""))</f>
        <v/>
      </c>
      <c r="V202" s="24" t="str">
        <f aca="false">IF(E202="","",COUNTIF($E$5:$E$1000,E202))</f>
        <v/>
      </c>
      <c r="W202" s="35" t="str">
        <f aca="false">IF(E202="","",_xlfn.TEXTJOIN(" + ",TRUE(),IF(COUNTIFS($E$5:$E$1000,E202,$C$5:$C$1000,"Auditoría Interna")&gt;0,"Interna",""),IF(COUNTIFS($E$5:$E$1000,E202,$C$5:$C$1000,"Auditoría Externa")&gt;0,"Externa",""),IF(COUNTIFS($E$5:$E$1000,E202,$C$5:$C$1000,"SSF")&gt;0,"SSF",""),IF(COUNTIFS($E$5:$E$1000,E202,$C$5:$C$1000,"Comité de Supervisión")&gt;0,"Comité Sup.",""),IF(COUNTIFS($E$5:$E$1000,E202,$C$5:$C$1000,"Consejo de Administración")&gt;0,"Consejo",""),IF(COUNTIFS($E$5:$E$1000,E202,$C$5:$C$1000,"Otros")&gt;0,"Otros","")))</f>
        <v/>
      </c>
      <c r="X202" s="24" t="str">
        <f aca="false">IF(E202="","",COUNTIFS($E$5:$E$1000,E202,$AB$5:$AB$1000,AB202,$C$5:$C$1000,"&lt;&gt;"&amp;C202))</f>
        <v/>
      </c>
      <c r="Y202" s="33"/>
      <c r="Z202" s="31"/>
      <c r="AA202" s="33"/>
      <c r="AB202" s="37" t="str">
        <f aca="false">IF(B202="","",YEAR(B202)*100+MONTH(B202))</f>
        <v/>
      </c>
      <c r="AC202" s="37" t="str">
        <f aca="false">IF(AND(E202&lt;&gt;"",E202=Cruce!$C$5),COUNTIF($E$5:E202,E202),"")</f>
        <v/>
      </c>
      <c r="AD202" s="37" t="str">
        <f aca="false">IF(E202="","",C202&amp;"|"&amp;Y202&amp;"|"&amp;IF(B202="","s/f",TEXT(B202,"yyyymmdd")))</f>
        <v/>
      </c>
      <c r="AE202" s="37" t="n">
        <f aca="false">IF(E202="",0,IF(COUNTIFS($E$5:E202,E202,$AD$5:AD202,AD202)=1,1,0))</f>
        <v>0</v>
      </c>
    </row>
    <row r="203" customFormat="false" ht="15" hidden="false" customHeight="true" outlineLevel="0" collapsed="false">
      <c r="A203" s="31"/>
      <c r="B203" s="30"/>
      <c r="C203" s="31"/>
      <c r="D203" s="31"/>
      <c r="E203" s="32"/>
      <c r="F203" s="32"/>
      <c r="G203" s="33"/>
      <c r="H203" s="31"/>
      <c r="I203" s="24" t="str">
        <f aca="false">IF(B203="","",YEAR(B203))</f>
        <v/>
      </c>
      <c r="J203" s="34" t="str">
        <f aca="false">IF(B203="","",IF(MONTH(B203)=1,"X",""))</f>
        <v/>
      </c>
      <c r="K203" s="34" t="str">
        <f aca="false">IF(B203="","",IF(MONTH(B203)=2,"X",""))</f>
        <v/>
      </c>
      <c r="L203" s="34" t="str">
        <f aca="false">IF(B203="","",IF(MONTH(B203)=3,"X",""))</f>
        <v/>
      </c>
      <c r="M203" s="34" t="str">
        <f aca="false">IF(B203="","",IF(MONTH(B203)=4,"X",""))</f>
        <v/>
      </c>
      <c r="N203" s="34" t="str">
        <f aca="false">IF(B203="","",IF(MONTH(B203)=5,"X",""))</f>
        <v/>
      </c>
      <c r="O203" s="34" t="str">
        <f aca="false">IF(B203="","",IF(MONTH(B203)=6,"X",""))</f>
        <v/>
      </c>
      <c r="P203" s="34" t="str">
        <f aca="false">IF(B203="","",IF(MONTH(B203)=7,"X",""))</f>
        <v/>
      </c>
      <c r="Q203" s="34" t="str">
        <f aca="false">IF(B203="","",IF(MONTH(B203)=8,"X",""))</f>
        <v/>
      </c>
      <c r="R203" s="34" t="str">
        <f aca="false">IF(B203="","",IF(MONTH(B203)=9,"X",""))</f>
        <v/>
      </c>
      <c r="S203" s="34" t="str">
        <f aca="false">IF(B203="","",IF(MONTH(B203)=10,"X",""))</f>
        <v/>
      </c>
      <c r="T203" s="34" t="str">
        <f aca="false">IF(B203="","",IF(MONTH(B203)=11,"X",""))</f>
        <v/>
      </c>
      <c r="U203" s="34" t="str">
        <f aca="false">IF(B203="","",IF(MONTH(B203)=12,"X",""))</f>
        <v/>
      </c>
      <c r="V203" s="24" t="str">
        <f aca="false">IF(E203="","",COUNTIF($E$5:$E$1000,E203))</f>
        <v/>
      </c>
      <c r="W203" s="35" t="str">
        <f aca="false">IF(E203="","",_xlfn.TEXTJOIN(" + ",TRUE(),IF(COUNTIFS($E$5:$E$1000,E203,$C$5:$C$1000,"Auditoría Interna")&gt;0,"Interna",""),IF(COUNTIFS($E$5:$E$1000,E203,$C$5:$C$1000,"Auditoría Externa")&gt;0,"Externa",""),IF(COUNTIFS($E$5:$E$1000,E203,$C$5:$C$1000,"SSF")&gt;0,"SSF",""),IF(COUNTIFS($E$5:$E$1000,E203,$C$5:$C$1000,"Comité de Supervisión")&gt;0,"Comité Sup.",""),IF(COUNTIFS($E$5:$E$1000,E203,$C$5:$C$1000,"Consejo de Administración")&gt;0,"Consejo",""),IF(COUNTIFS($E$5:$E$1000,E203,$C$5:$C$1000,"Otros")&gt;0,"Otros","")))</f>
        <v/>
      </c>
      <c r="X203" s="24" t="str">
        <f aca="false">IF(E203="","",COUNTIFS($E$5:$E$1000,E203,$AB$5:$AB$1000,AB203,$C$5:$C$1000,"&lt;&gt;"&amp;C203))</f>
        <v/>
      </c>
      <c r="Y203" s="33"/>
      <c r="Z203" s="31"/>
      <c r="AA203" s="33"/>
      <c r="AB203" s="37" t="str">
        <f aca="false">IF(B203="","",YEAR(B203)*100+MONTH(B203))</f>
        <v/>
      </c>
      <c r="AC203" s="37" t="str">
        <f aca="false">IF(AND(E203&lt;&gt;"",E203=Cruce!$C$5),COUNTIF($E$5:E203,E203),"")</f>
        <v/>
      </c>
      <c r="AD203" s="37" t="str">
        <f aca="false">IF(E203="","",C203&amp;"|"&amp;Y203&amp;"|"&amp;IF(B203="","s/f",TEXT(B203,"yyyymmdd")))</f>
        <v/>
      </c>
      <c r="AE203" s="37" t="n">
        <f aca="false">IF(E203="",0,IF(COUNTIFS($E$5:E203,E203,$AD$5:AD203,AD203)=1,1,0))</f>
        <v>0</v>
      </c>
    </row>
    <row r="204" customFormat="false" ht="15" hidden="false" customHeight="true" outlineLevel="0" collapsed="false">
      <c r="A204" s="31"/>
      <c r="B204" s="30"/>
      <c r="C204" s="31"/>
      <c r="D204" s="31"/>
      <c r="E204" s="32"/>
      <c r="F204" s="32"/>
      <c r="G204" s="33"/>
      <c r="H204" s="31"/>
      <c r="I204" s="24" t="str">
        <f aca="false">IF(B204="","",YEAR(B204))</f>
        <v/>
      </c>
      <c r="J204" s="34" t="str">
        <f aca="false">IF(B204="","",IF(MONTH(B204)=1,"X",""))</f>
        <v/>
      </c>
      <c r="K204" s="34" t="str">
        <f aca="false">IF(B204="","",IF(MONTH(B204)=2,"X",""))</f>
        <v/>
      </c>
      <c r="L204" s="34" t="str">
        <f aca="false">IF(B204="","",IF(MONTH(B204)=3,"X",""))</f>
        <v/>
      </c>
      <c r="M204" s="34" t="str">
        <f aca="false">IF(B204="","",IF(MONTH(B204)=4,"X",""))</f>
        <v/>
      </c>
      <c r="N204" s="34" t="str">
        <f aca="false">IF(B204="","",IF(MONTH(B204)=5,"X",""))</f>
        <v/>
      </c>
      <c r="O204" s="34" t="str">
        <f aca="false">IF(B204="","",IF(MONTH(B204)=6,"X",""))</f>
        <v/>
      </c>
      <c r="P204" s="34" t="str">
        <f aca="false">IF(B204="","",IF(MONTH(B204)=7,"X",""))</f>
        <v/>
      </c>
      <c r="Q204" s="34" t="str">
        <f aca="false">IF(B204="","",IF(MONTH(B204)=8,"X",""))</f>
        <v/>
      </c>
      <c r="R204" s="34" t="str">
        <f aca="false">IF(B204="","",IF(MONTH(B204)=9,"X",""))</f>
        <v/>
      </c>
      <c r="S204" s="34" t="str">
        <f aca="false">IF(B204="","",IF(MONTH(B204)=10,"X",""))</f>
        <v/>
      </c>
      <c r="T204" s="34" t="str">
        <f aca="false">IF(B204="","",IF(MONTH(B204)=11,"X",""))</f>
        <v/>
      </c>
      <c r="U204" s="34" t="str">
        <f aca="false">IF(B204="","",IF(MONTH(B204)=12,"X",""))</f>
        <v/>
      </c>
      <c r="V204" s="24" t="str">
        <f aca="false">IF(E204="","",COUNTIF($E$5:$E$1000,E204))</f>
        <v/>
      </c>
      <c r="W204" s="35" t="str">
        <f aca="false">IF(E204="","",_xlfn.TEXTJOIN(" + ",TRUE(),IF(COUNTIFS($E$5:$E$1000,E204,$C$5:$C$1000,"Auditoría Interna")&gt;0,"Interna",""),IF(COUNTIFS($E$5:$E$1000,E204,$C$5:$C$1000,"Auditoría Externa")&gt;0,"Externa",""),IF(COUNTIFS($E$5:$E$1000,E204,$C$5:$C$1000,"SSF")&gt;0,"SSF",""),IF(COUNTIFS($E$5:$E$1000,E204,$C$5:$C$1000,"Comité de Supervisión")&gt;0,"Comité Sup.",""),IF(COUNTIFS($E$5:$E$1000,E204,$C$5:$C$1000,"Consejo de Administración")&gt;0,"Consejo",""),IF(COUNTIFS($E$5:$E$1000,E204,$C$5:$C$1000,"Otros")&gt;0,"Otros","")))</f>
        <v/>
      </c>
      <c r="X204" s="24" t="str">
        <f aca="false">IF(E204="","",COUNTIFS($E$5:$E$1000,E204,$AB$5:$AB$1000,AB204,$C$5:$C$1000,"&lt;&gt;"&amp;C204))</f>
        <v/>
      </c>
      <c r="Y204" s="33"/>
      <c r="Z204" s="31"/>
      <c r="AA204" s="33"/>
      <c r="AB204" s="37" t="str">
        <f aca="false">IF(B204="","",YEAR(B204)*100+MONTH(B204))</f>
        <v/>
      </c>
      <c r="AC204" s="37" t="str">
        <f aca="false">IF(AND(E204&lt;&gt;"",E204=Cruce!$C$5),COUNTIF($E$5:E204,E204),"")</f>
        <v/>
      </c>
      <c r="AD204" s="37" t="str">
        <f aca="false">IF(E204="","",C204&amp;"|"&amp;Y204&amp;"|"&amp;IF(B204="","s/f",TEXT(B204,"yyyymmdd")))</f>
        <v/>
      </c>
      <c r="AE204" s="37" t="n">
        <f aca="false">IF(E204="",0,IF(COUNTIFS($E$5:E204,E204,$AD$5:AD204,AD204)=1,1,0))</f>
        <v>0</v>
      </c>
    </row>
    <row r="205" customFormat="false" ht="15" hidden="false" customHeight="true" outlineLevel="0" collapsed="false">
      <c r="A205" s="31"/>
      <c r="B205" s="30"/>
      <c r="C205" s="31"/>
      <c r="D205" s="31"/>
      <c r="E205" s="32"/>
      <c r="F205" s="32"/>
      <c r="G205" s="33"/>
      <c r="H205" s="31"/>
      <c r="I205" s="24" t="str">
        <f aca="false">IF(B205="","",YEAR(B205))</f>
        <v/>
      </c>
      <c r="J205" s="34" t="str">
        <f aca="false">IF(B205="","",IF(MONTH(B205)=1,"X",""))</f>
        <v/>
      </c>
      <c r="K205" s="34" t="str">
        <f aca="false">IF(B205="","",IF(MONTH(B205)=2,"X",""))</f>
        <v/>
      </c>
      <c r="L205" s="34" t="str">
        <f aca="false">IF(B205="","",IF(MONTH(B205)=3,"X",""))</f>
        <v/>
      </c>
      <c r="M205" s="34" t="str">
        <f aca="false">IF(B205="","",IF(MONTH(B205)=4,"X",""))</f>
        <v/>
      </c>
      <c r="N205" s="34" t="str">
        <f aca="false">IF(B205="","",IF(MONTH(B205)=5,"X",""))</f>
        <v/>
      </c>
      <c r="O205" s="34" t="str">
        <f aca="false">IF(B205="","",IF(MONTH(B205)=6,"X",""))</f>
        <v/>
      </c>
      <c r="P205" s="34" t="str">
        <f aca="false">IF(B205="","",IF(MONTH(B205)=7,"X",""))</f>
        <v/>
      </c>
      <c r="Q205" s="34" t="str">
        <f aca="false">IF(B205="","",IF(MONTH(B205)=8,"X",""))</f>
        <v/>
      </c>
      <c r="R205" s="34" t="str">
        <f aca="false">IF(B205="","",IF(MONTH(B205)=9,"X",""))</f>
        <v/>
      </c>
      <c r="S205" s="34" t="str">
        <f aca="false">IF(B205="","",IF(MONTH(B205)=10,"X",""))</f>
        <v/>
      </c>
      <c r="T205" s="34" t="str">
        <f aca="false">IF(B205="","",IF(MONTH(B205)=11,"X",""))</f>
        <v/>
      </c>
      <c r="U205" s="34" t="str">
        <f aca="false">IF(B205="","",IF(MONTH(B205)=12,"X",""))</f>
        <v/>
      </c>
      <c r="V205" s="24" t="str">
        <f aca="false">IF(E205="","",COUNTIF($E$5:$E$1000,E205))</f>
        <v/>
      </c>
      <c r="W205" s="35" t="str">
        <f aca="false">IF(E205="","",_xlfn.TEXTJOIN(" + ",TRUE(),IF(COUNTIFS($E$5:$E$1000,E205,$C$5:$C$1000,"Auditoría Interna")&gt;0,"Interna",""),IF(COUNTIFS($E$5:$E$1000,E205,$C$5:$C$1000,"Auditoría Externa")&gt;0,"Externa",""),IF(COUNTIFS($E$5:$E$1000,E205,$C$5:$C$1000,"SSF")&gt;0,"SSF",""),IF(COUNTIFS($E$5:$E$1000,E205,$C$5:$C$1000,"Comité de Supervisión")&gt;0,"Comité Sup.",""),IF(COUNTIFS($E$5:$E$1000,E205,$C$5:$C$1000,"Consejo de Administración")&gt;0,"Consejo",""),IF(COUNTIFS($E$5:$E$1000,E205,$C$5:$C$1000,"Otros")&gt;0,"Otros","")))</f>
        <v/>
      </c>
      <c r="X205" s="24" t="str">
        <f aca="false">IF(E205="","",COUNTIFS($E$5:$E$1000,E205,$AB$5:$AB$1000,AB205,$C$5:$C$1000,"&lt;&gt;"&amp;C205))</f>
        <v/>
      </c>
      <c r="Y205" s="33"/>
      <c r="Z205" s="31"/>
      <c r="AA205" s="33"/>
      <c r="AB205" s="37" t="str">
        <f aca="false">IF(B205="","",YEAR(B205)*100+MONTH(B205))</f>
        <v/>
      </c>
      <c r="AC205" s="37" t="str">
        <f aca="false">IF(AND(E205&lt;&gt;"",E205=Cruce!$C$5),COUNTIF($E$5:E205,E205),"")</f>
        <v/>
      </c>
      <c r="AD205" s="37" t="str">
        <f aca="false">IF(E205="","",C205&amp;"|"&amp;Y205&amp;"|"&amp;IF(B205="","s/f",TEXT(B205,"yyyymmdd")))</f>
        <v/>
      </c>
      <c r="AE205" s="37" t="n">
        <f aca="false">IF(E205="",0,IF(COUNTIFS($E$5:E205,E205,$AD$5:AD205,AD205)=1,1,0))</f>
        <v>0</v>
      </c>
    </row>
    <row r="206" customFormat="false" ht="15" hidden="false" customHeight="true" outlineLevel="0" collapsed="false">
      <c r="A206" s="31"/>
      <c r="B206" s="30"/>
      <c r="C206" s="31"/>
      <c r="D206" s="31"/>
      <c r="E206" s="32"/>
      <c r="F206" s="32"/>
      <c r="G206" s="33"/>
      <c r="H206" s="31"/>
      <c r="I206" s="24" t="str">
        <f aca="false">IF(B206="","",YEAR(B206))</f>
        <v/>
      </c>
      <c r="J206" s="34" t="str">
        <f aca="false">IF(B206="","",IF(MONTH(B206)=1,"X",""))</f>
        <v/>
      </c>
      <c r="K206" s="34" t="str">
        <f aca="false">IF(B206="","",IF(MONTH(B206)=2,"X",""))</f>
        <v/>
      </c>
      <c r="L206" s="34" t="str">
        <f aca="false">IF(B206="","",IF(MONTH(B206)=3,"X",""))</f>
        <v/>
      </c>
      <c r="M206" s="34" t="str">
        <f aca="false">IF(B206="","",IF(MONTH(B206)=4,"X",""))</f>
        <v/>
      </c>
      <c r="N206" s="34" t="str">
        <f aca="false">IF(B206="","",IF(MONTH(B206)=5,"X",""))</f>
        <v/>
      </c>
      <c r="O206" s="34" t="str">
        <f aca="false">IF(B206="","",IF(MONTH(B206)=6,"X",""))</f>
        <v/>
      </c>
      <c r="P206" s="34" t="str">
        <f aca="false">IF(B206="","",IF(MONTH(B206)=7,"X",""))</f>
        <v/>
      </c>
      <c r="Q206" s="34" t="str">
        <f aca="false">IF(B206="","",IF(MONTH(B206)=8,"X",""))</f>
        <v/>
      </c>
      <c r="R206" s="34" t="str">
        <f aca="false">IF(B206="","",IF(MONTH(B206)=9,"X",""))</f>
        <v/>
      </c>
      <c r="S206" s="34" t="str">
        <f aca="false">IF(B206="","",IF(MONTH(B206)=10,"X",""))</f>
        <v/>
      </c>
      <c r="T206" s="34" t="str">
        <f aca="false">IF(B206="","",IF(MONTH(B206)=11,"X",""))</f>
        <v/>
      </c>
      <c r="U206" s="34" t="str">
        <f aca="false">IF(B206="","",IF(MONTH(B206)=12,"X",""))</f>
        <v/>
      </c>
      <c r="V206" s="24" t="str">
        <f aca="false">IF(E206="","",COUNTIF($E$5:$E$1000,E206))</f>
        <v/>
      </c>
      <c r="W206" s="35" t="str">
        <f aca="false">IF(E206="","",_xlfn.TEXTJOIN(" + ",TRUE(),IF(COUNTIFS($E$5:$E$1000,E206,$C$5:$C$1000,"Auditoría Interna")&gt;0,"Interna",""),IF(COUNTIFS($E$5:$E$1000,E206,$C$5:$C$1000,"Auditoría Externa")&gt;0,"Externa",""),IF(COUNTIFS($E$5:$E$1000,E206,$C$5:$C$1000,"SSF")&gt;0,"SSF",""),IF(COUNTIFS($E$5:$E$1000,E206,$C$5:$C$1000,"Comité de Supervisión")&gt;0,"Comité Sup.",""),IF(COUNTIFS($E$5:$E$1000,E206,$C$5:$C$1000,"Consejo de Administración")&gt;0,"Consejo",""),IF(COUNTIFS($E$5:$E$1000,E206,$C$5:$C$1000,"Otros")&gt;0,"Otros","")))</f>
        <v/>
      </c>
      <c r="X206" s="24" t="str">
        <f aca="false">IF(E206="","",COUNTIFS($E$5:$E$1000,E206,$AB$5:$AB$1000,AB206,$C$5:$C$1000,"&lt;&gt;"&amp;C206))</f>
        <v/>
      </c>
      <c r="Y206" s="33"/>
      <c r="Z206" s="31"/>
      <c r="AA206" s="33"/>
      <c r="AB206" s="37" t="str">
        <f aca="false">IF(B206="","",YEAR(B206)*100+MONTH(B206))</f>
        <v/>
      </c>
      <c r="AC206" s="37" t="str">
        <f aca="false">IF(AND(E206&lt;&gt;"",E206=Cruce!$C$5),COUNTIF($E$5:E206,E206),"")</f>
        <v/>
      </c>
      <c r="AD206" s="37" t="str">
        <f aca="false">IF(E206="","",C206&amp;"|"&amp;Y206&amp;"|"&amp;IF(B206="","s/f",TEXT(B206,"yyyymmdd")))</f>
        <v/>
      </c>
      <c r="AE206" s="37" t="n">
        <f aca="false">IF(E206="",0,IF(COUNTIFS($E$5:E206,E206,$AD$5:AD206,AD206)=1,1,0))</f>
        <v>0</v>
      </c>
    </row>
    <row r="207" customFormat="false" ht="15" hidden="false" customHeight="true" outlineLevel="0" collapsed="false">
      <c r="A207" s="31"/>
      <c r="B207" s="30"/>
      <c r="C207" s="31"/>
      <c r="D207" s="31"/>
      <c r="E207" s="32"/>
      <c r="F207" s="32"/>
      <c r="G207" s="33"/>
      <c r="H207" s="31"/>
      <c r="I207" s="24" t="str">
        <f aca="false">IF(B207="","",YEAR(B207))</f>
        <v/>
      </c>
      <c r="J207" s="34" t="str">
        <f aca="false">IF(B207="","",IF(MONTH(B207)=1,"X",""))</f>
        <v/>
      </c>
      <c r="K207" s="34" t="str">
        <f aca="false">IF(B207="","",IF(MONTH(B207)=2,"X",""))</f>
        <v/>
      </c>
      <c r="L207" s="34" t="str">
        <f aca="false">IF(B207="","",IF(MONTH(B207)=3,"X",""))</f>
        <v/>
      </c>
      <c r="M207" s="34" t="str">
        <f aca="false">IF(B207="","",IF(MONTH(B207)=4,"X",""))</f>
        <v/>
      </c>
      <c r="N207" s="34" t="str">
        <f aca="false">IF(B207="","",IF(MONTH(B207)=5,"X",""))</f>
        <v/>
      </c>
      <c r="O207" s="34" t="str">
        <f aca="false">IF(B207="","",IF(MONTH(B207)=6,"X",""))</f>
        <v/>
      </c>
      <c r="P207" s="34" t="str">
        <f aca="false">IF(B207="","",IF(MONTH(B207)=7,"X",""))</f>
        <v/>
      </c>
      <c r="Q207" s="34" t="str">
        <f aca="false">IF(B207="","",IF(MONTH(B207)=8,"X",""))</f>
        <v/>
      </c>
      <c r="R207" s="34" t="str">
        <f aca="false">IF(B207="","",IF(MONTH(B207)=9,"X",""))</f>
        <v/>
      </c>
      <c r="S207" s="34" t="str">
        <f aca="false">IF(B207="","",IF(MONTH(B207)=10,"X",""))</f>
        <v/>
      </c>
      <c r="T207" s="34" t="str">
        <f aca="false">IF(B207="","",IF(MONTH(B207)=11,"X",""))</f>
        <v/>
      </c>
      <c r="U207" s="34" t="str">
        <f aca="false">IF(B207="","",IF(MONTH(B207)=12,"X",""))</f>
        <v/>
      </c>
      <c r="V207" s="24" t="str">
        <f aca="false">IF(E207="","",COUNTIF($E$5:$E$1000,E207))</f>
        <v/>
      </c>
      <c r="W207" s="35" t="str">
        <f aca="false">IF(E207="","",_xlfn.TEXTJOIN(" + ",TRUE(),IF(COUNTIFS($E$5:$E$1000,E207,$C$5:$C$1000,"Auditoría Interna")&gt;0,"Interna",""),IF(COUNTIFS($E$5:$E$1000,E207,$C$5:$C$1000,"Auditoría Externa")&gt;0,"Externa",""),IF(COUNTIFS($E$5:$E$1000,E207,$C$5:$C$1000,"SSF")&gt;0,"SSF",""),IF(COUNTIFS($E$5:$E$1000,E207,$C$5:$C$1000,"Comité de Supervisión")&gt;0,"Comité Sup.",""),IF(COUNTIFS($E$5:$E$1000,E207,$C$5:$C$1000,"Consejo de Administración")&gt;0,"Consejo",""),IF(COUNTIFS($E$5:$E$1000,E207,$C$5:$C$1000,"Otros")&gt;0,"Otros","")))</f>
        <v/>
      </c>
      <c r="X207" s="24" t="str">
        <f aca="false">IF(E207="","",COUNTIFS($E$5:$E$1000,E207,$AB$5:$AB$1000,AB207,$C$5:$C$1000,"&lt;&gt;"&amp;C207))</f>
        <v/>
      </c>
      <c r="Y207" s="33"/>
      <c r="Z207" s="31"/>
      <c r="AA207" s="33"/>
      <c r="AB207" s="37" t="str">
        <f aca="false">IF(B207="","",YEAR(B207)*100+MONTH(B207))</f>
        <v/>
      </c>
      <c r="AC207" s="37" t="str">
        <f aca="false">IF(AND(E207&lt;&gt;"",E207=Cruce!$C$5),COUNTIF($E$5:E207,E207),"")</f>
        <v/>
      </c>
      <c r="AD207" s="37" t="str">
        <f aca="false">IF(E207="","",C207&amp;"|"&amp;Y207&amp;"|"&amp;IF(B207="","s/f",TEXT(B207,"yyyymmdd")))</f>
        <v/>
      </c>
      <c r="AE207" s="37" t="n">
        <f aca="false">IF(E207="",0,IF(COUNTIFS($E$5:E207,E207,$AD$5:AD207,AD207)=1,1,0))</f>
        <v>0</v>
      </c>
    </row>
    <row r="208" customFormat="false" ht="15" hidden="false" customHeight="true" outlineLevel="0" collapsed="false">
      <c r="A208" s="31"/>
      <c r="B208" s="30"/>
      <c r="C208" s="31"/>
      <c r="D208" s="31"/>
      <c r="E208" s="32"/>
      <c r="F208" s="32"/>
      <c r="G208" s="33"/>
      <c r="H208" s="31"/>
      <c r="I208" s="24" t="str">
        <f aca="false">IF(B208="","",YEAR(B208))</f>
        <v/>
      </c>
      <c r="J208" s="34" t="str">
        <f aca="false">IF(B208="","",IF(MONTH(B208)=1,"X",""))</f>
        <v/>
      </c>
      <c r="K208" s="34" t="str">
        <f aca="false">IF(B208="","",IF(MONTH(B208)=2,"X",""))</f>
        <v/>
      </c>
      <c r="L208" s="34" t="str">
        <f aca="false">IF(B208="","",IF(MONTH(B208)=3,"X",""))</f>
        <v/>
      </c>
      <c r="M208" s="34" t="str">
        <f aca="false">IF(B208="","",IF(MONTH(B208)=4,"X",""))</f>
        <v/>
      </c>
      <c r="N208" s="34" t="str">
        <f aca="false">IF(B208="","",IF(MONTH(B208)=5,"X",""))</f>
        <v/>
      </c>
      <c r="O208" s="34" t="str">
        <f aca="false">IF(B208="","",IF(MONTH(B208)=6,"X",""))</f>
        <v/>
      </c>
      <c r="P208" s="34" t="str">
        <f aca="false">IF(B208="","",IF(MONTH(B208)=7,"X",""))</f>
        <v/>
      </c>
      <c r="Q208" s="34" t="str">
        <f aca="false">IF(B208="","",IF(MONTH(B208)=8,"X",""))</f>
        <v/>
      </c>
      <c r="R208" s="34" t="str">
        <f aca="false">IF(B208="","",IF(MONTH(B208)=9,"X",""))</f>
        <v/>
      </c>
      <c r="S208" s="34" t="str">
        <f aca="false">IF(B208="","",IF(MONTH(B208)=10,"X",""))</f>
        <v/>
      </c>
      <c r="T208" s="34" t="str">
        <f aca="false">IF(B208="","",IF(MONTH(B208)=11,"X",""))</f>
        <v/>
      </c>
      <c r="U208" s="34" t="str">
        <f aca="false">IF(B208="","",IF(MONTH(B208)=12,"X",""))</f>
        <v/>
      </c>
      <c r="V208" s="24" t="str">
        <f aca="false">IF(E208="","",COUNTIF($E$5:$E$1000,E208))</f>
        <v/>
      </c>
      <c r="W208" s="35" t="str">
        <f aca="false">IF(E208="","",_xlfn.TEXTJOIN(" + ",TRUE(),IF(COUNTIFS($E$5:$E$1000,E208,$C$5:$C$1000,"Auditoría Interna")&gt;0,"Interna",""),IF(COUNTIFS($E$5:$E$1000,E208,$C$5:$C$1000,"Auditoría Externa")&gt;0,"Externa",""),IF(COUNTIFS($E$5:$E$1000,E208,$C$5:$C$1000,"SSF")&gt;0,"SSF",""),IF(COUNTIFS($E$5:$E$1000,E208,$C$5:$C$1000,"Comité de Supervisión")&gt;0,"Comité Sup.",""),IF(COUNTIFS($E$5:$E$1000,E208,$C$5:$C$1000,"Consejo de Administración")&gt;0,"Consejo",""),IF(COUNTIFS($E$5:$E$1000,E208,$C$5:$C$1000,"Otros")&gt;0,"Otros","")))</f>
        <v/>
      </c>
      <c r="X208" s="24" t="str">
        <f aca="false">IF(E208="","",COUNTIFS($E$5:$E$1000,E208,$AB$5:$AB$1000,AB208,$C$5:$C$1000,"&lt;&gt;"&amp;C208))</f>
        <v/>
      </c>
      <c r="Y208" s="33"/>
      <c r="Z208" s="31"/>
      <c r="AA208" s="33"/>
      <c r="AB208" s="37" t="str">
        <f aca="false">IF(B208="","",YEAR(B208)*100+MONTH(B208))</f>
        <v/>
      </c>
      <c r="AC208" s="37" t="str">
        <f aca="false">IF(AND(E208&lt;&gt;"",E208=Cruce!$C$5),COUNTIF($E$5:E208,E208),"")</f>
        <v/>
      </c>
      <c r="AD208" s="37" t="str">
        <f aca="false">IF(E208="","",C208&amp;"|"&amp;Y208&amp;"|"&amp;IF(B208="","s/f",TEXT(B208,"yyyymmdd")))</f>
        <v/>
      </c>
      <c r="AE208" s="37" t="n">
        <f aca="false">IF(E208="",0,IF(COUNTIFS($E$5:E208,E208,$AD$5:AD208,AD208)=1,1,0))</f>
        <v>0</v>
      </c>
    </row>
    <row r="209" customFormat="false" ht="15" hidden="false" customHeight="true" outlineLevel="0" collapsed="false">
      <c r="A209" s="31"/>
      <c r="B209" s="30"/>
      <c r="C209" s="31"/>
      <c r="D209" s="31"/>
      <c r="E209" s="32"/>
      <c r="F209" s="32"/>
      <c r="G209" s="33"/>
      <c r="H209" s="31"/>
      <c r="I209" s="24" t="str">
        <f aca="false">IF(B209="","",YEAR(B209))</f>
        <v/>
      </c>
      <c r="J209" s="34" t="str">
        <f aca="false">IF(B209="","",IF(MONTH(B209)=1,"X",""))</f>
        <v/>
      </c>
      <c r="K209" s="34" t="str">
        <f aca="false">IF(B209="","",IF(MONTH(B209)=2,"X",""))</f>
        <v/>
      </c>
      <c r="L209" s="34" t="str">
        <f aca="false">IF(B209="","",IF(MONTH(B209)=3,"X",""))</f>
        <v/>
      </c>
      <c r="M209" s="34" t="str">
        <f aca="false">IF(B209="","",IF(MONTH(B209)=4,"X",""))</f>
        <v/>
      </c>
      <c r="N209" s="34" t="str">
        <f aca="false">IF(B209="","",IF(MONTH(B209)=5,"X",""))</f>
        <v/>
      </c>
      <c r="O209" s="34" t="str">
        <f aca="false">IF(B209="","",IF(MONTH(B209)=6,"X",""))</f>
        <v/>
      </c>
      <c r="P209" s="34" t="str">
        <f aca="false">IF(B209="","",IF(MONTH(B209)=7,"X",""))</f>
        <v/>
      </c>
      <c r="Q209" s="34" t="str">
        <f aca="false">IF(B209="","",IF(MONTH(B209)=8,"X",""))</f>
        <v/>
      </c>
      <c r="R209" s="34" t="str">
        <f aca="false">IF(B209="","",IF(MONTH(B209)=9,"X",""))</f>
        <v/>
      </c>
      <c r="S209" s="34" t="str">
        <f aca="false">IF(B209="","",IF(MONTH(B209)=10,"X",""))</f>
        <v/>
      </c>
      <c r="T209" s="34" t="str">
        <f aca="false">IF(B209="","",IF(MONTH(B209)=11,"X",""))</f>
        <v/>
      </c>
      <c r="U209" s="34" t="str">
        <f aca="false">IF(B209="","",IF(MONTH(B209)=12,"X",""))</f>
        <v/>
      </c>
      <c r="V209" s="24" t="str">
        <f aca="false">IF(E209="","",COUNTIF($E$5:$E$1000,E209))</f>
        <v/>
      </c>
      <c r="W209" s="35" t="str">
        <f aca="false">IF(E209="","",_xlfn.TEXTJOIN(" + ",TRUE(),IF(COUNTIFS($E$5:$E$1000,E209,$C$5:$C$1000,"Auditoría Interna")&gt;0,"Interna",""),IF(COUNTIFS($E$5:$E$1000,E209,$C$5:$C$1000,"Auditoría Externa")&gt;0,"Externa",""),IF(COUNTIFS($E$5:$E$1000,E209,$C$5:$C$1000,"SSF")&gt;0,"SSF",""),IF(COUNTIFS($E$5:$E$1000,E209,$C$5:$C$1000,"Comité de Supervisión")&gt;0,"Comité Sup.",""),IF(COUNTIFS($E$5:$E$1000,E209,$C$5:$C$1000,"Consejo de Administración")&gt;0,"Consejo",""),IF(COUNTIFS($E$5:$E$1000,E209,$C$5:$C$1000,"Otros")&gt;0,"Otros","")))</f>
        <v/>
      </c>
      <c r="X209" s="24" t="str">
        <f aca="false">IF(E209="","",COUNTIFS($E$5:$E$1000,E209,$AB$5:$AB$1000,AB209,$C$5:$C$1000,"&lt;&gt;"&amp;C209))</f>
        <v/>
      </c>
      <c r="Y209" s="33"/>
      <c r="Z209" s="31"/>
      <c r="AA209" s="33"/>
      <c r="AB209" s="37" t="str">
        <f aca="false">IF(B209="","",YEAR(B209)*100+MONTH(B209))</f>
        <v/>
      </c>
      <c r="AC209" s="37" t="str">
        <f aca="false">IF(AND(E209&lt;&gt;"",E209=Cruce!$C$5),COUNTIF($E$5:E209,E209),"")</f>
        <v/>
      </c>
      <c r="AD209" s="37" t="str">
        <f aca="false">IF(E209="","",C209&amp;"|"&amp;Y209&amp;"|"&amp;IF(B209="","s/f",TEXT(B209,"yyyymmdd")))</f>
        <v/>
      </c>
      <c r="AE209" s="37" t="n">
        <f aca="false">IF(E209="",0,IF(COUNTIFS($E$5:E209,E209,$AD$5:AD209,AD209)=1,1,0))</f>
        <v>0</v>
      </c>
    </row>
    <row r="210" customFormat="false" ht="15" hidden="false" customHeight="true" outlineLevel="0" collapsed="false">
      <c r="A210" s="31"/>
      <c r="B210" s="30"/>
      <c r="C210" s="31"/>
      <c r="D210" s="31"/>
      <c r="E210" s="32"/>
      <c r="F210" s="32"/>
      <c r="G210" s="33"/>
      <c r="H210" s="31"/>
      <c r="I210" s="24" t="str">
        <f aca="false">IF(B210="","",YEAR(B210))</f>
        <v/>
      </c>
      <c r="J210" s="34" t="str">
        <f aca="false">IF(B210="","",IF(MONTH(B210)=1,"X",""))</f>
        <v/>
      </c>
      <c r="K210" s="34" t="str">
        <f aca="false">IF(B210="","",IF(MONTH(B210)=2,"X",""))</f>
        <v/>
      </c>
      <c r="L210" s="34" t="str">
        <f aca="false">IF(B210="","",IF(MONTH(B210)=3,"X",""))</f>
        <v/>
      </c>
      <c r="M210" s="34" t="str">
        <f aca="false">IF(B210="","",IF(MONTH(B210)=4,"X",""))</f>
        <v/>
      </c>
      <c r="N210" s="34" t="str">
        <f aca="false">IF(B210="","",IF(MONTH(B210)=5,"X",""))</f>
        <v/>
      </c>
      <c r="O210" s="34" t="str">
        <f aca="false">IF(B210="","",IF(MONTH(B210)=6,"X",""))</f>
        <v/>
      </c>
      <c r="P210" s="34" t="str">
        <f aca="false">IF(B210="","",IF(MONTH(B210)=7,"X",""))</f>
        <v/>
      </c>
      <c r="Q210" s="34" t="str">
        <f aca="false">IF(B210="","",IF(MONTH(B210)=8,"X",""))</f>
        <v/>
      </c>
      <c r="R210" s="34" t="str">
        <f aca="false">IF(B210="","",IF(MONTH(B210)=9,"X",""))</f>
        <v/>
      </c>
      <c r="S210" s="34" t="str">
        <f aca="false">IF(B210="","",IF(MONTH(B210)=10,"X",""))</f>
        <v/>
      </c>
      <c r="T210" s="34" t="str">
        <f aca="false">IF(B210="","",IF(MONTH(B210)=11,"X",""))</f>
        <v/>
      </c>
      <c r="U210" s="34" t="str">
        <f aca="false">IF(B210="","",IF(MONTH(B210)=12,"X",""))</f>
        <v/>
      </c>
      <c r="V210" s="24" t="str">
        <f aca="false">IF(E210="","",COUNTIF($E$5:$E$1000,E210))</f>
        <v/>
      </c>
      <c r="W210" s="35" t="str">
        <f aca="false">IF(E210="","",_xlfn.TEXTJOIN(" + ",TRUE(),IF(COUNTIFS($E$5:$E$1000,E210,$C$5:$C$1000,"Auditoría Interna")&gt;0,"Interna",""),IF(COUNTIFS($E$5:$E$1000,E210,$C$5:$C$1000,"Auditoría Externa")&gt;0,"Externa",""),IF(COUNTIFS($E$5:$E$1000,E210,$C$5:$C$1000,"SSF")&gt;0,"SSF",""),IF(COUNTIFS($E$5:$E$1000,E210,$C$5:$C$1000,"Comité de Supervisión")&gt;0,"Comité Sup.",""),IF(COUNTIFS($E$5:$E$1000,E210,$C$5:$C$1000,"Consejo de Administración")&gt;0,"Consejo",""),IF(COUNTIFS($E$5:$E$1000,E210,$C$5:$C$1000,"Otros")&gt;0,"Otros","")))</f>
        <v/>
      </c>
      <c r="X210" s="24" t="str">
        <f aca="false">IF(E210="","",COUNTIFS($E$5:$E$1000,E210,$AB$5:$AB$1000,AB210,$C$5:$C$1000,"&lt;&gt;"&amp;C210))</f>
        <v/>
      </c>
      <c r="Y210" s="33"/>
      <c r="Z210" s="31"/>
      <c r="AA210" s="33"/>
      <c r="AB210" s="37" t="str">
        <f aca="false">IF(B210="","",YEAR(B210)*100+MONTH(B210))</f>
        <v/>
      </c>
      <c r="AC210" s="37" t="str">
        <f aca="false">IF(AND(E210&lt;&gt;"",E210=Cruce!$C$5),COUNTIF($E$5:E210,E210),"")</f>
        <v/>
      </c>
      <c r="AD210" s="37" t="str">
        <f aca="false">IF(E210="","",C210&amp;"|"&amp;Y210&amp;"|"&amp;IF(B210="","s/f",TEXT(B210,"yyyymmdd")))</f>
        <v/>
      </c>
      <c r="AE210" s="37" t="n">
        <f aca="false">IF(E210="",0,IF(COUNTIFS($E$5:E210,E210,$AD$5:AD210,AD210)=1,1,0))</f>
        <v>0</v>
      </c>
    </row>
    <row r="211" customFormat="false" ht="15" hidden="false" customHeight="true" outlineLevel="0" collapsed="false">
      <c r="A211" s="31"/>
      <c r="B211" s="30"/>
      <c r="C211" s="31"/>
      <c r="D211" s="31"/>
      <c r="E211" s="32"/>
      <c r="F211" s="32"/>
      <c r="G211" s="33"/>
      <c r="H211" s="31"/>
      <c r="I211" s="24" t="str">
        <f aca="false">IF(B211="","",YEAR(B211))</f>
        <v/>
      </c>
      <c r="J211" s="34" t="str">
        <f aca="false">IF(B211="","",IF(MONTH(B211)=1,"X",""))</f>
        <v/>
      </c>
      <c r="K211" s="34" t="str">
        <f aca="false">IF(B211="","",IF(MONTH(B211)=2,"X",""))</f>
        <v/>
      </c>
      <c r="L211" s="34" t="str">
        <f aca="false">IF(B211="","",IF(MONTH(B211)=3,"X",""))</f>
        <v/>
      </c>
      <c r="M211" s="34" t="str">
        <f aca="false">IF(B211="","",IF(MONTH(B211)=4,"X",""))</f>
        <v/>
      </c>
      <c r="N211" s="34" t="str">
        <f aca="false">IF(B211="","",IF(MONTH(B211)=5,"X",""))</f>
        <v/>
      </c>
      <c r="O211" s="34" t="str">
        <f aca="false">IF(B211="","",IF(MONTH(B211)=6,"X",""))</f>
        <v/>
      </c>
      <c r="P211" s="34" t="str">
        <f aca="false">IF(B211="","",IF(MONTH(B211)=7,"X",""))</f>
        <v/>
      </c>
      <c r="Q211" s="34" t="str">
        <f aca="false">IF(B211="","",IF(MONTH(B211)=8,"X",""))</f>
        <v/>
      </c>
      <c r="R211" s="34" t="str">
        <f aca="false">IF(B211="","",IF(MONTH(B211)=9,"X",""))</f>
        <v/>
      </c>
      <c r="S211" s="34" t="str">
        <f aca="false">IF(B211="","",IF(MONTH(B211)=10,"X",""))</f>
        <v/>
      </c>
      <c r="T211" s="34" t="str">
        <f aca="false">IF(B211="","",IF(MONTH(B211)=11,"X",""))</f>
        <v/>
      </c>
      <c r="U211" s="34" t="str">
        <f aca="false">IF(B211="","",IF(MONTH(B211)=12,"X",""))</f>
        <v/>
      </c>
      <c r="V211" s="24" t="str">
        <f aca="false">IF(E211="","",COUNTIF($E$5:$E$1000,E211))</f>
        <v/>
      </c>
      <c r="W211" s="35" t="str">
        <f aca="false">IF(E211="","",_xlfn.TEXTJOIN(" + ",TRUE(),IF(COUNTIFS($E$5:$E$1000,E211,$C$5:$C$1000,"Auditoría Interna")&gt;0,"Interna",""),IF(COUNTIFS($E$5:$E$1000,E211,$C$5:$C$1000,"Auditoría Externa")&gt;0,"Externa",""),IF(COUNTIFS($E$5:$E$1000,E211,$C$5:$C$1000,"SSF")&gt;0,"SSF",""),IF(COUNTIFS($E$5:$E$1000,E211,$C$5:$C$1000,"Comité de Supervisión")&gt;0,"Comité Sup.",""),IF(COUNTIFS($E$5:$E$1000,E211,$C$5:$C$1000,"Consejo de Administración")&gt;0,"Consejo",""),IF(COUNTIFS($E$5:$E$1000,E211,$C$5:$C$1000,"Otros")&gt;0,"Otros","")))</f>
        <v/>
      </c>
      <c r="X211" s="24" t="str">
        <f aca="false">IF(E211="","",COUNTIFS($E$5:$E$1000,E211,$AB$5:$AB$1000,AB211,$C$5:$C$1000,"&lt;&gt;"&amp;C211))</f>
        <v/>
      </c>
      <c r="Y211" s="33"/>
      <c r="Z211" s="31"/>
      <c r="AA211" s="33"/>
      <c r="AB211" s="37" t="str">
        <f aca="false">IF(B211="","",YEAR(B211)*100+MONTH(B211))</f>
        <v/>
      </c>
      <c r="AC211" s="37" t="str">
        <f aca="false">IF(AND(E211&lt;&gt;"",E211=Cruce!$C$5),COUNTIF($E$5:E211,E211),"")</f>
        <v/>
      </c>
      <c r="AD211" s="37" t="str">
        <f aca="false">IF(E211="","",C211&amp;"|"&amp;Y211&amp;"|"&amp;IF(B211="","s/f",TEXT(B211,"yyyymmdd")))</f>
        <v/>
      </c>
      <c r="AE211" s="37" t="n">
        <f aca="false">IF(E211="",0,IF(COUNTIFS($E$5:E211,E211,$AD$5:AD211,AD211)=1,1,0))</f>
        <v>0</v>
      </c>
    </row>
    <row r="212" customFormat="false" ht="15" hidden="false" customHeight="true" outlineLevel="0" collapsed="false">
      <c r="A212" s="31"/>
      <c r="B212" s="30"/>
      <c r="C212" s="31"/>
      <c r="D212" s="31"/>
      <c r="E212" s="32"/>
      <c r="F212" s="32"/>
      <c r="G212" s="33"/>
      <c r="H212" s="31"/>
      <c r="I212" s="24" t="str">
        <f aca="false">IF(B212="","",YEAR(B212))</f>
        <v/>
      </c>
      <c r="J212" s="34" t="str">
        <f aca="false">IF(B212="","",IF(MONTH(B212)=1,"X",""))</f>
        <v/>
      </c>
      <c r="K212" s="34" t="str">
        <f aca="false">IF(B212="","",IF(MONTH(B212)=2,"X",""))</f>
        <v/>
      </c>
      <c r="L212" s="34" t="str">
        <f aca="false">IF(B212="","",IF(MONTH(B212)=3,"X",""))</f>
        <v/>
      </c>
      <c r="M212" s="34" t="str">
        <f aca="false">IF(B212="","",IF(MONTH(B212)=4,"X",""))</f>
        <v/>
      </c>
      <c r="N212" s="34" t="str">
        <f aca="false">IF(B212="","",IF(MONTH(B212)=5,"X",""))</f>
        <v/>
      </c>
      <c r="O212" s="34" t="str">
        <f aca="false">IF(B212="","",IF(MONTH(B212)=6,"X",""))</f>
        <v/>
      </c>
      <c r="P212" s="34" t="str">
        <f aca="false">IF(B212="","",IF(MONTH(B212)=7,"X",""))</f>
        <v/>
      </c>
      <c r="Q212" s="34" t="str">
        <f aca="false">IF(B212="","",IF(MONTH(B212)=8,"X",""))</f>
        <v/>
      </c>
      <c r="R212" s="34" t="str">
        <f aca="false">IF(B212="","",IF(MONTH(B212)=9,"X",""))</f>
        <v/>
      </c>
      <c r="S212" s="34" t="str">
        <f aca="false">IF(B212="","",IF(MONTH(B212)=10,"X",""))</f>
        <v/>
      </c>
      <c r="T212" s="34" t="str">
        <f aca="false">IF(B212="","",IF(MONTH(B212)=11,"X",""))</f>
        <v/>
      </c>
      <c r="U212" s="34" t="str">
        <f aca="false">IF(B212="","",IF(MONTH(B212)=12,"X",""))</f>
        <v/>
      </c>
      <c r="V212" s="24" t="str">
        <f aca="false">IF(E212="","",COUNTIF($E$5:$E$1000,E212))</f>
        <v/>
      </c>
      <c r="W212" s="35" t="str">
        <f aca="false">IF(E212="","",_xlfn.TEXTJOIN(" + ",TRUE(),IF(COUNTIFS($E$5:$E$1000,E212,$C$5:$C$1000,"Auditoría Interna")&gt;0,"Interna",""),IF(COUNTIFS($E$5:$E$1000,E212,$C$5:$C$1000,"Auditoría Externa")&gt;0,"Externa",""),IF(COUNTIFS($E$5:$E$1000,E212,$C$5:$C$1000,"SSF")&gt;0,"SSF",""),IF(COUNTIFS($E$5:$E$1000,E212,$C$5:$C$1000,"Comité de Supervisión")&gt;0,"Comité Sup.",""),IF(COUNTIFS($E$5:$E$1000,E212,$C$5:$C$1000,"Consejo de Administración")&gt;0,"Consejo",""),IF(COUNTIFS($E$5:$E$1000,E212,$C$5:$C$1000,"Otros")&gt;0,"Otros","")))</f>
        <v/>
      </c>
      <c r="X212" s="24" t="str">
        <f aca="false">IF(E212="","",COUNTIFS($E$5:$E$1000,E212,$AB$5:$AB$1000,AB212,$C$5:$C$1000,"&lt;&gt;"&amp;C212))</f>
        <v/>
      </c>
      <c r="Y212" s="33"/>
      <c r="Z212" s="31"/>
      <c r="AA212" s="33"/>
      <c r="AB212" s="37" t="str">
        <f aca="false">IF(B212="","",YEAR(B212)*100+MONTH(B212))</f>
        <v/>
      </c>
      <c r="AC212" s="37" t="str">
        <f aca="false">IF(AND(E212&lt;&gt;"",E212=Cruce!$C$5),COUNTIF($E$5:E212,E212),"")</f>
        <v/>
      </c>
      <c r="AD212" s="37" t="str">
        <f aca="false">IF(E212="","",C212&amp;"|"&amp;Y212&amp;"|"&amp;IF(B212="","s/f",TEXT(B212,"yyyymmdd")))</f>
        <v/>
      </c>
      <c r="AE212" s="37" t="n">
        <f aca="false">IF(E212="",0,IF(COUNTIFS($E$5:E212,E212,$AD$5:AD212,AD212)=1,1,0))</f>
        <v>0</v>
      </c>
    </row>
    <row r="213" customFormat="false" ht="15" hidden="false" customHeight="true" outlineLevel="0" collapsed="false">
      <c r="A213" s="31"/>
      <c r="B213" s="30"/>
      <c r="C213" s="31"/>
      <c r="D213" s="31"/>
      <c r="E213" s="32"/>
      <c r="F213" s="32"/>
      <c r="G213" s="33"/>
      <c r="H213" s="31"/>
      <c r="I213" s="24" t="str">
        <f aca="false">IF(B213="","",YEAR(B213))</f>
        <v/>
      </c>
      <c r="J213" s="34" t="str">
        <f aca="false">IF(B213="","",IF(MONTH(B213)=1,"X",""))</f>
        <v/>
      </c>
      <c r="K213" s="34" t="str">
        <f aca="false">IF(B213="","",IF(MONTH(B213)=2,"X",""))</f>
        <v/>
      </c>
      <c r="L213" s="34" t="str">
        <f aca="false">IF(B213="","",IF(MONTH(B213)=3,"X",""))</f>
        <v/>
      </c>
      <c r="M213" s="34" t="str">
        <f aca="false">IF(B213="","",IF(MONTH(B213)=4,"X",""))</f>
        <v/>
      </c>
      <c r="N213" s="34" t="str">
        <f aca="false">IF(B213="","",IF(MONTH(B213)=5,"X",""))</f>
        <v/>
      </c>
      <c r="O213" s="34" t="str">
        <f aca="false">IF(B213="","",IF(MONTH(B213)=6,"X",""))</f>
        <v/>
      </c>
      <c r="P213" s="34" t="str">
        <f aca="false">IF(B213="","",IF(MONTH(B213)=7,"X",""))</f>
        <v/>
      </c>
      <c r="Q213" s="34" t="str">
        <f aca="false">IF(B213="","",IF(MONTH(B213)=8,"X",""))</f>
        <v/>
      </c>
      <c r="R213" s="34" t="str">
        <f aca="false">IF(B213="","",IF(MONTH(B213)=9,"X",""))</f>
        <v/>
      </c>
      <c r="S213" s="34" t="str">
        <f aca="false">IF(B213="","",IF(MONTH(B213)=10,"X",""))</f>
        <v/>
      </c>
      <c r="T213" s="34" t="str">
        <f aca="false">IF(B213="","",IF(MONTH(B213)=11,"X",""))</f>
        <v/>
      </c>
      <c r="U213" s="34" t="str">
        <f aca="false">IF(B213="","",IF(MONTH(B213)=12,"X",""))</f>
        <v/>
      </c>
      <c r="V213" s="24" t="str">
        <f aca="false">IF(E213="","",COUNTIF($E$5:$E$1000,E213))</f>
        <v/>
      </c>
      <c r="W213" s="35" t="str">
        <f aca="false">IF(E213="","",_xlfn.TEXTJOIN(" + ",TRUE(),IF(COUNTIFS($E$5:$E$1000,E213,$C$5:$C$1000,"Auditoría Interna")&gt;0,"Interna",""),IF(COUNTIFS($E$5:$E$1000,E213,$C$5:$C$1000,"Auditoría Externa")&gt;0,"Externa",""),IF(COUNTIFS($E$5:$E$1000,E213,$C$5:$C$1000,"SSF")&gt;0,"SSF",""),IF(COUNTIFS($E$5:$E$1000,E213,$C$5:$C$1000,"Comité de Supervisión")&gt;0,"Comité Sup.",""),IF(COUNTIFS($E$5:$E$1000,E213,$C$5:$C$1000,"Consejo de Administración")&gt;0,"Consejo",""),IF(COUNTIFS($E$5:$E$1000,E213,$C$5:$C$1000,"Otros")&gt;0,"Otros","")))</f>
        <v/>
      </c>
      <c r="X213" s="24" t="str">
        <f aca="false">IF(E213="","",COUNTIFS($E$5:$E$1000,E213,$AB$5:$AB$1000,AB213,$C$5:$C$1000,"&lt;&gt;"&amp;C213))</f>
        <v/>
      </c>
      <c r="Y213" s="33"/>
      <c r="Z213" s="31"/>
      <c r="AA213" s="33"/>
      <c r="AB213" s="37" t="str">
        <f aca="false">IF(B213="","",YEAR(B213)*100+MONTH(B213))</f>
        <v/>
      </c>
      <c r="AC213" s="37" t="str">
        <f aca="false">IF(AND(E213&lt;&gt;"",E213=Cruce!$C$5),COUNTIF($E$5:E213,E213),"")</f>
        <v/>
      </c>
      <c r="AD213" s="37" t="str">
        <f aca="false">IF(E213="","",C213&amp;"|"&amp;Y213&amp;"|"&amp;IF(B213="","s/f",TEXT(B213,"yyyymmdd")))</f>
        <v/>
      </c>
      <c r="AE213" s="37" t="n">
        <f aca="false">IF(E213="",0,IF(COUNTIFS($E$5:E213,E213,$AD$5:AD213,AD213)=1,1,0))</f>
        <v>0</v>
      </c>
    </row>
    <row r="214" customFormat="false" ht="15" hidden="false" customHeight="true" outlineLevel="0" collapsed="false">
      <c r="A214" s="31"/>
      <c r="B214" s="30"/>
      <c r="C214" s="31"/>
      <c r="D214" s="31"/>
      <c r="E214" s="32"/>
      <c r="F214" s="32"/>
      <c r="G214" s="33"/>
      <c r="H214" s="31"/>
      <c r="I214" s="24" t="str">
        <f aca="false">IF(B214="","",YEAR(B214))</f>
        <v/>
      </c>
      <c r="J214" s="34" t="str">
        <f aca="false">IF(B214="","",IF(MONTH(B214)=1,"X",""))</f>
        <v/>
      </c>
      <c r="K214" s="34" t="str">
        <f aca="false">IF(B214="","",IF(MONTH(B214)=2,"X",""))</f>
        <v/>
      </c>
      <c r="L214" s="34" t="str">
        <f aca="false">IF(B214="","",IF(MONTH(B214)=3,"X",""))</f>
        <v/>
      </c>
      <c r="M214" s="34" t="str">
        <f aca="false">IF(B214="","",IF(MONTH(B214)=4,"X",""))</f>
        <v/>
      </c>
      <c r="N214" s="34" t="str">
        <f aca="false">IF(B214="","",IF(MONTH(B214)=5,"X",""))</f>
        <v/>
      </c>
      <c r="O214" s="34" t="str">
        <f aca="false">IF(B214="","",IF(MONTH(B214)=6,"X",""))</f>
        <v/>
      </c>
      <c r="P214" s="34" t="str">
        <f aca="false">IF(B214="","",IF(MONTH(B214)=7,"X",""))</f>
        <v/>
      </c>
      <c r="Q214" s="34" t="str">
        <f aca="false">IF(B214="","",IF(MONTH(B214)=8,"X",""))</f>
        <v/>
      </c>
      <c r="R214" s="34" t="str">
        <f aca="false">IF(B214="","",IF(MONTH(B214)=9,"X",""))</f>
        <v/>
      </c>
      <c r="S214" s="34" t="str">
        <f aca="false">IF(B214="","",IF(MONTH(B214)=10,"X",""))</f>
        <v/>
      </c>
      <c r="T214" s="34" t="str">
        <f aca="false">IF(B214="","",IF(MONTH(B214)=11,"X",""))</f>
        <v/>
      </c>
      <c r="U214" s="34" t="str">
        <f aca="false">IF(B214="","",IF(MONTH(B214)=12,"X",""))</f>
        <v/>
      </c>
      <c r="V214" s="24" t="str">
        <f aca="false">IF(E214="","",COUNTIF($E$5:$E$1000,E214))</f>
        <v/>
      </c>
      <c r="W214" s="35" t="str">
        <f aca="false">IF(E214="","",_xlfn.TEXTJOIN(" + ",TRUE(),IF(COUNTIFS($E$5:$E$1000,E214,$C$5:$C$1000,"Auditoría Interna")&gt;0,"Interna",""),IF(COUNTIFS($E$5:$E$1000,E214,$C$5:$C$1000,"Auditoría Externa")&gt;0,"Externa",""),IF(COUNTIFS($E$5:$E$1000,E214,$C$5:$C$1000,"SSF")&gt;0,"SSF",""),IF(COUNTIFS($E$5:$E$1000,E214,$C$5:$C$1000,"Comité de Supervisión")&gt;0,"Comité Sup.",""),IF(COUNTIFS($E$5:$E$1000,E214,$C$5:$C$1000,"Consejo de Administración")&gt;0,"Consejo",""),IF(COUNTIFS($E$5:$E$1000,E214,$C$5:$C$1000,"Otros")&gt;0,"Otros","")))</f>
        <v/>
      </c>
      <c r="X214" s="24" t="str">
        <f aca="false">IF(E214="","",COUNTIFS($E$5:$E$1000,E214,$AB$5:$AB$1000,AB214,$C$5:$C$1000,"&lt;&gt;"&amp;C214))</f>
        <v/>
      </c>
      <c r="Y214" s="33"/>
      <c r="Z214" s="31"/>
      <c r="AA214" s="33"/>
      <c r="AB214" s="37" t="str">
        <f aca="false">IF(B214="","",YEAR(B214)*100+MONTH(B214))</f>
        <v/>
      </c>
      <c r="AC214" s="37" t="str">
        <f aca="false">IF(AND(E214&lt;&gt;"",E214=Cruce!$C$5),COUNTIF($E$5:E214,E214),"")</f>
        <v/>
      </c>
      <c r="AD214" s="37" t="str">
        <f aca="false">IF(E214="","",C214&amp;"|"&amp;Y214&amp;"|"&amp;IF(B214="","s/f",TEXT(B214,"yyyymmdd")))</f>
        <v/>
      </c>
      <c r="AE214" s="37" t="n">
        <f aca="false">IF(E214="",0,IF(COUNTIFS($E$5:E214,E214,$AD$5:AD214,AD214)=1,1,0))</f>
        <v>0</v>
      </c>
    </row>
    <row r="215" customFormat="false" ht="15" hidden="false" customHeight="true" outlineLevel="0" collapsed="false">
      <c r="A215" s="31"/>
      <c r="B215" s="30"/>
      <c r="C215" s="31"/>
      <c r="D215" s="31"/>
      <c r="E215" s="32"/>
      <c r="F215" s="32"/>
      <c r="G215" s="33"/>
      <c r="H215" s="31"/>
      <c r="I215" s="24" t="str">
        <f aca="false">IF(B215="","",YEAR(B215))</f>
        <v/>
      </c>
      <c r="J215" s="34" t="str">
        <f aca="false">IF(B215="","",IF(MONTH(B215)=1,"X",""))</f>
        <v/>
      </c>
      <c r="K215" s="34" t="str">
        <f aca="false">IF(B215="","",IF(MONTH(B215)=2,"X",""))</f>
        <v/>
      </c>
      <c r="L215" s="34" t="str">
        <f aca="false">IF(B215="","",IF(MONTH(B215)=3,"X",""))</f>
        <v/>
      </c>
      <c r="M215" s="34" t="str">
        <f aca="false">IF(B215="","",IF(MONTH(B215)=4,"X",""))</f>
        <v/>
      </c>
      <c r="N215" s="34" t="str">
        <f aca="false">IF(B215="","",IF(MONTH(B215)=5,"X",""))</f>
        <v/>
      </c>
      <c r="O215" s="34" t="str">
        <f aca="false">IF(B215="","",IF(MONTH(B215)=6,"X",""))</f>
        <v/>
      </c>
      <c r="P215" s="34" t="str">
        <f aca="false">IF(B215="","",IF(MONTH(B215)=7,"X",""))</f>
        <v/>
      </c>
      <c r="Q215" s="34" t="str">
        <f aca="false">IF(B215="","",IF(MONTH(B215)=8,"X",""))</f>
        <v/>
      </c>
      <c r="R215" s="34" t="str">
        <f aca="false">IF(B215="","",IF(MONTH(B215)=9,"X",""))</f>
        <v/>
      </c>
      <c r="S215" s="34" t="str">
        <f aca="false">IF(B215="","",IF(MONTH(B215)=10,"X",""))</f>
        <v/>
      </c>
      <c r="T215" s="34" t="str">
        <f aca="false">IF(B215="","",IF(MONTH(B215)=11,"X",""))</f>
        <v/>
      </c>
      <c r="U215" s="34" t="str">
        <f aca="false">IF(B215="","",IF(MONTH(B215)=12,"X",""))</f>
        <v/>
      </c>
      <c r="V215" s="24" t="str">
        <f aca="false">IF(E215="","",COUNTIF($E$5:$E$1000,E215))</f>
        <v/>
      </c>
      <c r="W215" s="35" t="str">
        <f aca="false">IF(E215="","",_xlfn.TEXTJOIN(" + ",TRUE(),IF(COUNTIFS($E$5:$E$1000,E215,$C$5:$C$1000,"Auditoría Interna")&gt;0,"Interna",""),IF(COUNTIFS($E$5:$E$1000,E215,$C$5:$C$1000,"Auditoría Externa")&gt;0,"Externa",""),IF(COUNTIFS($E$5:$E$1000,E215,$C$5:$C$1000,"SSF")&gt;0,"SSF",""),IF(COUNTIFS($E$5:$E$1000,E215,$C$5:$C$1000,"Comité de Supervisión")&gt;0,"Comité Sup.",""),IF(COUNTIFS($E$5:$E$1000,E215,$C$5:$C$1000,"Consejo de Administración")&gt;0,"Consejo",""),IF(COUNTIFS($E$5:$E$1000,E215,$C$5:$C$1000,"Otros")&gt;0,"Otros","")))</f>
        <v/>
      </c>
      <c r="X215" s="24" t="str">
        <f aca="false">IF(E215="","",COUNTIFS($E$5:$E$1000,E215,$AB$5:$AB$1000,AB215,$C$5:$C$1000,"&lt;&gt;"&amp;C215))</f>
        <v/>
      </c>
      <c r="Y215" s="33"/>
      <c r="Z215" s="31"/>
      <c r="AA215" s="33"/>
      <c r="AB215" s="37" t="str">
        <f aca="false">IF(B215="","",YEAR(B215)*100+MONTH(B215))</f>
        <v/>
      </c>
      <c r="AC215" s="37" t="str">
        <f aca="false">IF(AND(E215&lt;&gt;"",E215=Cruce!$C$5),COUNTIF($E$5:E215,E215),"")</f>
        <v/>
      </c>
      <c r="AD215" s="37" t="str">
        <f aca="false">IF(E215="","",C215&amp;"|"&amp;Y215&amp;"|"&amp;IF(B215="","s/f",TEXT(B215,"yyyymmdd")))</f>
        <v/>
      </c>
      <c r="AE215" s="37" t="n">
        <f aca="false">IF(E215="",0,IF(COUNTIFS($E$5:E215,E215,$AD$5:AD215,AD215)=1,1,0))</f>
        <v>0</v>
      </c>
    </row>
    <row r="216" customFormat="false" ht="15" hidden="false" customHeight="true" outlineLevel="0" collapsed="false">
      <c r="A216" s="31"/>
      <c r="B216" s="30"/>
      <c r="C216" s="31"/>
      <c r="D216" s="31"/>
      <c r="E216" s="32"/>
      <c r="F216" s="32"/>
      <c r="G216" s="33"/>
      <c r="H216" s="31"/>
      <c r="I216" s="24" t="str">
        <f aca="false">IF(B216="","",YEAR(B216))</f>
        <v/>
      </c>
      <c r="J216" s="34" t="str">
        <f aca="false">IF(B216="","",IF(MONTH(B216)=1,"X",""))</f>
        <v/>
      </c>
      <c r="K216" s="34" t="str">
        <f aca="false">IF(B216="","",IF(MONTH(B216)=2,"X",""))</f>
        <v/>
      </c>
      <c r="L216" s="34" t="str">
        <f aca="false">IF(B216="","",IF(MONTH(B216)=3,"X",""))</f>
        <v/>
      </c>
      <c r="M216" s="34" t="str">
        <f aca="false">IF(B216="","",IF(MONTH(B216)=4,"X",""))</f>
        <v/>
      </c>
      <c r="N216" s="34" t="str">
        <f aca="false">IF(B216="","",IF(MONTH(B216)=5,"X",""))</f>
        <v/>
      </c>
      <c r="O216" s="34" t="str">
        <f aca="false">IF(B216="","",IF(MONTH(B216)=6,"X",""))</f>
        <v/>
      </c>
      <c r="P216" s="34" t="str">
        <f aca="false">IF(B216="","",IF(MONTH(B216)=7,"X",""))</f>
        <v/>
      </c>
      <c r="Q216" s="34" t="str">
        <f aca="false">IF(B216="","",IF(MONTH(B216)=8,"X",""))</f>
        <v/>
      </c>
      <c r="R216" s="34" t="str">
        <f aca="false">IF(B216="","",IF(MONTH(B216)=9,"X",""))</f>
        <v/>
      </c>
      <c r="S216" s="34" t="str">
        <f aca="false">IF(B216="","",IF(MONTH(B216)=10,"X",""))</f>
        <v/>
      </c>
      <c r="T216" s="34" t="str">
        <f aca="false">IF(B216="","",IF(MONTH(B216)=11,"X",""))</f>
        <v/>
      </c>
      <c r="U216" s="34" t="str">
        <f aca="false">IF(B216="","",IF(MONTH(B216)=12,"X",""))</f>
        <v/>
      </c>
      <c r="V216" s="24" t="str">
        <f aca="false">IF(E216="","",COUNTIF($E$5:$E$1000,E216))</f>
        <v/>
      </c>
      <c r="W216" s="35" t="str">
        <f aca="false">IF(E216="","",_xlfn.TEXTJOIN(" + ",TRUE(),IF(COUNTIFS($E$5:$E$1000,E216,$C$5:$C$1000,"Auditoría Interna")&gt;0,"Interna",""),IF(COUNTIFS($E$5:$E$1000,E216,$C$5:$C$1000,"Auditoría Externa")&gt;0,"Externa",""),IF(COUNTIFS($E$5:$E$1000,E216,$C$5:$C$1000,"SSF")&gt;0,"SSF",""),IF(COUNTIFS($E$5:$E$1000,E216,$C$5:$C$1000,"Comité de Supervisión")&gt;0,"Comité Sup.",""),IF(COUNTIFS($E$5:$E$1000,E216,$C$5:$C$1000,"Consejo de Administración")&gt;0,"Consejo",""),IF(COUNTIFS($E$5:$E$1000,E216,$C$5:$C$1000,"Otros")&gt;0,"Otros","")))</f>
        <v/>
      </c>
      <c r="X216" s="24" t="str">
        <f aca="false">IF(E216="","",COUNTIFS($E$5:$E$1000,E216,$AB$5:$AB$1000,AB216,$C$5:$C$1000,"&lt;&gt;"&amp;C216))</f>
        <v/>
      </c>
      <c r="Y216" s="33"/>
      <c r="Z216" s="31"/>
      <c r="AA216" s="33"/>
      <c r="AB216" s="37" t="str">
        <f aca="false">IF(B216="","",YEAR(B216)*100+MONTH(B216))</f>
        <v/>
      </c>
      <c r="AC216" s="37" t="str">
        <f aca="false">IF(AND(E216&lt;&gt;"",E216=Cruce!$C$5),COUNTIF($E$5:E216,E216),"")</f>
        <v/>
      </c>
      <c r="AD216" s="37" t="str">
        <f aca="false">IF(E216="","",C216&amp;"|"&amp;Y216&amp;"|"&amp;IF(B216="","s/f",TEXT(B216,"yyyymmdd")))</f>
        <v/>
      </c>
      <c r="AE216" s="37" t="n">
        <f aca="false">IF(E216="",0,IF(COUNTIFS($E$5:E216,E216,$AD$5:AD216,AD216)=1,1,0))</f>
        <v>0</v>
      </c>
    </row>
    <row r="217" customFormat="false" ht="15" hidden="false" customHeight="true" outlineLevel="0" collapsed="false">
      <c r="A217" s="31"/>
      <c r="B217" s="30"/>
      <c r="C217" s="31"/>
      <c r="D217" s="31"/>
      <c r="E217" s="32"/>
      <c r="F217" s="32"/>
      <c r="G217" s="33"/>
      <c r="H217" s="31"/>
      <c r="I217" s="24" t="str">
        <f aca="false">IF(B217="","",YEAR(B217))</f>
        <v/>
      </c>
      <c r="J217" s="34" t="str">
        <f aca="false">IF(B217="","",IF(MONTH(B217)=1,"X",""))</f>
        <v/>
      </c>
      <c r="K217" s="34" t="str">
        <f aca="false">IF(B217="","",IF(MONTH(B217)=2,"X",""))</f>
        <v/>
      </c>
      <c r="L217" s="34" t="str">
        <f aca="false">IF(B217="","",IF(MONTH(B217)=3,"X",""))</f>
        <v/>
      </c>
      <c r="M217" s="34" t="str">
        <f aca="false">IF(B217="","",IF(MONTH(B217)=4,"X",""))</f>
        <v/>
      </c>
      <c r="N217" s="34" t="str">
        <f aca="false">IF(B217="","",IF(MONTH(B217)=5,"X",""))</f>
        <v/>
      </c>
      <c r="O217" s="34" t="str">
        <f aca="false">IF(B217="","",IF(MONTH(B217)=6,"X",""))</f>
        <v/>
      </c>
      <c r="P217" s="34" t="str">
        <f aca="false">IF(B217="","",IF(MONTH(B217)=7,"X",""))</f>
        <v/>
      </c>
      <c r="Q217" s="34" t="str">
        <f aca="false">IF(B217="","",IF(MONTH(B217)=8,"X",""))</f>
        <v/>
      </c>
      <c r="R217" s="34" t="str">
        <f aca="false">IF(B217="","",IF(MONTH(B217)=9,"X",""))</f>
        <v/>
      </c>
      <c r="S217" s="34" t="str">
        <f aca="false">IF(B217="","",IF(MONTH(B217)=10,"X",""))</f>
        <v/>
      </c>
      <c r="T217" s="34" t="str">
        <f aca="false">IF(B217="","",IF(MONTH(B217)=11,"X",""))</f>
        <v/>
      </c>
      <c r="U217" s="34" t="str">
        <f aca="false">IF(B217="","",IF(MONTH(B217)=12,"X",""))</f>
        <v/>
      </c>
      <c r="V217" s="24" t="str">
        <f aca="false">IF(E217="","",COUNTIF($E$5:$E$1000,E217))</f>
        <v/>
      </c>
      <c r="W217" s="35" t="str">
        <f aca="false">IF(E217="","",_xlfn.TEXTJOIN(" + ",TRUE(),IF(COUNTIFS($E$5:$E$1000,E217,$C$5:$C$1000,"Auditoría Interna")&gt;0,"Interna",""),IF(COUNTIFS($E$5:$E$1000,E217,$C$5:$C$1000,"Auditoría Externa")&gt;0,"Externa",""),IF(COUNTIFS($E$5:$E$1000,E217,$C$5:$C$1000,"SSF")&gt;0,"SSF",""),IF(COUNTIFS($E$5:$E$1000,E217,$C$5:$C$1000,"Comité de Supervisión")&gt;0,"Comité Sup.",""),IF(COUNTIFS($E$5:$E$1000,E217,$C$5:$C$1000,"Consejo de Administración")&gt;0,"Consejo",""),IF(COUNTIFS($E$5:$E$1000,E217,$C$5:$C$1000,"Otros")&gt;0,"Otros","")))</f>
        <v/>
      </c>
      <c r="X217" s="24" t="str">
        <f aca="false">IF(E217="","",COUNTIFS($E$5:$E$1000,E217,$AB$5:$AB$1000,AB217,$C$5:$C$1000,"&lt;&gt;"&amp;C217))</f>
        <v/>
      </c>
      <c r="Y217" s="33"/>
      <c r="Z217" s="31"/>
      <c r="AA217" s="33"/>
      <c r="AB217" s="37" t="str">
        <f aca="false">IF(B217="","",YEAR(B217)*100+MONTH(B217))</f>
        <v/>
      </c>
      <c r="AC217" s="37" t="str">
        <f aca="false">IF(AND(E217&lt;&gt;"",E217=Cruce!$C$5),COUNTIF($E$5:E217,E217),"")</f>
        <v/>
      </c>
      <c r="AD217" s="37" t="str">
        <f aca="false">IF(E217="","",C217&amp;"|"&amp;Y217&amp;"|"&amp;IF(B217="","s/f",TEXT(B217,"yyyymmdd")))</f>
        <v/>
      </c>
      <c r="AE217" s="37" t="n">
        <f aca="false">IF(E217="",0,IF(COUNTIFS($E$5:E217,E217,$AD$5:AD217,AD217)=1,1,0))</f>
        <v>0</v>
      </c>
    </row>
    <row r="218" customFormat="false" ht="15" hidden="false" customHeight="true" outlineLevel="0" collapsed="false">
      <c r="A218" s="31"/>
      <c r="B218" s="30"/>
      <c r="C218" s="31"/>
      <c r="D218" s="31"/>
      <c r="E218" s="32"/>
      <c r="F218" s="32"/>
      <c r="G218" s="33"/>
      <c r="H218" s="31"/>
      <c r="I218" s="24" t="str">
        <f aca="false">IF(B218="","",YEAR(B218))</f>
        <v/>
      </c>
      <c r="J218" s="34" t="str">
        <f aca="false">IF(B218="","",IF(MONTH(B218)=1,"X",""))</f>
        <v/>
      </c>
      <c r="K218" s="34" t="str">
        <f aca="false">IF(B218="","",IF(MONTH(B218)=2,"X",""))</f>
        <v/>
      </c>
      <c r="L218" s="34" t="str">
        <f aca="false">IF(B218="","",IF(MONTH(B218)=3,"X",""))</f>
        <v/>
      </c>
      <c r="M218" s="34" t="str">
        <f aca="false">IF(B218="","",IF(MONTH(B218)=4,"X",""))</f>
        <v/>
      </c>
      <c r="N218" s="34" t="str">
        <f aca="false">IF(B218="","",IF(MONTH(B218)=5,"X",""))</f>
        <v/>
      </c>
      <c r="O218" s="34" t="str">
        <f aca="false">IF(B218="","",IF(MONTH(B218)=6,"X",""))</f>
        <v/>
      </c>
      <c r="P218" s="34" t="str">
        <f aca="false">IF(B218="","",IF(MONTH(B218)=7,"X",""))</f>
        <v/>
      </c>
      <c r="Q218" s="34" t="str">
        <f aca="false">IF(B218="","",IF(MONTH(B218)=8,"X",""))</f>
        <v/>
      </c>
      <c r="R218" s="34" t="str">
        <f aca="false">IF(B218="","",IF(MONTH(B218)=9,"X",""))</f>
        <v/>
      </c>
      <c r="S218" s="34" t="str">
        <f aca="false">IF(B218="","",IF(MONTH(B218)=10,"X",""))</f>
        <v/>
      </c>
      <c r="T218" s="34" t="str">
        <f aca="false">IF(B218="","",IF(MONTH(B218)=11,"X",""))</f>
        <v/>
      </c>
      <c r="U218" s="34" t="str">
        <f aca="false">IF(B218="","",IF(MONTH(B218)=12,"X",""))</f>
        <v/>
      </c>
      <c r="V218" s="24" t="str">
        <f aca="false">IF(E218="","",COUNTIF($E$5:$E$1000,E218))</f>
        <v/>
      </c>
      <c r="W218" s="35" t="str">
        <f aca="false">IF(E218="","",_xlfn.TEXTJOIN(" + ",TRUE(),IF(COUNTIFS($E$5:$E$1000,E218,$C$5:$C$1000,"Auditoría Interna")&gt;0,"Interna",""),IF(COUNTIFS($E$5:$E$1000,E218,$C$5:$C$1000,"Auditoría Externa")&gt;0,"Externa",""),IF(COUNTIFS($E$5:$E$1000,E218,$C$5:$C$1000,"SSF")&gt;0,"SSF",""),IF(COUNTIFS($E$5:$E$1000,E218,$C$5:$C$1000,"Comité de Supervisión")&gt;0,"Comité Sup.",""),IF(COUNTIFS($E$5:$E$1000,E218,$C$5:$C$1000,"Consejo de Administración")&gt;0,"Consejo",""),IF(COUNTIFS($E$5:$E$1000,E218,$C$5:$C$1000,"Otros")&gt;0,"Otros","")))</f>
        <v/>
      </c>
      <c r="X218" s="24" t="str">
        <f aca="false">IF(E218="","",COUNTIFS($E$5:$E$1000,E218,$AB$5:$AB$1000,AB218,$C$5:$C$1000,"&lt;&gt;"&amp;C218))</f>
        <v/>
      </c>
      <c r="Y218" s="33"/>
      <c r="Z218" s="31"/>
      <c r="AA218" s="33"/>
      <c r="AB218" s="37" t="str">
        <f aca="false">IF(B218="","",YEAR(B218)*100+MONTH(B218))</f>
        <v/>
      </c>
      <c r="AC218" s="37" t="str">
        <f aca="false">IF(AND(E218&lt;&gt;"",E218=Cruce!$C$5),COUNTIF($E$5:E218,E218),"")</f>
        <v/>
      </c>
      <c r="AD218" s="37" t="str">
        <f aca="false">IF(E218="","",C218&amp;"|"&amp;Y218&amp;"|"&amp;IF(B218="","s/f",TEXT(B218,"yyyymmdd")))</f>
        <v/>
      </c>
      <c r="AE218" s="37" t="n">
        <f aca="false">IF(E218="",0,IF(COUNTIFS($E$5:E218,E218,$AD$5:AD218,AD218)=1,1,0))</f>
        <v>0</v>
      </c>
    </row>
    <row r="219" customFormat="false" ht="15" hidden="false" customHeight="true" outlineLevel="0" collapsed="false">
      <c r="A219" s="31"/>
      <c r="B219" s="30"/>
      <c r="C219" s="31"/>
      <c r="D219" s="31"/>
      <c r="E219" s="32"/>
      <c r="F219" s="32"/>
      <c r="G219" s="33"/>
      <c r="H219" s="31"/>
      <c r="I219" s="24" t="str">
        <f aca="false">IF(B219="","",YEAR(B219))</f>
        <v/>
      </c>
      <c r="J219" s="34" t="str">
        <f aca="false">IF(B219="","",IF(MONTH(B219)=1,"X",""))</f>
        <v/>
      </c>
      <c r="K219" s="34" t="str">
        <f aca="false">IF(B219="","",IF(MONTH(B219)=2,"X",""))</f>
        <v/>
      </c>
      <c r="L219" s="34" t="str">
        <f aca="false">IF(B219="","",IF(MONTH(B219)=3,"X",""))</f>
        <v/>
      </c>
      <c r="M219" s="34" t="str">
        <f aca="false">IF(B219="","",IF(MONTH(B219)=4,"X",""))</f>
        <v/>
      </c>
      <c r="N219" s="34" t="str">
        <f aca="false">IF(B219="","",IF(MONTH(B219)=5,"X",""))</f>
        <v/>
      </c>
      <c r="O219" s="34" t="str">
        <f aca="false">IF(B219="","",IF(MONTH(B219)=6,"X",""))</f>
        <v/>
      </c>
      <c r="P219" s="34" t="str">
        <f aca="false">IF(B219="","",IF(MONTH(B219)=7,"X",""))</f>
        <v/>
      </c>
      <c r="Q219" s="34" t="str">
        <f aca="false">IF(B219="","",IF(MONTH(B219)=8,"X",""))</f>
        <v/>
      </c>
      <c r="R219" s="34" t="str">
        <f aca="false">IF(B219="","",IF(MONTH(B219)=9,"X",""))</f>
        <v/>
      </c>
      <c r="S219" s="34" t="str">
        <f aca="false">IF(B219="","",IF(MONTH(B219)=10,"X",""))</f>
        <v/>
      </c>
      <c r="T219" s="34" t="str">
        <f aca="false">IF(B219="","",IF(MONTH(B219)=11,"X",""))</f>
        <v/>
      </c>
      <c r="U219" s="34" t="str">
        <f aca="false">IF(B219="","",IF(MONTH(B219)=12,"X",""))</f>
        <v/>
      </c>
      <c r="V219" s="24" t="str">
        <f aca="false">IF(E219="","",COUNTIF($E$5:$E$1000,E219))</f>
        <v/>
      </c>
      <c r="W219" s="35" t="str">
        <f aca="false">IF(E219="","",_xlfn.TEXTJOIN(" + ",TRUE(),IF(COUNTIFS($E$5:$E$1000,E219,$C$5:$C$1000,"Auditoría Interna")&gt;0,"Interna",""),IF(COUNTIFS($E$5:$E$1000,E219,$C$5:$C$1000,"Auditoría Externa")&gt;0,"Externa",""),IF(COUNTIFS($E$5:$E$1000,E219,$C$5:$C$1000,"SSF")&gt;0,"SSF",""),IF(COUNTIFS($E$5:$E$1000,E219,$C$5:$C$1000,"Comité de Supervisión")&gt;0,"Comité Sup.",""),IF(COUNTIFS($E$5:$E$1000,E219,$C$5:$C$1000,"Consejo de Administración")&gt;0,"Consejo",""),IF(COUNTIFS($E$5:$E$1000,E219,$C$5:$C$1000,"Otros")&gt;0,"Otros","")))</f>
        <v/>
      </c>
      <c r="X219" s="24" t="str">
        <f aca="false">IF(E219="","",COUNTIFS($E$5:$E$1000,E219,$AB$5:$AB$1000,AB219,$C$5:$C$1000,"&lt;&gt;"&amp;C219))</f>
        <v/>
      </c>
      <c r="Y219" s="33"/>
      <c r="Z219" s="31"/>
      <c r="AA219" s="33"/>
      <c r="AB219" s="37" t="str">
        <f aca="false">IF(B219="","",YEAR(B219)*100+MONTH(B219))</f>
        <v/>
      </c>
      <c r="AC219" s="37" t="str">
        <f aca="false">IF(AND(E219&lt;&gt;"",E219=Cruce!$C$5),COUNTIF($E$5:E219,E219),"")</f>
        <v/>
      </c>
      <c r="AD219" s="37" t="str">
        <f aca="false">IF(E219="","",C219&amp;"|"&amp;Y219&amp;"|"&amp;IF(B219="","s/f",TEXT(B219,"yyyymmdd")))</f>
        <v/>
      </c>
      <c r="AE219" s="37" t="n">
        <f aca="false">IF(E219="",0,IF(COUNTIFS($E$5:E219,E219,$AD$5:AD219,AD219)=1,1,0))</f>
        <v>0</v>
      </c>
    </row>
    <row r="220" customFormat="false" ht="15" hidden="false" customHeight="true" outlineLevel="0" collapsed="false">
      <c r="A220" s="31"/>
      <c r="B220" s="30"/>
      <c r="C220" s="31"/>
      <c r="D220" s="31"/>
      <c r="E220" s="32"/>
      <c r="F220" s="32"/>
      <c r="G220" s="33"/>
      <c r="H220" s="31"/>
      <c r="I220" s="24" t="str">
        <f aca="false">IF(B220="","",YEAR(B220))</f>
        <v/>
      </c>
      <c r="J220" s="34" t="str">
        <f aca="false">IF(B220="","",IF(MONTH(B220)=1,"X",""))</f>
        <v/>
      </c>
      <c r="K220" s="34" t="str">
        <f aca="false">IF(B220="","",IF(MONTH(B220)=2,"X",""))</f>
        <v/>
      </c>
      <c r="L220" s="34" t="str">
        <f aca="false">IF(B220="","",IF(MONTH(B220)=3,"X",""))</f>
        <v/>
      </c>
      <c r="M220" s="34" t="str">
        <f aca="false">IF(B220="","",IF(MONTH(B220)=4,"X",""))</f>
        <v/>
      </c>
      <c r="N220" s="34" t="str">
        <f aca="false">IF(B220="","",IF(MONTH(B220)=5,"X",""))</f>
        <v/>
      </c>
      <c r="O220" s="34" t="str">
        <f aca="false">IF(B220="","",IF(MONTH(B220)=6,"X",""))</f>
        <v/>
      </c>
      <c r="P220" s="34" t="str">
        <f aca="false">IF(B220="","",IF(MONTH(B220)=7,"X",""))</f>
        <v/>
      </c>
      <c r="Q220" s="34" t="str">
        <f aca="false">IF(B220="","",IF(MONTH(B220)=8,"X",""))</f>
        <v/>
      </c>
      <c r="R220" s="34" t="str">
        <f aca="false">IF(B220="","",IF(MONTH(B220)=9,"X",""))</f>
        <v/>
      </c>
      <c r="S220" s="34" t="str">
        <f aca="false">IF(B220="","",IF(MONTH(B220)=10,"X",""))</f>
        <v/>
      </c>
      <c r="T220" s="34" t="str">
        <f aca="false">IF(B220="","",IF(MONTH(B220)=11,"X",""))</f>
        <v/>
      </c>
      <c r="U220" s="34" t="str">
        <f aca="false">IF(B220="","",IF(MONTH(B220)=12,"X",""))</f>
        <v/>
      </c>
      <c r="V220" s="24" t="str">
        <f aca="false">IF(E220="","",COUNTIF($E$5:$E$1000,E220))</f>
        <v/>
      </c>
      <c r="W220" s="35" t="str">
        <f aca="false">IF(E220="","",_xlfn.TEXTJOIN(" + ",TRUE(),IF(COUNTIFS($E$5:$E$1000,E220,$C$5:$C$1000,"Auditoría Interna")&gt;0,"Interna",""),IF(COUNTIFS($E$5:$E$1000,E220,$C$5:$C$1000,"Auditoría Externa")&gt;0,"Externa",""),IF(COUNTIFS($E$5:$E$1000,E220,$C$5:$C$1000,"SSF")&gt;0,"SSF",""),IF(COUNTIFS($E$5:$E$1000,E220,$C$5:$C$1000,"Comité de Supervisión")&gt;0,"Comité Sup.",""),IF(COUNTIFS($E$5:$E$1000,E220,$C$5:$C$1000,"Consejo de Administración")&gt;0,"Consejo",""),IF(COUNTIFS($E$5:$E$1000,E220,$C$5:$C$1000,"Otros")&gt;0,"Otros","")))</f>
        <v/>
      </c>
      <c r="X220" s="24" t="str">
        <f aca="false">IF(E220="","",COUNTIFS($E$5:$E$1000,E220,$AB$5:$AB$1000,AB220,$C$5:$C$1000,"&lt;&gt;"&amp;C220))</f>
        <v/>
      </c>
      <c r="Y220" s="33"/>
      <c r="Z220" s="31"/>
      <c r="AA220" s="33"/>
      <c r="AB220" s="37" t="str">
        <f aca="false">IF(B220="","",YEAR(B220)*100+MONTH(B220))</f>
        <v/>
      </c>
      <c r="AC220" s="37" t="str">
        <f aca="false">IF(AND(E220&lt;&gt;"",E220=Cruce!$C$5),COUNTIF($E$5:E220,E220),"")</f>
        <v/>
      </c>
      <c r="AD220" s="37" t="str">
        <f aca="false">IF(E220="","",C220&amp;"|"&amp;Y220&amp;"|"&amp;IF(B220="","s/f",TEXT(B220,"yyyymmdd")))</f>
        <v/>
      </c>
      <c r="AE220" s="37" t="n">
        <f aca="false">IF(E220="",0,IF(COUNTIFS($E$5:E220,E220,$AD$5:AD220,AD220)=1,1,0))</f>
        <v>0</v>
      </c>
    </row>
    <row r="221" customFormat="false" ht="15" hidden="false" customHeight="true" outlineLevel="0" collapsed="false">
      <c r="A221" s="31"/>
      <c r="B221" s="30"/>
      <c r="C221" s="31"/>
      <c r="D221" s="31"/>
      <c r="E221" s="32"/>
      <c r="F221" s="32"/>
      <c r="G221" s="33"/>
      <c r="H221" s="31"/>
      <c r="I221" s="24" t="str">
        <f aca="false">IF(B221="","",YEAR(B221))</f>
        <v/>
      </c>
      <c r="J221" s="34" t="str">
        <f aca="false">IF(B221="","",IF(MONTH(B221)=1,"X",""))</f>
        <v/>
      </c>
      <c r="K221" s="34" t="str">
        <f aca="false">IF(B221="","",IF(MONTH(B221)=2,"X",""))</f>
        <v/>
      </c>
      <c r="L221" s="34" t="str">
        <f aca="false">IF(B221="","",IF(MONTH(B221)=3,"X",""))</f>
        <v/>
      </c>
      <c r="M221" s="34" t="str">
        <f aca="false">IF(B221="","",IF(MONTH(B221)=4,"X",""))</f>
        <v/>
      </c>
      <c r="N221" s="34" t="str">
        <f aca="false">IF(B221="","",IF(MONTH(B221)=5,"X",""))</f>
        <v/>
      </c>
      <c r="O221" s="34" t="str">
        <f aca="false">IF(B221="","",IF(MONTH(B221)=6,"X",""))</f>
        <v/>
      </c>
      <c r="P221" s="34" t="str">
        <f aca="false">IF(B221="","",IF(MONTH(B221)=7,"X",""))</f>
        <v/>
      </c>
      <c r="Q221" s="34" t="str">
        <f aca="false">IF(B221="","",IF(MONTH(B221)=8,"X",""))</f>
        <v/>
      </c>
      <c r="R221" s="34" t="str">
        <f aca="false">IF(B221="","",IF(MONTH(B221)=9,"X",""))</f>
        <v/>
      </c>
      <c r="S221" s="34" t="str">
        <f aca="false">IF(B221="","",IF(MONTH(B221)=10,"X",""))</f>
        <v/>
      </c>
      <c r="T221" s="34" t="str">
        <f aca="false">IF(B221="","",IF(MONTH(B221)=11,"X",""))</f>
        <v/>
      </c>
      <c r="U221" s="34" t="str">
        <f aca="false">IF(B221="","",IF(MONTH(B221)=12,"X",""))</f>
        <v/>
      </c>
      <c r="V221" s="24" t="str">
        <f aca="false">IF(E221="","",COUNTIF($E$5:$E$1000,E221))</f>
        <v/>
      </c>
      <c r="W221" s="35" t="str">
        <f aca="false">IF(E221="","",_xlfn.TEXTJOIN(" + ",TRUE(),IF(COUNTIFS($E$5:$E$1000,E221,$C$5:$C$1000,"Auditoría Interna")&gt;0,"Interna",""),IF(COUNTIFS($E$5:$E$1000,E221,$C$5:$C$1000,"Auditoría Externa")&gt;0,"Externa",""),IF(COUNTIFS($E$5:$E$1000,E221,$C$5:$C$1000,"SSF")&gt;0,"SSF",""),IF(COUNTIFS($E$5:$E$1000,E221,$C$5:$C$1000,"Comité de Supervisión")&gt;0,"Comité Sup.",""),IF(COUNTIFS($E$5:$E$1000,E221,$C$5:$C$1000,"Consejo de Administración")&gt;0,"Consejo",""),IF(COUNTIFS($E$5:$E$1000,E221,$C$5:$C$1000,"Otros")&gt;0,"Otros","")))</f>
        <v/>
      </c>
      <c r="X221" s="24" t="str">
        <f aca="false">IF(E221="","",COUNTIFS($E$5:$E$1000,E221,$AB$5:$AB$1000,AB221,$C$5:$C$1000,"&lt;&gt;"&amp;C221))</f>
        <v/>
      </c>
      <c r="Y221" s="33"/>
      <c r="Z221" s="31"/>
      <c r="AA221" s="33"/>
      <c r="AB221" s="37" t="str">
        <f aca="false">IF(B221="","",YEAR(B221)*100+MONTH(B221))</f>
        <v/>
      </c>
      <c r="AC221" s="37" t="str">
        <f aca="false">IF(AND(E221&lt;&gt;"",E221=Cruce!$C$5),COUNTIF($E$5:E221,E221),"")</f>
        <v/>
      </c>
      <c r="AD221" s="37" t="str">
        <f aca="false">IF(E221="","",C221&amp;"|"&amp;Y221&amp;"|"&amp;IF(B221="","s/f",TEXT(B221,"yyyymmdd")))</f>
        <v/>
      </c>
      <c r="AE221" s="37" t="n">
        <f aca="false">IF(E221="",0,IF(COUNTIFS($E$5:E221,E221,$AD$5:AD221,AD221)=1,1,0))</f>
        <v>0</v>
      </c>
    </row>
    <row r="222" customFormat="false" ht="15" hidden="false" customHeight="true" outlineLevel="0" collapsed="false">
      <c r="A222" s="31"/>
      <c r="B222" s="30"/>
      <c r="C222" s="31"/>
      <c r="D222" s="31"/>
      <c r="E222" s="32"/>
      <c r="F222" s="32"/>
      <c r="G222" s="33"/>
      <c r="H222" s="31"/>
      <c r="I222" s="24" t="str">
        <f aca="false">IF(B222="","",YEAR(B222))</f>
        <v/>
      </c>
      <c r="J222" s="34" t="str">
        <f aca="false">IF(B222="","",IF(MONTH(B222)=1,"X",""))</f>
        <v/>
      </c>
      <c r="K222" s="34" t="str">
        <f aca="false">IF(B222="","",IF(MONTH(B222)=2,"X",""))</f>
        <v/>
      </c>
      <c r="L222" s="34" t="str">
        <f aca="false">IF(B222="","",IF(MONTH(B222)=3,"X",""))</f>
        <v/>
      </c>
      <c r="M222" s="34" t="str">
        <f aca="false">IF(B222="","",IF(MONTH(B222)=4,"X",""))</f>
        <v/>
      </c>
      <c r="N222" s="34" t="str">
        <f aca="false">IF(B222="","",IF(MONTH(B222)=5,"X",""))</f>
        <v/>
      </c>
      <c r="O222" s="34" t="str">
        <f aca="false">IF(B222="","",IF(MONTH(B222)=6,"X",""))</f>
        <v/>
      </c>
      <c r="P222" s="34" t="str">
        <f aca="false">IF(B222="","",IF(MONTH(B222)=7,"X",""))</f>
        <v/>
      </c>
      <c r="Q222" s="34" t="str">
        <f aca="false">IF(B222="","",IF(MONTH(B222)=8,"X",""))</f>
        <v/>
      </c>
      <c r="R222" s="34" t="str">
        <f aca="false">IF(B222="","",IF(MONTH(B222)=9,"X",""))</f>
        <v/>
      </c>
      <c r="S222" s="34" t="str">
        <f aca="false">IF(B222="","",IF(MONTH(B222)=10,"X",""))</f>
        <v/>
      </c>
      <c r="T222" s="34" t="str">
        <f aca="false">IF(B222="","",IF(MONTH(B222)=11,"X",""))</f>
        <v/>
      </c>
      <c r="U222" s="34" t="str">
        <f aca="false">IF(B222="","",IF(MONTH(B222)=12,"X",""))</f>
        <v/>
      </c>
      <c r="V222" s="24" t="str">
        <f aca="false">IF(E222="","",COUNTIF($E$5:$E$1000,E222))</f>
        <v/>
      </c>
      <c r="W222" s="35" t="str">
        <f aca="false">IF(E222="","",_xlfn.TEXTJOIN(" + ",TRUE(),IF(COUNTIFS($E$5:$E$1000,E222,$C$5:$C$1000,"Auditoría Interna")&gt;0,"Interna",""),IF(COUNTIFS($E$5:$E$1000,E222,$C$5:$C$1000,"Auditoría Externa")&gt;0,"Externa",""),IF(COUNTIFS($E$5:$E$1000,E222,$C$5:$C$1000,"SSF")&gt;0,"SSF",""),IF(COUNTIFS($E$5:$E$1000,E222,$C$5:$C$1000,"Comité de Supervisión")&gt;0,"Comité Sup.",""),IF(COUNTIFS($E$5:$E$1000,E222,$C$5:$C$1000,"Consejo de Administración")&gt;0,"Consejo",""),IF(COUNTIFS($E$5:$E$1000,E222,$C$5:$C$1000,"Otros")&gt;0,"Otros","")))</f>
        <v/>
      </c>
      <c r="X222" s="24" t="str">
        <f aca="false">IF(E222="","",COUNTIFS($E$5:$E$1000,E222,$AB$5:$AB$1000,AB222,$C$5:$C$1000,"&lt;&gt;"&amp;C222))</f>
        <v/>
      </c>
      <c r="Y222" s="33"/>
      <c r="Z222" s="31"/>
      <c r="AA222" s="33"/>
      <c r="AB222" s="37" t="str">
        <f aca="false">IF(B222="","",YEAR(B222)*100+MONTH(B222))</f>
        <v/>
      </c>
      <c r="AC222" s="37" t="str">
        <f aca="false">IF(AND(E222&lt;&gt;"",E222=Cruce!$C$5),COUNTIF($E$5:E222,E222),"")</f>
        <v/>
      </c>
      <c r="AD222" s="37" t="str">
        <f aca="false">IF(E222="","",C222&amp;"|"&amp;Y222&amp;"|"&amp;IF(B222="","s/f",TEXT(B222,"yyyymmdd")))</f>
        <v/>
      </c>
      <c r="AE222" s="37" t="n">
        <f aca="false">IF(E222="",0,IF(COUNTIFS($E$5:E222,E222,$AD$5:AD222,AD222)=1,1,0))</f>
        <v>0</v>
      </c>
    </row>
    <row r="223" customFormat="false" ht="15" hidden="false" customHeight="true" outlineLevel="0" collapsed="false">
      <c r="A223" s="31"/>
      <c r="B223" s="30"/>
      <c r="C223" s="31"/>
      <c r="D223" s="31"/>
      <c r="E223" s="32"/>
      <c r="F223" s="32"/>
      <c r="G223" s="33"/>
      <c r="H223" s="31"/>
      <c r="I223" s="24" t="str">
        <f aca="false">IF(B223="","",YEAR(B223))</f>
        <v/>
      </c>
      <c r="J223" s="34" t="str">
        <f aca="false">IF(B223="","",IF(MONTH(B223)=1,"X",""))</f>
        <v/>
      </c>
      <c r="K223" s="34" t="str">
        <f aca="false">IF(B223="","",IF(MONTH(B223)=2,"X",""))</f>
        <v/>
      </c>
      <c r="L223" s="34" t="str">
        <f aca="false">IF(B223="","",IF(MONTH(B223)=3,"X",""))</f>
        <v/>
      </c>
      <c r="M223" s="34" t="str">
        <f aca="false">IF(B223="","",IF(MONTH(B223)=4,"X",""))</f>
        <v/>
      </c>
      <c r="N223" s="34" t="str">
        <f aca="false">IF(B223="","",IF(MONTH(B223)=5,"X",""))</f>
        <v/>
      </c>
      <c r="O223" s="34" t="str">
        <f aca="false">IF(B223="","",IF(MONTH(B223)=6,"X",""))</f>
        <v/>
      </c>
      <c r="P223" s="34" t="str">
        <f aca="false">IF(B223="","",IF(MONTH(B223)=7,"X",""))</f>
        <v/>
      </c>
      <c r="Q223" s="34" t="str">
        <f aca="false">IF(B223="","",IF(MONTH(B223)=8,"X",""))</f>
        <v/>
      </c>
      <c r="R223" s="34" t="str">
        <f aca="false">IF(B223="","",IF(MONTH(B223)=9,"X",""))</f>
        <v/>
      </c>
      <c r="S223" s="34" t="str">
        <f aca="false">IF(B223="","",IF(MONTH(B223)=10,"X",""))</f>
        <v/>
      </c>
      <c r="T223" s="34" t="str">
        <f aca="false">IF(B223="","",IF(MONTH(B223)=11,"X",""))</f>
        <v/>
      </c>
      <c r="U223" s="34" t="str">
        <f aca="false">IF(B223="","",IF(MONTH(B223)=12,"X",""))</f>
        <v/>
      </c>
      <c r="V223" s="24" t="str">
        <f aca="false">IF(E223="","",COUNTIF($E$5:$E$1000,E223))</f>
        <v/>
      </c>
      <c r="W223" s="35" t="str">
        <f aca="false">IF(E223="","",_xlfn.TEXTJOIN(" + ",TRUE(),IF(COUNTIFS($E$5:$E$1000,E223,$C$5:$C$1000,"Auditoría Interna")&gt;0,"Interna",""),IF(COUNTIFS($E$5:$E$1000,E223,$C$5:$C$1000,"Auditoría Externa")&gt;0,"Externa",""),IF(COUNTIFS($E$5:$E$1000,E223,$C$5:$C$1000,"SSF")&gt;0,"SSF",""),IF(COUNTIFS($E$5:$E$1000,E223,$C$5:$C$1000,"Comité de Supervisión")&gt;0,"Comité Sup.",""),IF(COUNTIFS($E$5:$E$1000,E223,$C$5:$C$1000,"Consejo de Administración")&gt;0,"Consejo",""),IF(COUNTIFS($E$5:$E$1000,E223,$C$5:$C$1000,"Otros")&gt;0,"Otros","")))</f>
        <v/>
      </c>
      <c r="X223" s="24" t="str">
        <f aca="false">IF(E223="","",COUNTIFS($E$5:$E$1000,E223,$AB$5:$AB$1000,AB223,$C$5:$C$1000,"&lt;&gt;"&amp;C223))</f>
        <v/>
      </c>
      <c r="Y223" s="33"/>
      <c r="Z223" s="31"/>
      <c r="AA223" s="33"/>
      <c r="AB223" s="37" t="str">
        <f aca="false">IF(B223="","",YEAR(B223)*100+MONTH(B223))</f>
        <v/>
      </c>
      <c r="AC223" s="37" t="str">
        <f aca="false">IF(AND(E223&lt;&gt;"",E223=Cruce!$C$5),COUNTIF($E$5:E223,E223),"")</f>
        <v/>
      </c>
      <c r="AD223" s="37" t="str">
        <f aca="false">IF(E223="","",C223&amp;"|"&amp;Y223&amp;"|"&amp;IF(B223="","s/f",TEXT(B223,"yyyymmdd")))</f>
        <v/>
      </c>
      <c r="AE223" s="37" t="n">
        <f aca="false">IF(E223="",0,IF(COUNTIFS($E$5:E223,E223,$AD$5:AD223,AD223)=1,1,0))</f>
        <v>0</v>
      </c>
    </row>
    <row r="224" customFormat="false" ht="15" hidden="false" customHeight="true" outlineLevel="0" collapsed="false">
      <c r="A224" s="31"/>
      <c r="B224" s="30"/>
      <c r="C224" s="31"/>
      <c r="D224" s="31"/>
      <c r="E224" s="32"/>
      <c r="F224" s="32"/>
      <c r="G224" s="33"/>
      <c r="H224" s="31"/>
      <c r="I224" s="24" t="str">
        <f aca="false">IF(B224="","",YEAR(B224))</f>
        <v/>
      </c>
      <c r="J224" s="34" t="str">
        <f aca="false">IF(B224="","",IF(MONTH(B224)=1,"X",""))</f>
        <v/>
      </c>
      <c r="K224" s="34" t="str">
        <f aca="false">IF(B224="","",IF(MONTH(B224)=2,"X",""))</f>
        <v/>
      </c>
      <c r="L224" s="34" t="str">
        <f aca="false">IF(B224="","",IF(MONTH(B224)=3,"X",""))</f>
        <v/>
      </c>
      <c r="M224" s="34" t="str">
        <f aca="false">IF(B224="","",IF(MONTH(B224)=4,"X",""))</f>
        <v/>
      </c>
      <c r="N224" s="34" t="str">
        <f aca="false">IF(B224="","",IF(MONTH(B224)=5,"X",""))</f>
        <v/>
      </c>
      <c r="O224" s="34" t="str">
        <f aca="false">IF(B224="","",IF(MONTH(B224)=6,"X",""))</f>
        <v/>
      </c>
      <c r="P224" s="34" t="str">
        <f aca="false">IF(B224="","",IF(MONTH(B224)=7,"X",""))</f>
        <v/>
      </c>
      <c r="Q224" s="34" t="str">
        <f aca="false">IF(B224="","",IF(MONTH(B224)=8,"X",""))</f>
        <v/>
      </c>
      <c r="R224" s="34" t="str">
        <f aca="false">IF(B224="","",IF(MONTH(B224)=9,"X",""))</f>
        <v/>
      </c>
      <c r="S224" s="34" t="str">
        <f aca="false">IF(B224="","",IF(MONTH(B224)=10,"X",""))</f>
        <v/>
      </c>
      <c r="T224" s="34" t="str">
        <f aca="false">IF(B224="","",IF(MONTH(B224)=11,"X",""))</f>
        <v/>
      </c>
      <c r="U224" s="34" t="str">
        <f aca="false">IF(B224="","",IF(MONTH(B224)=12,"X",""))</f>
        <v/>
      </c>
      <c r="V224" s="24" t="str">
        <f aca="false">IF(E224="","",COUNTIF($E$5:$E$1000,E224))</f>
        <v/>
      </c>
      <c r="W224" s="35" t="str">
        <f aca="false">IF(E224="","",_xlfn.TEXTJOIN(" + ",TRUE(),IF(COUNTIFS($E$5:$E$1000,E224,$C$5:$C$1000,"Auditoría Interna")&gt;0,"Interna",""),IF(COUNTIFS($E$5:$E$1000,E224,$C$5:$C$1000,"Auditoría Externa")&gt;0,"Externa",""),IF(COUNTIFS($E$5:$E$1000,E224,$C$5:$C$1000,"SSF")&gt;0,"SSF",""),IF(COUNTIFS($E$5:$E$1000,E224,$C$5:$C$1000,"Comité de Supervisión")&gt;0,"Comité Sup.",""),IF(COUNTIFS($E$5:$E$1000,E224,$C$5:$C$1000,"Consejo de Administración")&gt;0,"Consejo",""),IF(COUNTIFS($E$5:$E$1000,E224,$C$5:$C$1000,"Otros")&gt;0,"Otros","")))</f>
        <v/>
      </c>
      <c r="X224" s="24" t="str">
        <f aca="false">IF(E224="","",COUNTIFS($E$5:$E$1000,E224,$AB$5:$AB$1000,AB224,$C$5:$C$1000,"&lt;&gt;"&amp;C224))</f>
        <v/>
      </c>
      <c r="Y224" s="33"/>
      <c r="Z224" s="31"/>
      <c r="AA224" s="33"/>
      <c r="AB224" s="37" t="str">
        <f aca="false">IF(B224="","",YEAR(B224)*100+MONTH(B224))</f>
        <v/>
      </c>
      <c r="AC224" s="37" t="str">
        <f aca="false">IF(AND(E224&lt;&gt;"",E224=Cruce!$C$5),COUNTIF($E$5:E224,E224),"")</f>
        <v/>
      </c>
      <c r="AD224" s="37" t="str">
        <f aca="false">IF(E224="","",C224&amp;"|"&amp;Y224&amp;"|"&amp;IF(B224="","s/f",TEXT(B224,"yyyymmdd")))</f>
        <v/>
      </c>
      <c r="AE224" s="37" t="n">
        <f aca="false">IF(E224="",0,IF(COUNTIFS($E$5:E224,E224,$AD$5:AD224,AD224)=1,1,0))</f>
        <v>0</v>
      </c>
    </row>
    <row r="225" customFormat="false" ht="15" hidden="false" customHeight="true" outlineLevel="0" collapsed="false">
      <c r="A225" s="31"/>
      <c r="B225" s="30"/>
      <c r="C225" s="31"/>
      <c r="D225" s="31"/>
      <c r="E225" s="32"/>
      <c r="F225" s="32"/>
      <c r="G225" s="33"/>
      <c r="H225" s="31"/>
      <c r="I225" s="24" t="str">
        <f aca="false">IF(B225="","",YEAR(B225))</f>
        <v/>
      </c>
      <c r="J225" s="34" t="str">
        <f aca="false">IF(B225="","",IF(MONTH(B225)=1,"X",""))</f>
        <v/>
      </c>
      <c r="K225" s="34" t="str">
        <f aca="false">IF(B225="","",IF(MONTH(B225)=2,"X",""))</f>
        <v/>
      </c>
      <c r="L225" s="34" t="str">
        <f aca="false">IF(B225="","",IF(MONTH(B225)=3,"X",""))</f>
        <v/>
      </c>
      <c r="M225" s="34" t="str">
        <f aca="false">IF(B225="","",IF(MONTH(B225)=4,"X",""))</f>
        <v/>
      </c>
      <c r="N225" s="34" t="str">
        <f aca="false">IF(B225="","",IF(MONTH(B225)=5,"X",""))</f>
        <v/>
      </c>
      <c r="O225" s="34" t="str">
        <f aca="false">IF(B225="","",IF(MONTH(B225)=6,"X",""))</f>
        <v/>
      </c>
      <c r="P225" s="34" t="str">
        <f aca="false">IF(B225="","",IF(MONTH(B225)=7,"X",""))</f>
        <v/>
      </c>
      <c r="Q225" s="34" t="str">
        <f aca="false">IF(B225="","",IF(MONTH(B225)=8,"X",""))</f>
        <v/>
      </c>
      <c r="R225" s="34" t="str">
        <f aca="false">IF(B225="","",IF(MONTH(B225)=9,"X",""))</f>
        <v/>
      </c>
      <c r="S225" s="34" t="str">
        <f aca="false">IF(B225="","",IF(MONTH(B225)=10,"X",""))</f>
        <v/>
      </c>
      <c r="T225" s="34" t="str">
        <f aca="false">IF(B225="","",IF(MONTH(B225)=11,"X",""))</f>
        <v/>
      </c>
      <c r="U225" s="34" t="str">
        <f aca="false">IF(B225="","",IF(MONTH(B225)=12,"X",""))</f>
        <v/>
      </c>
      <c r="V225" s="24" t="str">
        <f aca="false">IF(E225="","",COUNTIF($E$5:$E$1000,E225))</f>
        <v/>
      </c>
      <c r="W225" s="35" t="str">
        <f aca="false">IF(E225="","",_xlfn.TEXTJOIN(" + ",TRUE(),IF(COUNTIFS($E$5:$E$1000,E225,$C$5:$C$1000,"Auditoría Interna")&gt;0,"Interna",""),IF(COUNTIFS($E$5:$E$1000,E225,$C$5:$C$1000,"Auditoría Externa")&gt;0,"Externa",""),IF(COUNTIFS($E$5:$E$1000,E225,$C$5:$C$1000,"SSF")&gt;0,"SSF",""),IF(COUNTIFS($E$5:$E$1000,E225,$C$5:$C$1000,"Comité de Supervisión")&gt;0,"Comité Sup.",""),IF(COUNTIFS($E$5:$E$1000,E225,$C$5:$C$1000,"Consejo de Administración")&gt;0,"Consejo",""),IF(COUNTIFS($E$5:$E$1000,E225,$C$5:$C$1000,"Otros")&gt;0,"Otros","")))</f>
        <v/>
      </c>
      <c r="X225" s="24" t="str">
        <f aca="false">IF(E225="","",COUNTIFS($E$5:$E$1000,E225,$AB$5:$AB$1000,AB225,$C$5:$C$1000,"&lt;&gt;"&amp;C225))</f>
        <v/>
      </c>
      <c r="Y225" s="33"/>
      <c r="Z225" s="31"/>
      <c r="AA225" s="33"/>
      <c r="AB225" s="37" t="str">
        <f aca="false">IF(B225="","",YEAR(B225)*100+MONTH(B225))</f>
        <v/>
      </c>
      <c r="AC225" s="37" t="str">
        <f aca="false">IF(AND(E225&lt;&gt;"",E225=Cruce!$C$5),COUNTIF($E$5:E225,E225),"")</f>
        <v/>
      </c>
      <c r="AD225" s="37" t="str">
        <f aca="false">IF(E225="","",C225&amp;"|"&amp;Y225&amp;"|"&amp;IF(B225="","s/f",TEXT(B225,"yyyymmdd")))</f>
        <v/>
      </c>
      <c r="AE225" s="37" t="n">
        <f aca="false">IF(E225="",0,IF(COUNTIFS($E$5:E225,E225,$AD$5:AD225,AD225)=1,1,0))</f>
        <v>0</v>
      </c>
    </row>
    <row r="226" customFormat="false" ht="15" hidden="false" customHeight="true" outlineLevel="0" collapsed="false">
      <c r="A226" s="31"/>
      <c r="B226" s="30"/>
      <c r="C226" s="31"/>
      <c r="D226" s="31"/>
      <c r="E226" s="32"/>
      <c r="F226" s="32"/>
      <c r="G226" s="33"/>
      <c r="H226" s="31"/>
      <c r="I226" s="24" t="str">
        <f aca="false">IF(B226="","",YEAR(B226))</f>
        <v/>
      </c>
      <c r="J226" s="34" t="str">
        <f aca="false">IF(B226="","",IF(MONTH(B226)=1,"X",""))</f>
        <v/>
      </c>
      <c r="K226" s="34" t="str">
        <f aca="false">IF(B226="","",IF(MONTH(B226)=2,"X",""))</f>
        <v/>
      </c>
      <c r="L226" s="34" t="str">
        <f aca="false">IF(B226="","",IF(MONTH(B226)=3,"X",""))</f>
        <v/>
      </c>
      <c r="M226" s="34" t="str">
        <f aca="false">IF(B226="","",IF(MONTH(B226)=4,"X",""))</f>
        <v/>
      </c>
      <c r="N226" s="34" t="str">
        <f aca="false">IF(B226="","",IF(MONTH(B226)=5,"X",""))</f>
        <v/>
      </c>
      <c r="O226" s="34" t="str">
        <f aca="false">IF(B226="","",IF(MONTH(B226)=6,"X",""))</f>
        <v/>
      </c>
      <c r="P226" s="34" t="str">
        <f aca="false">IF(B226="","",IF(MONTH(B226)=7,"X",""))</f>
        <v/>
      </c>
      <c r="Q226" s="34" t="str">
        <f aca="false">IF(B226="","",IF(MONTH(B226)=8,"X",""))</f>
        <v/>
      </c>
      <c r="R226" s="34" t="str">
        <f aca="false">IF(B226="","",IF(MONTH(B226)=9,"X",""))</f>
        <v/>
      </c>
      <c r="S226" s="34" t="str">
        <f aca="false">IF(B226="","",IF(MONTH(B226)=10,"X",""))</f>
        <v/>
      </c>
      <c r="T226" s="34" t="str">
        <f aca="false">IF(B226="","",IF(MONTH(B226)=11,"X",""))</f>
        <v/>
      </c>
      <c r="U226" s="34" t="str">
        <f aca="false">IF(B226="","",IF(MONTH(B226)=12,"X",""))</f>
        <v/>
      </c>
      <c r="V226" s="24" t="str">
        <f aca="false">IF(E226="","",COUNTIF($E$5:$E$1000,E226))</f>
        <v/>
      </c>
      <c r="W226" s="35" t="str">
        <f aca="false">IF(E226="","",_xlfn.TEXTJOIN(" + ",TRUE(),IF(COUNTIFS($E$5:$E$1000,E226,$C$5:$C$1000,"Auditoría Interna")&gt;0,"Interna",""),IF(COUNTIFS($E$5:$E$1000,E226,$C$5:$C$1000,"Auditoría Externa")&gt;0,"Externa",""),IF(COUNTIFS($E$5:$E$1000,E226,$C$5:$C$1000,"SSF")&gt;0,"SSF",""),IF(COUNTIFS($E$5:$E$1000,E226,$C$5:$C$1000,"Comité de Supervisión")&gt;0,"Comité Sup.",""),IF(COUNTIFS($E$5:$E$1000,E226,$C$5:$C$1000,"Consejo de Administración")&gt;0,"Consejo",""),IF(COUNTIFS($E$5:$E$1000,E226,$C$5:$C$1000,"Otros")&gt;0,"Otros","")))</f>
        <v/>
      </c>
      <c r="X226" s="24" t="str">
        <f aca="false">IF(E226="","",COUNTIFS($E$5:$E$1000,E226,$AB$5:$AB$1000,AB226,$C$5:$C$1000,"&lt;&gt;"&amp;C226))</f>
        <v/>
      </c>
      <c r="Y226" s="33"/>
      <c r="Z226" s="31"/>
      <c r="AA226" s="33"/>
      <c r="AB226" s="37" t="str">
        <f aca="false">IF(B226="","",YEAR(B226)*100+MONTH(B226))</f>
        <v/>
      </c>
      <c r="AC226" s="37" t="str">
        <f aca="false">IF(AND(E226&lt;&gt;"",E226=Cruce!$C$5),COUNTIF($E$5:E226,E226),"")</f>
        <v/>
      </c>
      <c r="AD226" s="37" t="str">
        <f aca="false">IF(E226="","",C226&amp;"|"&amp;Y226&amp;"|"&amp;IF(B226="","s/f",TEXT(B226,"yyyymmdd")))</f>
        <v/>
      </c>
      <c r="AE226" s="37" t="n">
        <f aca="false">IF(E226="",0,IF(COUNTIFS($E$5:E226,E226,$AD$5:AD226,AD226)=1,1,0))</f>
        <v>0</v>
      </c>
    </row>
    <row r="227" customFormat="false" ht="15" hidden="false" customHeight="true" outlineLevel="0" collapsed="false">
      <c r="A227" s="31"/>
      <c r="B227" s="30"/>
      <c r="C227" s="31"/>
      <c r="D227" s="31"/>
      <c r="E227" s="32"/>
      <c r="F227" s="32"/>
      <c r="G227" s="33"/>
      <c r="H227" s="31"/>
      <c r="I227" s="24" t="str">
        <f aca="false">IF(B227="","",YEAR(B227))</f>
        <v/>
      </c>
      <c r="J227" s="34" t="str">
        <f aca="false">IF(B227="","",IF(MONTH(B227)=1,"X",""))</f>
        <v/>
      </c>
      <c r="K227" s="34" t="str">
        <f aca="false">IF(B227="","",IF(MONTH(B227)=2,"X",""))</f>
        <v/>
      </c>
      <c r="L227" s="34" t="str">
        <f aca="false">IF(B227="","",IF(MONTH(B227)=3,"X",""))</f>
        <v/>
      </c>
      <c r="M227" s="34" t="str">
        <f aca="false">IF(B227="","",IF(MONTH(B227)=4,"X",""))</f>
        <v/>
      </c>
      <c r="N227" s="34" t="str">
        <f aca="false">IF(B227="","",IF(MONTH(B227)=5,"X",""))</f>
        <v/>
      </c>
      <c r="O227" s="34" t="str">
        <f aca="false">IF(B227="","",IF(MONTH(B227)=6,"X",""))</f>
        <v/>
      </c>
      <c r="P227" s="34" t="str">
        <f aca="false">IF(B227="","",IF(MONTH(B227)=7,"X",""))</f>
        <v/>
      </c>
      <c r="Q227" s="34" t="str">
        <f aca="false">IF(B227="","",IF(MONTH(B227)=8,"X",""))</f>
        <v/>
      </c>
      <c r="R227" s="34" t="str">
        <f aca="false">IF(B227="","",IF(MONTH(B227)=9,"X",""))</f>
        <v/>
      </c>
      <c r="S227" s="34" t="str">
        <f aca="false">IF(B227="","",IF(MONTH(B227)=10,"X",""))</f>
        <v/>
      </c>
      <c r="T227" s="34" t="str">
        <f aca="false">IF(B227="","",IF(MONTH(B227)=11,"X",""))</f>
        <v/>
      </c>
      <c r="U227" s="34" t="str">
        <f aca="false">IF(B227="","",IF(MONTH(B227)=12,"X",""))</f>
        <v/>
      </c>
      <c r="V227" s="24" t="str">
        <f aca="false">IF(E227="","",COUNTIF($E$5:$E$1000,E227))</f>
        <v/>
      </c>
      <c r="W227" s="35" t="str">
        <f aca="false">IF(E227="","",_xlfn.TEXTJOIN(" + ",TRUE(),IF(COUNTIFS($E$5:$E$1000,E227,$C$5:$C$1000,"Auditoría Interna")&gt;0,"Interna",""),IF(COUNTIFS($E$5:$E$1000,E227,$C$5:$C$1000,"Auditoría Externa")&gt;0,"Externa",""),IF(COUNTIFS($E$5:$E$1000,E227,$C$5:$C$1000,"SSF")&gt;0,"SSF",""),IF(COUNTIFS($E$5:$E$1000,E227,$C$5:$C$1000,"Comité de Supervisión")&gt;0,"Comité Sup.",""),IF(COUNTIFS($E$5:$E$1000,E227,$C$5:$C$1000,"Consejo de Administración")&gt;0,"Consejo",""),IF(COUNTIFS($E$5:$E$1000,E227,$C$5:$C$1000,"Otros")&gt;0,"Otros","")))</f>
        <v/>
      </c>
      <c r="X227" s="24" t="str">
        <f aca="false">IF(E227="","",COUNTIFS($E$5:$E$1000,E227,$AB$5:$AB$1000,AB227,$C$5:$C$1000,"&lt;&gt;"&amp;C227))</f>
        <v/>
      </c>
      <c r="Y227" s="33"/>
      <c r="Z227" s="31"/>
      <c r="AA227" s="33"/>
      <c r="AB227" s="37" t="str">
        <f aca="false">IF(B227="","",YEAR(B227)*100+MONTH(B227))</f>
        <v/>
      </c>
      <c r="AC227" s="37" t="str">
        <f aca="false">IF(AND(E227&lt;&gt;"",E227=Cruce!$C$5),COUNTIF($E$5:E227,E227),"")</f>
        <v/>
      </c>
      <c r="AD227" s="37" t="str">
        <f aca="false">IF(E227="","",C227&amp;"|"&amp;Y227&amp;"|"&amp;IF(B227="","s/f",TEXT(B227,"yyyymmdd")))</f>
        <v/>
      </c>
      <c r="AE227" s="37" t="n">
        <f aca="false">IF(E227="",0,IF(COUNTIFS($E$5:E227,E227,$AD$5:AD227,AD227)=1,1,0))</f>
        <v>0</v>
      </c>
    </row>
    <row r="228" customFormat="false" ht="15" hidden="false" customHeight="true" outlineLevel="0" collapsed="false">
      <c r="A228" s="31"/>
      <c r="B228" s="30"/>
      <c r="C228" s="31"/>
      <c r="D228" s="31"/>
      <c r="E228" s="32"/>
      <c r="F228" s="32"/>
      <c r="G228" s="33"/>
      <c r="H228" s="31"/>
      <c r="I228" s="24" t="str">
        <f aca="false">IF(B228="","",YEAR(B228))</f>
        <v/>
      </c>
      <c r="J228" s="34" t="str">
        <f aca="false">IF(B228="","",IF(MONTH(B228)=1,"X",""))</f>
        <v/>
      </c>
      <c r="K228" s="34" t="str">
        <f aca="false">IF(B228="","",IF(MONTH(B228)=2,"X",""))</f>
        <v/>
      </c>
      <c r="L228" s="34" t="str">
        <f aca="false">IF(B228="","",IF(MONTH(B228)=3,"X",""))</f>
        <v/>
      </c>
      <c r="M228" s="34" t="str">
        <f aca="false">IF(B228="","",IF(MONTH(B228)=4,"X",""))</f>
        <v/>
      </c>
      <c r="N228" s="34" t="str">
        <f aca="false">IF(B228="","",IF(MONTH(B228)=5,"X",""))</f>
        <v/>
      </c>
      <c r="O228" s="34" t="str">
        <f aca="false">IF(B228="","",IF(MONTH(B228)=6,"X",""))</f>
        <v/>
      </c>
      <c r="P228" s="34" t="str">
        <f aca="false">IF(B228="","",IF(MONTH(B228)=7,"X",""))</f>
        <v/>
      </c>
      <c r="Q228" s="34" t="str">
        <f aca="false">IF(B228="","",IF(MONTH(B228)=8,"X",""))</f>
        <v/>
      </c>
      <c r="R228" s="34" t="str">
        <f aca="false">IF(B228="","",IF(MONTH(B228)=9,"X",""))</f>
        <v/>
      </c>
      <c r="S228" s="34" t="str">
        <f aca="false">IF(B228="","",IF(MONTH(B228)=10,"X",""))</f>
        <v/>
      </c>
      <c r="T228" s="34" t="str">
        <f aca="false">IF(B228="","",IF(MONTH(B228)=11,"X",""))</f>
        <v/>
      </c>
      <c r="U228" s="34" t="str">
        <f aca="false">IF(B228="","",IF(MONTH(B228)=12,"X",""))</f>
        <v/>
      </c>
      <c r="V228" s="24" t="str">
        <f aca="false">IF(E228="","",COUNTIF($E$5:$E$1000,E228))</f>
        <v/>
      </c>
      <c r="W228" s="35" t="str">
        <f aca="false">IF(E228="","",_xlfn.TEXTJOIN(" + ",TRUE(),IF(COUNTIFS($E$5:$E$1000,E228,$C$5:$C$1000,"Auditoría Interna")&gt;0,"Interna",""),IF(COUNTIFS($E$5:$E$1000,E228,$C$5:$C$1000,"Auditoría Externa")&gt;0,"Externa",""),IF(COUNTIFS($E$5:$E$1000,E228,$C$5:$C$1000,"SSF")&gt;0,"SSF",""),IF(COUNTIFS($E$5:$E$1000,E228,$C$5:$C$1000,"Comité de Supervisión")&gt;0,"Comité Sup.",""),IF(COUNTIFS($E$5:$E$1000,E228,$C$5:$C$1000,"Consejo de Administración")&gt;0,"Consejo",""),IF(COUNTIFS($E$5:$E$1000,E228,$C$5:$C$1000,"Otros")&gt;0,"Otros","")))</f>
        <v/>
      </c>
      <c r="X228" s="24" t="str">
        <f aca="false">IF(E228="","",COUNTIFS($E$5:$E$1000,E228,$AB$5:$AB$1000,AB228,$C$5:$C$1000,"&lt;&gt;"&amp;C228))</f>
        <v/>
      </c>
      <c r="Y228" s="33"/>
      <c r="Z228" s="31"/>
      <c r="AA228" s="33"/>
      <c r="AB228" s="37" t="str">
        <f aca="false">IF(B228="","",YEAR(B228)*100+MONTH(B228))</f>
        <v/>
      </c>
      <c r="AC228" s="37" t="str">
        <f aca="false">IF(AND(E228&lt;&gt;"",E228=Cruce!$C$5),COUNTIF($E$5:E228,E228),"")</f>
        <v/>
      </c>
      <c r="AD228" s="37" t="str">
        <f aca="false">IF(E228="","",C228&amp;"|"&amp;Y228&amp;"|"&amp;IF(B228="","s/f",TEXT(B228,"yyyymmdd")))</f>
        <v/>
      </c>
      <c r="AE228" s="37" t="n">
        <f aca="false">IF(E228="",0,IF(COUNTIFS($E$5:E228,E228,$AD$5:AD228,AD228)=1,1,0))</f>
        <v>0</v>
      </c>
    </row>
    <row r="229" customFormat="false" ht="15" hidden="false" customHeight="true" outlineLevel="0" collapsed="false">
      <c r="A229" s="31"/>
      <c r="B229" s="30"/>
      <c r="C229" s="31"/>
      <c r="D229" s="31"/>
      <c r="E229" s="32"/>
      <c r="F229" s="32"/>
      <c r="G229" s="33"/>
      <c r="H229" s="31"/>
      <c r="I229" s="24" t="str">
        <f aca="false">IF(B229="","",YEAR(B229))</f>
        <v/>
      </c>
      <c r="J229" s="34" t="str">
        <f aca="false">IF(B229="","",IF(MONTH(B229)=1,"X",""))</f>
        <v/>
      </c>
      <c r="K229" s="34" t="str">
        <f aca="false">IF(B229="","",IF(MONTH(B229)=2,"X",""))</f>
        <v/>
      </c>
      <c r="L229" s="34" t="str">
        <f aca="false">IF(B229="","",IF(MONTH(B229)=3,"X",""))</f>
        <v/>
      </c>
      <c r="M229" s="34" t="str">
        <f aca="false">IF(B229="","",IF(MONTH(B229)=4,"X",""))</f>
        <v/>
      </c>
      <c r="N229" s="34" t="str">
        <f aca="false">IF(B229="","",IF(MONTH(B229)=5,"X",""))</f>
        <v/>
      </c>
      <c r="O229" s="34" t="str">
        <f aca="false">IF(B229="","",IF(MONTH(B229)=6,"X",""))</f>
        <v/>
      </c>
      <c r="P229" s="34" t="str">
        <f aca="false">IF(B229="","",IF(MONTH(B229)=7,"X",""))</f>
        <v/>
      </c>
      <c r="Q229" s="34" t="str">
        <f aca="false">IF(B229="","",IF(MONTH(B229)=8,"X",""))</f>
        <v/>
      </c>
      <c r="R229" s="34" t="str">
        <f aca="false">IF(B229="","",IF(MONTH(B229)=9,"X",""))</f>
        <v/>
      </c>
      <c r="S229" s="34" t="str">
        <f aca="false">IF(B229="","",IF(MONTH(B229)=10,"X",""))</f>
        <v/>
      </c>
      <c r="T229" s="34" t="str">
        <f aca="false">IF(B229="","",IF(MONTH(B229)=11,"X",""))</f>
        <v/>
      </c>
      <c r="U229" s="34" t="str">
        <f aca="false">IF(B229="","",IF(MONTH(B229)=12,"X",""))</f>
        <v/>
      </c>
      <c r="V229" s="24" t="str">
        <f aca="false">IF(E229="","",COUNTIF($E$5:$E$1000,E229))</f>
        <v/>
      </c>
      <c r="W229" s="35" t="str">
        <f aca="false">IF(E229="","",_xlfn.TEXTJOIN(" + ",TRUE(),IF(COUNTIFS($E$5:$E$1000,E229,$C$5:$C$1000,"Auditoría Interna")&gt;0,"Interna",""),IF(COUNTIFS($E$5:$E$1000,E229,$C$5:$C$1000,"Auditoría Externa")&gt;0,"Externa",""),IF(COUNTIFS($E$5:$E$1000,E229,$C$5:$C$1000,"SSF")&gt;0,"SSF",""),IF(COUNTIFS($E$5:$E$1000,E229,$C$5:$C$1000,"Comité de Supervisión")&gt;0,"Comité Sup.",""),IF(COUNTIFS($E$5:$E$1000,E229,$C$5:$C$1000,"Consejo de Administración")&gt;0,"Consejo",""),IF(COUNTIFS($E$5:$E$1000,E229,$C$5:$C$1000,"Otros")&gt;0,"Otros","")))</f>
        <v/>
      </c>
      <c r="X229" s="24" t="str">
        <f aca="false">IF(E229="","",COUNTIFS($E$5:$E$1000,E229,$AB$5:$AB$1000,AB229,$C$5:$C$1000,"&lt;&gt;"&amp;C229))</f>
        <v/>
      </c>
      <c r="Y229" s="33"/>
      <c r="Z229" s="31"/>
      <c r="AA229" s="33"/>
      <c r="AB229" s="37" t="str">
        <f aca="false">IF(B229="","",YEAR(B229)*100+MONTH(B229))</f>
        <v/>
      </c>
      <c r="AC229" s="37" t="str">
        <f aca="false">IF(AND(E229&lt;&gt;"",E229=Cruce!$C$5),COUNTIF($E$5:E229,E229),"")</f>
        <v/>
      </c>
      <c r="AD229" s="37" t="str">
        <f aca="false">IF(E229="","",C229&amp;"|"&amp;Y229&amp;"|"&amp;IF(B229="","s/f",TEXT(B229,"yyyymmdd")))</f>
        <v/>
      </c>
      <c r="AE229" s="37" t="n">
        <f aca="false">IF(E229="",0,IF(COUNTIFS($E$5:E229,E229,$AD$5:AD229,AD229)=1,1,0))</f>
        <v>0</v>
      </c>
    </row>
    <row r="230" customFormat="false" ht="15" hidden="false" customHeight="true" outlineLevel="0" collapsed="false">
      <c r="A230" s="31"/>
      <c r="B230" s="30"/>
      <c r="C230" s="31"/>
      <c r="D230" s="31"/>
      <c r="E230" s="32"/>
      <c r="F230" s="32"/>
      <c r="G230" s="33"/>
      <c r="H230" s="31"/>
      <c r="I230" s="24" t="str">
        <f aca="false">IF(B230="","",YEAR(B230))</f>
        <v/>
      </c>
      <c r="J230" s="34" t="str">
        <f aca="false">IF(B230="","",IF(MONTH(B230)=1,"X",""))</f>
        <v/>
      </c>
      <c r="K230" s="34" t="str">
        <f aca="false">IF(B230="","",IF(MONTH(B230)=2,"X",""))</f>
        <v/>
      </c>
      <c r="L230" s="34" t="str">
        <f aca="false">IF(B230="","",IF(MONTH(B230)=3,"X",""))</f>
        <v/>
      </c>
      <c r="M230" s="34" t="str">
        <f aca="false">IF(B230="","",IF(MONTH(B230)=4,"X",""))</f>
        <v/>
      </c>
      <c r="N230" s="34" t="str">
        <f aca="false">IF(B230="","",IF(MONTH(B230)=5,"X",""))</f>
        <v/>
      </c>
      <c r="O230" s="34" t="str">
        <f aca="false">IF(B230="","",IF(MONTH(B230)=6,"X",""))</f>
        <v/>
      </c>
      <c r="P230" s="34" t="str">
        <f aca="false">IF(B230="","",IF(MONTH(B230)=7,"X",""))</f>
        <v/>
      </c>
      <c r="Q230" s="34" t="str">
        <f aca="false">IF(B230="","",IF(MONTH(B230)=8,"X",""))</f>
        <v/>
      </c>
      <c r="R230" s="34" t="str">
        <f aca="false">IF(B230="","",IF(MONTH(B230)=9,"X",""))</f>
        <v/>
      </c>
      <c r="S230" s="34" t="str">
        <f aca="false">IF(B230="","",IF(MONTH(B230)=10,"X",""))</f>
        <v/>
      </c>
      <c r="T230" s="34" t="str">
        <f aca="false">IF(B230="","",IF(MONTH(B230)=11,"X",""))</f>
        <v/>
      </c>
      <c r="U230" s="34" t="str">
        <f aca="false">IF(B230="","",IF(MONTH(B230)=12,"X",""))</f>
        <v/>
      </c>
      <c r="V230" s="24" t="str">
        <f aca="false">IF(E230="","",COUNTIF($E$5:$E$1000,E230))</f>
        <v/>
      </c>
      <c r="W230" s="35" t="str">
        <f aca="false">IF(E230="","",_xlfn.TEXTJOIN(" + ",TRUE(),IF(COUNTIFS($E$5:$E$1000,E230,$C$5:$C$1000,"Auditoría Interna")&gt;0,"Interna",""),IF(COUNTIFS($E$5:$E$1000,E230,$C$5:$C$1000,"Auditoría Externa")&gt;0,"Externa",""),IF(COUNTIFS($E$5:$E$1000,E230,$C$5:$C$1000,"SSF")&gt;0,"SSF",""),IF(COUNTIFS($E$5:$E$1000,E230,$C$5:$C$1000,"Comité de Supervisión")&gt;0,"Comité Sup.",""),IF(COUNTIFS($E$5:$E$1000,E230,$C$5:$C$1000,"Consejo de Administración")&gt;0,"Consejo",""),IF(COUNTIFS($E$5:$E$1000,E230,$C$5:$C$1000,"Otros")&gt;0,"Otros","")))</f>
        <v/>
      </c>
      <c r="X230" s="24" t="str">
        <f aca="false">IF(E230="","",COUNTIFS($E$5:$E$1000,E230,$AB$5:$AB$1000,AB230,$C$5:$C$1000,"&lt;&gt;"&amp;C230))</f>
        <v/>
      </c>
      <c r="Y230" s="33"/>
      <c r="Z230" s="31"/>
      <c r="AA230" s="33"/>
      <c r="AB230" s="37" t="str">
        <f aca="false">IF(B230="","",YEAR(B230)*100+MONTH(B230))</f>
        <v/>
      </c>
      <c r="AC230" s="37" t="str">
        <f aca="false">IF(AND(E230&lt;&gt;"",E230=Cruce!$C$5),COUNTIF($E$5:E230,E230),"")</f>
        <v/>
      </c>
      <c r="AD230" s="37" t="str">
        <f aca="false">IF(E230="","",C230&amp;"|"&amp;Y230&amp;"|"&amp;IF(B230="","s/f",TEXT(B230,"yyyymmdd")))</f>
        <v/>
      </c>
      <c r="AE230" s="37" t="n">
        <f aca="false">IF(E230="",0,IF(COUNTIFS($E$5:E230,E230,$AD$5:AD230,AD230)=1,1,0))</f>
        <v>0</v>
      </c>
    </row>
    <row r="231" customFormat="false" ht="15" hidden="false" customHeight="true" outlineLevel="0" collapsed="false">
      <c r="A231" s="31"/>
      <c r="B231" s="30"/>
      <c r="C231" s="31"/>
      <c r="D231" s="31"/>
      <c r="E231" s="32"/>
      <c r="F231" s="32"/>
      <c r="G231" s="33"/>
      <c r="H231" s="31"/>
      <c r="I231" s="24" t="str">
        <f aca="false">IF(B231="","",YEAR(B231))</f>
        <v/>
      </c>
      <c r="J231" s="34" t="str">
        <f aca="false">IF(B231="","",IF(MONTH(B231)=1,"X",""))</f>
        <v/>
      </c>
      <c r="K231" s="34" t="str">
        <f aca="false">IF(B231="","",IF(MONTH(B231)=2,"X",""))</f>
        <v/>
      </c>
      <c r="L231" s="34" t="str">
        <f aca="false">IF(B231="","",IF(MONTH(B231)=3,"X",""))</f>
        <v/>
      </c>
      <c r="M231" s="34" t="str">
        <f aca="false">IF(B231="","",IF(MONTH(B231)=4,"X",""))</f>
        <v/>
      </c>
      <c r="N231" s="34" t="str">
        <f aca="false">IF(B231="","",IF(MONTH(B231)=5,"X",""))</f>
        <v/>
      </c>
      <c r="O231" s="34" t="str">
        <f aca="false">IF(B231="","",IF(MONTH(B231)=6,"X",""))</f>
        <v/>
      </c>
      <c r="P231" s="34" t="str">
        <f aca="false">IF(B231="","",IF(MONTH(B231)=7,"X",""))</f>
        <v/>
      </c>
      <c r="Q231" s="34" t="str">
        <f aca="false">IF(B231="","",IF(MONTH(B231)=8,"X",""))</f>
        <v/>
      </c>
      <c r="R231" s="34" t="str">
        <f aca="false">IF(B231="","",IF(MONTH(B231)=9,"X",""))</f>
        <v/>
      </c>
      <c r="S231" s="34" t="str">
        <f aca="false">IF(B231="","",IF(MONTH(B231)=10,"X",""))</f>
        <v/>
      </c>
      <c r="T231" s="34" t="str">
        <f aca="false">IF(B231="","",IF(MONTH(B231)=11,"X",""))</f>
        <v/>
      </c>
      <c r="U231" s="34" t="str">
        <f aca="false">IF(B231="","",IF(MONTH(B231)=12,"X",""))</f>
        <v/>
      </c>
      <c r="V231" s="24" t="str">
        <f aca="false">IF(E231="","",COUNTIF($E$5:$E$1000,E231))</f>
        <v/>
      </c>
      <c r="W231" s="35" t="str">
        <f aca="false">IF(E231="","",_xlfn.TEXTJOIN(" + ",TRUE(),IF(COUNTIFS($E$5:$E$1000,E231,$C$5:$C$1000,"Auditoría Interna")&gt;0,"Interna",""),IF(COUNTIFS($E$5:$E$1000,E231,$C$5:$C$1000,"Auditoría Externa")&gt;0,"Externa",""),IF(COUNTIFS($E$5:$E$1000,E231,$C$5:$C$1000,"SSF")&gt;0,"SSF",""),IF(COUNTIFS($E$5:$E$1000,E231,$C$5:$C$1000,"Comité de Supervisión")&gt;0,"Comité Sup.",""),IF(COUNTIFS($E$5:$E$1000,E231,$C$5:$C$1000,"Consejo de Administración")&gt;0,"Consejo",""),IF(COUNTIFS($E$5:$E$1000,E231,$C$5:$C$1000,"Otros")&gt;0,"Otros","")))</f>
        <v/>
      </c>
      <c r="X231" s="24" t="str">
        <f aca="false">IF(E231="","",COUNTIFS($E$5:$E$1000,E231,$AB$5:$AB$1000,AB231,$C$5:$C$1000,"&lt;&gt;"&amp;C231))</f>
        <v/>
      </c>
      <c r="Y231" s="33"/>
      <c r="Z231" s="31"/>
      <c r="AA231" s="33"/>
      <c r="AB231" s="37" t="str">
        <f aca="false">IF(B231="","",YEAR(B231)*100+MONTH(B231))</f>
        <v/>
      </c>
      <c r="AC231" s="37" t="str">
        <f aca="false">IF(AND(E231&lt;&gt;"",E231=Cruce!$C$5),COUNTIF($E$5:E231,E231),"")</f>
        <v/>
      </c>
      <c r="AD231" s="37" t="str">
        <f aca="false">IF(E231="","",C231&amp;"|"&amp;Y231&amp;"|"&amp;IF(B231="","s/f",TEXT(B231,"yyyymmdd")))</f>
        <v/>
      </c>
      <c r="AE231" s="37" t="n">
        <f aca="false">IF(E231="",0,IF(COUNTIFS($E$5:E231,E231,$AD$5:AD231,AD231)=1,1,0))</f>
        <v>0</v>
      </c>
    </row>
    <row r="232" customFormat="false" ht="15" hidden="false" customHeight="true" outlineLevel="0" collapsed="false">
      <c r="A232" s="31"/>
      <c r="B232" s="30"/>
      <c r="C232" s="31"/>
      <c r="D232" s="31"/>
      <c r="E232" s="32"/>
      <c r="F232" s="32"/>
      <c r="G232" s="33"/>
      <c r="H232" s="31"/>
      <c r="I232" s="24" t="str">
        <f aca="false">IF(B232="","",YEAR(B232))</f>
        <v/>
      </c>
      <c r="J232" s="34" t="str">
        <f aca="false">IF(B232="","",IF(MONTH(B232)=1,"X",""))</f>
        <v/>
      </c>
      <c r="K232" s="34" t="str">
        <f aca="false">IF(B232="","",IF(MONTH(B232)=2,"X",""))</f>
        <v/>
      </c>
      <c r="L232" s="34" t="str">
        <f aca="false">IF(B232="","",IF(MONTH(B232)=3,"X",""))</f>
        <v/>
      </c>
      <c r="M232" s="34" t="str">
        <f aca="false">IF(B232="","",IF(MONTH(B232)=4,"X",""))</f>
        <v/>
      </c>
      <c r="N232" s="34" t="str">
        <f aca="false">IF(B232="","",IF(MONTH(B232)=5,"X",""))</f>
        <v/>
      </c>
      <c r="O232" s="34" t="str">
        <f aca="false">IF(B232="","",IF(MONTH(B232)=6,"X",""))</f>
        <v/>
      </c>
      <c r="P232" s="34" t="str">
        <f aca="false">IF(B232="","",IF(MONTH(B232)=7,"X",""))</f>
        <v/>
      </c>
      <c r="Q232" s="34" t="str">
        <f aca="false">IF(B232="","",IF(MONTH(B232)=8,"X",""))</f>
        <v/>
      </c>
      <c r="R232" s="34" t="str">
        <f aca="false">IF(B232="","",IF(MONTH(B232)=9,"X",""))</f>
        <v/>
      </c>
      <c r="S232" s="34" t="str">
        <f aca="false">IF(B232="","",IF(MONTH(B232)=10,"X",""))</f>
        <v/>
      </c>
      <c r="T232" s="34" t="str">
        <f aca="false">IF(B232="","",IF(MONTH(B232)=11,"X",""))</f>
        <v/>
      </c>
      <c r="U232" s="34" t="str">
        <f aca="false">IF(B232="","",IF(MONTH(B232)=12,"X",""))</f>
        <v/>
      </c>
      <c r="V232" s="24" t="str">
        <f aca="false">IF(E232="","",COUNTIF($E$5:$E$1000,E232))</f>
        <v/>
      </c>
      <c r="W232" s="35" t="str">
        <f aca="false">IF(E232="","",_xlfn.TEXTJOIN(" + ",TRUE(),IF(COUNTIFS($E$5:$E$1000,E232,$C$5:$C$1000,"Auditoría Interna")&gt;0,"Interna",""),IF(COUNTIFS($E$5:$E$1000,E232,$C$5:$C$1000,"Auditoría Externa")&gt;0,"Externa",""),IF(COUNTIFS($E$5:$E$1000,E232,$C$5:$C$1000,"SSF")&gt;0,"SSF",""),IF(COUNTIFS($E$5:$E$1000,E232,$C$5:$C$1000,"Comité de Supervisión")&gt;0,"Comité Sup.",""),IF(COUNTIFS($E$5:$E$1000,E232,$C$5:$C$1000,"Consejo de Administración")&gt;0,"Consejo",""),IF(COUNTIFS($E$5:$E$1000,E232,$C$5:$C$1000,"Otros")&gt;0,"Otros","")))</f>
        <v/>
      </c>
      <c r="X232" s="24" t="str">
        <f aca="false">IF(E232="","",COUNTIFS($E$5:$E$1000,E232,$AB$5:$AB$1000,AB232,$C$5:$C$1000,"&lt;&gt;"&amp;C232))</f>
        <v/>
      </c>
      <c r="Y232" s="33"/>
      <c r="Z232" s="31"/>
      <c r="AA232" s="33"/>
      <c r="AB232" s="37" t="str">
        <f aca="false">IF(B232="","",YEAR(B232)*100+MONTH(B232))</f>
        <v/>
      </c>
      <c r="AC232" s="37" t="str">
        <f aca="false">IF(AND(E232&lt;&gt;"",E232=Cruce!$C$5),COUNTIF($E$5:E232,E232),"")</f>
        <v/>
      </c>
      <c r="AD232" s="37" t="str">
        <f aca="false">IF(E232="","",C232&amp;"|"&amp;Y232&amp;"|"&amp;IF(B232="","s/f",TEXT(B232,"yyyymmdd")))</f>
        <v/>
      </c>
      <c r="AE232" s="37" t="n">
        <f aca="false">IF(E232="",0,IF(COUNTIFS($E$5:E232,E232,$AD$5:AD232,AD232)=1,1,0))</f>
        <v>0</v>
      </c>
    </row>
    <row r="233" customFormat="false" ht="15" hidden="false" customHeight="true" outlineLevel="0" collapsed="false">
      <c r="A233" s="31"/>
      <c r="B233" s="30"/>
      <c r="C233" s="31"/>
      <c r="D233" s="31"/>
      <c r="E233" s="32"/>
      <c r="F233" s="32"/>
      <c r="G233" s="33"/>
      <c r="H233" s="31"/>
      <c r="I233" s="24" t="str">
        <f aca="false">IF(B233="","",YEAR(B233))</f>
        <v/>
      </c>
      <c r="J233" s="34" t="str">
        <f aca="false">IF(B233="","",IF(MONTH(B233)=1,"X",""))</f>
        <v/>
      </c>
      <c r="K233" s="34" t="str">
        <f aca="false">IF(B233="","",IF(MONTH(B233)=2,"X",""))</f>
        <v/>
      </c>
      <c r="L233" s="34" t="str">
        <f aca="false">IF(B233="","",IF(MONTH(B233)=3,"X",""))</f>
        <v/>
      </c>
      <c r="M233" s="34" t="str">
        <f aca="false">IF(B233="","",IF(MONTH(B233)=4,"X",""))</f>
        <v/>
      </c>
      <c r="N233" s="34" t="str">
        <f aca="false">IF(B233="","",IF(MONTH(B233)=5,"X",""))</f>
        <v/>
      </c>
      <c r="O233" s="34" t="str">
        <f aca="false">IF(B233="","",IF(MONTH(B233)=6,"X",""))</f>
        <v/>
      </c>
      <c r="P233" s="34" t="str">
        <f aca="false">IF(B233="","",IF(MONTH(B233)=7,"X",""))</f>
        <v/>
      </c>
      <c r="Q233" s="34" t="str">
        <f aca="false">IF(B233="","",IF(MONTH(B233)=8,"X",""))</f>
        <v/>
      </c>
      <c r="R233" s="34" t="str">
        <f aca="false">IF(B233="","",IF(MONTH(B233)=9,"X",""))</f>
        <v/>
      </c>
      <c r="S233" s="34" t="str">
        <f aca="false">IF(B233="","",IF(MONTH(B233)=10,"X",""))</f>
        <v/>
      </c>
      <c r="T233" s="34" t="str">
        <f aca="false">IF(B233="","",IF(MONTH(B233)=11,"X",""))</f>
        <v/>
      </c>
      <c r="U233" s="34" t="str">
        <f aca="false">IF(B233="","",IF(MONTH(B233)=12,"X",""))</f>
        <v/>
      </c>
      <c r="V233" s="24" t="str">
        <f aca="false">IF(E233="","",COUNTIF($E$5:$E$1000,E233))</f>
        <v/>
      </c>
      <c r="W233" s="35" t="str">
        <f aca="false">IF(E233="","",_xlfn.TEXTJOIN(" + ",TRUE(),IF(COUNTIFS($E$5:$E$1000,E233,$C$5:$C$1000,"Auditoría Interna")&gt;0,"Interna",""),IF(COUNTIFS($E$5:$E$1000,E233,$C$5:$C$1000,"Auditoría Externa")&gt;0,"Externa",""),IF(COUNTIFS($E$5:$E$1000,E233,$C$5:$C$1000,"SSF")&gt;0,"SSF",""),IF(COUNTIFS($E$5:$E$1000,E233,$C$5:$C$1000,"Comité de Supervisión")&gt;0,"Comité Sup.",""),IF(COUNTIFS($E$5:$E$1000,E233,$C$5:$C$1000,"Consejo de Administración")&gt;0,"Consejo",""),IF(COUNTIFS($E$5:$E$1000,E233,$C$5:$C$1000,"Otros")&gt;0,"Otros","")))</f>
        <v/>
      </c>
      <c r="X233" s="24" t="str">
        <f aca="false">IF(E233="","",COUNTIFS($E$5:$E$1000,E233,$AB$5:$AB$1000,AB233,$C$5:$C$1000,"&lt;&gt;"&amp;C233))</f>
        <v/>
      </c>
      <c r="Y233" s="33"/>
      <c r="Z233" s="31"/>
      <c r="AA233" s="33"/>
      <c r="AB233" s="37" t="str">
        <f aca="false">IF(B233="","",YEAR(B233)*100+MONTH(B233))</f>
        <v/>
      </c>
      <c r="AC233" s="37" t="str">
        <f aca="false">IF(AND(E233&lt;&gt;"",E233=Cruce!$C$5),COUNTIF($E$5:E233,E233),"")</f>
        <v/>
      </c>
      <c r="AD233" s="37" t="str">
        <f aca="false">IF(E233="","",C233&amp;"|"&amp;Y233&amp;"|"&amp;IF(B233="","s/f",TEXT(B233,"yyyymmdd")))</f>
        <v/>
      </c>
      <c r="AE233" s="37" t="n">
        <f aca="false">IF(E233="",0,IF(COUNTIFS($E$5:E233,E233,$AD$5:AD233,AD233)=1,1,0))</f>
        <v>0</v>
      </c>
    </row>
    <row r="234" customFormat="false" ht="15" hidden="false" customHeight="true" outlineLevel="0" collapsed="false">
      <c r="A234" s="31"/>
      <c r="B234" s="30"/>
      <c r="C234" s="31"/>
      <c r="D234" s="31"/>
      <c r="E234" s="32"/>
      <c r="F234" s="32"/>
      <c r="G234" s="33"/>
      <c r="H234" s="31"/>
      <c r="I234" s="24" t="str">
        <f aca="false">IF(B234="","",YEAR(B234))</f>
        <v/>
      </c>
      <c r="J234" s="34" t="str">
        <f aca="false">IF(B234="","",IF(MONTH(B234)=1,"X",""))</f>
        <v/>
      </c>
      <c r="K234" s="34" t="str">
        <f aca="false">IF(B234="","",IF(MONTH(B234)=2,"X",""))</f>
        <v/>
      </c>
      <c r="L234" s="34" t="str">
        <f aca="false">IF(B234="","",IF(MONTH(B234)=3,"X",""))</f>
        <v/>
      </c>
      <c r="M234" s="34" t="str">
        <f aca="false">IF(B234="","",IF(MONTH(B234)=4,"X",""))</f>
        <v/>
      </c>
      <c r="N234" s="34" t="str">
        <f aca="false">IF(B234="","",IF(MONTH(B234)=5,"X",""))</f>
        <v/>
      </c>
      <c r="O234" s="34" t="str">
        <f aca="false">IF(B234="","",IF(MONTH(B234)=6,"X",""))</f>
        <v/>
      </c>
      <c r="P234" s="34" t="str">
        <f aca="false">IF(B234="","",IF(MONTH(B234)=7,"X",""))</f>
        <v/>
      </c>
      <c r="Q234" s="34" t="str">
        <f aca="false">IF(B234="","",IF(MONTH(B234)=8,"X",""))</f>
        <v/>
      </c>
      <c r="R234" s="34" t="str">
        <f aca="false">IF(B234="","",IF(MONTH(B234)=9,"X",""))</f>
        <v/>
      </c>
      <c r="S234" s="34" t="str">
        <f aca="false">IF(B234="","",IF(MONTH(B234)=10,"X",""))</f>
        <v/>
      </c>
      <c r="T234" s="34" t="str">
        <f aca="false">IF(B234="","",IF(MONTH(B234)=11,"X",""))</f>
        <v/>
      </c>
      <c r="U234" s="34" t="str">
        <f aca="false">IF(B234="","",IF(MONTH(B234)=12,"X",""))</f>
        <v/>
      </c>
      <c r="V234" s="24" t="str">
        <f aca="false">IF(E234="","",COUNTIF($E$5:$E$1000,E234))</f>
        <v/>
      </c>
      <c r="W234" s="35" t="str">
        <f aca="false">IF(E234="","",_xlfn.TEXTJOIN(" + ",TRUE(),IF(COUNTIFS($E$5:$E$1000,E234,$C$5:$C$1000,"Auditoría Interna")&gt;0,"Interna",""),IF(COUNTIFS($E$5:$E$1000,E234,$C$5:$C$1000,"Auditoría Externa")&gt;0,"Externa",""),IF(COUNTIFS($E$5:$E$1000,E234,$C$5:$C$1000,"SSF")&gt;0,"SSF",""),IF(COUNTIFS($E$5:$E$1000,E234,$C$5:$C$1000,"Comité de Supervisión")&gt;0,"Comité Sup.",""),IF(COUNTIFS($E$5:$E$1000,E234,$C$5:$C$1000,"Consejo de Administración")&gt;0,"Consejo",""),IF(COUNTIFS($E$5:$E$1000,E234,$C$5:$C$1000,"Otros")&gt;0,"Otros","")))</f>
        <v/>
      </c>
      <c r="X234" s="24" t="str">
        <f aca="false">IF(E234="","",COUNTIFS($E$5:$E$1000,E234,$AB$5:$AB$1000,AB234,$C$5:$C$1000,"&lt;&gt;"&amp;C234))</f>
        <v/>
      </c>
      <c r="Y234" s="33"/>
      <c r="Z234" s="31"/>
      <c r="AA234" s="33"/>
      <c r="AB234" s="37" t="str">
        <f aca="false">IF(B234="","",YEAR(B234)*100+MONTH(B234))</f>
        <v/>
      </c>
      <c r="AC234" s="37" t="str">
        <f aca="false">IF(AND(E234&lt;&gt;"",E234=Cruce!$C$5),COUNTIF($E$5:E234,E234),"")</f>
        <v/>
      </c>
      <c r="AD234" s="37" t="str">
        <f aca="false">IF(E234="","",C234&amp;"|"&amp;Y234&amp;"|"&amp;IF(B234="","s/f",TEXT(B234,"yyyymmdd")))</f>
        <v/>
      </c>
      <c r="AE234" s="37" t="n">
        <f aca="false">IF(E234="",0,IF(COUNTIFS($E$5:E234,E234,$AD$5:AD234,AD234)=1,1,0))</f>
        <v>0</v>
      </c>
    </row>
    <row r="235" customFormat="false" ht="15" hidden="false" customHeight="true" outlineLevel="0" collapsed="false">
      <c r="A235" s="31"/>
      <c r="B235" s="30"/>
      <c r="C235" s="31"/>
      <c r="D235" s="31"/>
      <c r="E235" s="32"/>
      <c r="F235" s="32"/>
      <c r="G235" s="33"/>
      <c r="H235" s="31"/>
      <c r="I235" s="24" t="str">
        <f aca="false">IF(B235="","",YEAR(B235))</f>
        <v/>
      </c>
      <c r="J235" s="34" t="str">
        <f aca="false">IF(B235="","",IF(MONTH(B235)=1,"X",""))</f>
        <v/>
      </c>
      <c r="K235" s="34" t="str">
        <f aca="false">IF(B235="","",IF(MONTH(B235)=2,"X",""))</f>
        <v/>
      </c>
      <c r="L235" s="34" t="str">
        <f aca="false">IF(B235="","",IF(MONTH(B235)=3,"X",""))</f>
        <v/>
      </c>
      <c r="M235" s="34" t="str">
        <f aca="false">IF(B235="","",IF(MONTH(B235)=4,"X",""))</f>
        <v/>
      </c>
      <c r="N235" s="34" t="str">
        <f aca="false">IF(B235="","",IF(MONTH(B235)=5,"X",""))</f>
        <v/>
      </c>
      <c r="O235" s="34" t="str">
        <f aca="false">IF(B235="","",IF(MONTH(B235)=6,"X",""))</f>
        <v/>
      </c>
      <c r="P235" s="34" t="str">
        <f aca="false">IF(B235="","",IF(MONTH(B235)=7,"X",""))</f>
        <v/>
      </c>
      <c r="Q235" s="34" t="str">
        <f aca="false">IF(B235="","",IF(MONTH(B235)=8,"X",""))</f>
        <v/>
      </c>
      <c r="R235" s="34" t="str">
        <f aca="false">IF(B235="","",IF(MONTH(B235)=9,"X",""))</f>
        <v/>
      </c>
      <c r="S235" s="34" t="str">
        <f aca="false">IF(B235="","",IF(MONTH(B235)=10,"X",""))</f>
        <v/>
      </c>
      <c r="T235" s="34" t="str">
        <f aca="false">IF(B235="","",IF(MONTH(B235)=11,"X",""))</f>
        <v/>
      </c>
      <c r="U235" s="34" t="str">
        <f aca="false">IF(B235="","",IF(MONTH(B235)=12,"X",""))</f>
        <v/>
      </c>
      <c r="V235" s="24" t="str">
        <f aca="false">IF(E235="","",COUNTIF($E$5:$E$1000,E235))</f>
        <v/>
      </c>
      <c r="W235" s="35" t="str">
        <f aca="false">IF(E235="","",_xlfn.TEXTJOIN(" + ",TRUE(),IF(COUNTIFS($E$5:$E$1000,E235,$C$5:$C$1000,"Auditoría Interna")&gt;0,"Interna",""),IF(COUNTIFS($E$5:$E$1000,E235,$C$5:$C$1000,"Auditoría Externa")&gt;0,"Externa",""),IF(COUNTIFS($E$5:$E$1000,E235,$C$5:$C$1000,"SSF")&gt;0,"SSF",""),IF(COUNTIFS($E$5:$E$1000,E235,$C$5:$C$1000,"Comité de Supervisión")&gt;0,"Comité Sup.",""),IF(COUNTIFS($E$5:$E$1000,E235,$C$5:$C$1000,"Consejo de Administración")&gt;0,"Consejo",""),IF(COUNTIFS($E$5:$E$1000,E235,$C$5:$C$1000,"Otros")&gt;0,"Otros","")))</f>
        <v/>
      </c>
      <c r="X235" s="24" t="str">
        <f aca="false">IF(E235="","",COUNTIFS($E$5:$E$1000,E235,$AB$5:$AB$1000,AB235,$C$5:$C$1000,"&lt;&gt;"&amp;C235))</f>
        <v/>
      </c>
      <c r="Y235" s="33"/>
      <c r="Z235" s="31"/>
      <c r="AA235" s="33"/>
      <c r="AB235" s="37" t="str">
        <f aca="false">IF(B235="","",YEAR(B235)*100+MONTH(B235))</f>
        <v/>
      </c>
      <c r="AC235" s="37" t="str">
        <f aca="false">IF(AND(E235&lt;&gt;"",E235=Cruce!$C$5),COUNTIF($E$5:E235,E235),"")</f>
        <v/>
      </c>
      <c r="AD235" s="37" t="str">
        <f aca="false">IF(E235="","",C235&amp;"|"&amp;Y235&amp;"|"&amp;IF(B235="","s/f",TEXT(B235,"yyyymmdd")))</f>
        <v/>
      </c>
      <c r="AE235" s="37" t="n">
        <f aca="false">IF(E235="",0,IF(COUNTIFS($E$5:E235,E235,$AD$5:AD235,AD235)=1,1,0))</f>
        <v>0</v>
      </c>
    </row>
    <row r="236" customFormat="false" ht="15" hidden="false" customHeight="true" outlineLevel="0" collapsed="false">
      <c r="A236" s="31"/>
      <c r="B236" s="30"/>
      <c r="C236" s="31"/>
      <c r="D236" s="31"/>
      <c r="E236" s="32"/>
      <c r="F236" s="32"/>
      <c r="G236" s="33"/>
      <c r="H236" s="31"/>
      <c r="I236" s="24" t="str">
        <f aca="false">IF(B236="","",YEAR(B236))</f>
        <v/>
      </c>
      <c r="J236" s="34" t="str">
        <f aca="false">IF(B236="","",IF(MONTH(B236)=1,"X",""))</f>
        <v/>
      </c>
      <c r="K236" s="34" t="str">
        <f aca="false">IF(B236="","",IF(MONTH(B236)=2,"X",""))</f>
        <v/>
      </c>
      <c r="L236" s="34" t="str">
        <f aca="false">IF(B236="","",IF(MONTH(B236)=3,"X",""))</f>
        <v/>
      </c>
      <c r="M236" s="34" t="str">
        <f aca="false">IF(B236="","",IF(MONTH(B236)=4,"X",""))</f>
        <v/>
      </c>
      <c r="N236" s="34" t="str">
        <f aca="false">IF(B236="","",IF(MONTH(B236)=5,"X",""))</f>
        <v/>
      </c>
      <c r="O236" s="34" t="str">
        <f aca="false">IF(B236="","",IF(MONTH(B236)=6,"X",""))</f>
        <v/>
      </c>
      <c r="P236" s="34" t="str">
        <f aca="false">IF(B236="","",IF(MONTH(B236)=7,"X",""))</f>
        <v/>
      </c>
      <c r="Q236" s="34" t="str">
        <f aca="false">IF(B236="","",IF(MONTH(B236)=8,"X",""))</f>
        <v/>
      </c>
      <c r="R236" s="34" t="str">
        <f aca="false">IF(B236="","",IF(MONTH(B236)=9,"X",""))</f>
        <v/>
      </c>
      <c r="S236" s="34" t="str">
        <f aca="false">IF(B236="","",IF(MONTH(B236)=10,"X",""))</f>
        <v/>
      </c>
      <c r="T236" s="34" t="str">
        <f aca="false">IF(B236="","",IF(MONTH(B236)=11,"X",""))</f>
        <v/>
      </c>
      <c r="U236" s="34" t="str">
        <f aca="false">IF(B236="","",IF(MONTH(B236)=12,"X",""))</f>
        <v/>
      </c>
      <c r="V236" s="24" t="str">
        <f aca="false">IF(E236="","",COUNTIF($E$5:$E$1000,E236))</f>
        <v/>
      </c>
      <c r="W236" s="35" t="str">
        <f aca="false">IF(E236="","",_xlfn.TEXTJOIN(" + ",TRUE(),IF(COUNTIFS($E$5:$E$1000,E236,$C$5:$C$1000,"Auditoría Interna")&gt;0,"Interna",""),IF(COUNTIFS($E$5:$E$1000,E236,$C$5:$C$1000,"Auditoría Externa")&gt;0,"Externa",""),IF(COUNTIFS($E$5:$E$1000,E236,$C$5:$C$1000,"SSF")&gt;0,"SSF",""),IF(COUNTIFS($E$5:$E$1000,E236,$C$5:$C$1000,"Comité de Supervisión")&gt;0,"Comité Sup.",""),IF(COUNTIFS($E$5:$E$1000,E236,$C$5:$C$1000,"Consejo de Administración")&gt;0,"Consejo",""),IF(COUNTIFS($E$5:$E$1000,E236,$C$5:$C$1000,"Otros")&gt;0,"Otros","")))</f>
        <v/>
      </c>
      <c r="X236" s="24" t="str">
        <f aca="false">IF(E236="","",COUNTIFS($E$5:$E$1000,E236,$AB$5:$AB$1000,AB236,$C$5:$C$1000,"&lt;&gt;"&amp;C236))</f>
        <v/>
      </c>
      <c r="Y236" s="33"/>
      <c r="Z236" s="31"/>
      <c r="AA236" s="33"/>
      <c r="AB236" s="37" t="str">
        <f aca="false">IF(B236="","",YEAR(B236)*100+MONTH(B236))</f>
        <v/>
      </c>
      <c r="AC236" s="37" t="str">
        <f aca="false">IF(AND(E236&lt;&gt;"",E236=Cruce!$C$5),COUNTIF($E$5:E236,E236),"")</f>
        <v/>
      </c>
      <c r="AD236" s="37" t="str">
        <f aca="false">IF(E236="","",C236&amp;"|"&amp;Y236&amp;"|"&amp;IF(B236="","s/f",TEXT(B236,"yyyymmdd")))</f>
        <v/>
      </c>
      <c r="AE236" s="37" t="n">
        <f aca="false">IF(E236="",0,IF(COUNTIFS($E$5:E236,E236,$AD$5:AD236,AD236)=1,1,0))</f>
        <v>0</v>
      </c>
    </row>
    <row r="237" customFormat="false" ht="15" hidden="false" customHeight="true" outlineLevel="0" collapsed="false">
      <c r="A237" s="31"/>
      <c r="B237" s="30"/>
      <c r="C237" s="31"/>
      <c r="D237" s="31"/>
      <c r="E237" s="32"/>
      <c r="F237" s="32"/>
      <c r="G237" s="33"/>
      <c r="H237" s="31"/>
      <c r="I237" s="24" t="str">
        <f aca="false">IF(B237="","",YEAR(B237))</f>
        <v/>
      </c>
      <c r="J237" s="34" t="str">
        <f aca="false">IF(B237="","",IF(MONTH(B237)=1,"X",""))</f>
        <v/>
      </c>
      <c r="K237" s="34" t="str">
        <f aca="false">IF(B237="","",IF(MONTH(B237)=2,"X",""))</f>
        <v/>
      </c>
      <c r="L237" s="34" t="str">
        <f aca="false">IF(B237="","",IF(MONTH(B237)=3,"X",""))</f>
        <v/>
      </c>
      <c r="M237" s="34" t="str">
        <f aca="false">IF(B237="","",IF(MONTH(B237)=4,"X",""))</f>
        <v/>
      </c>
      <c r="N237" s="34" t="str">
        <f aca="false">IF(B237="","",IF(MONTH(B237)=5,"X",""))</f>
        <v/>
      </c>
      <c r="O237" s="34" t="str">
        <f aca="false">IF(B237="","",IF(MONTH(B237)=6,"X",""))</f>
        <v/>
      </c>
      <c r="P237" s="34" t="str">
        <f aca="false">IF(B237="","",IF(MONTH(B237)=7,"X",""))</f>
        <v/>
      </c>
      <c r="Q237" s="34" t="str">
        <f aca="false">IF(B237="","",IF(MONTH(B237)=8,"X",""))</f>
        <v/>
      </c>
      <c r="R237" s="34" t="str">
        <f aca="false">IF(B237="","",IF(MONTH(B237)=9,"X",""))</f>
        <v/>
      </c>
      <c r="S237" s="34" t="str">
        <f aca="false">IF(B237="","",IF(MONTH(B237)=10,"X",""))</f>
        <v/>
      </c>
      <c r="T237" s="34" t="str">
        <f aca="false">IF(B237="","",IF(MONTH(B237)=11,"X",""))</f>
        <v/>
      </c>
      <c r="U237" s="34" t="str">
        <f aca="false">IF(B237="","",IF(MONTH(B237)=12,"X",""))</f>
        <v/>
      </c>
      <c r="V237" s="24" t="str">
        <f aca="false">IF(E237="","",COUNTIF($E$5:$E$1000,E237))</f>
        <v/>
      </c>
      <c r="W237" s="35" t="str">
        <f aca="false">IF(E237="","",_xlfn.TEXTJOIN(" + ",TRUE(),IF(COUNTIFS($E$5:$E$1000,E237,$C$5:$C$1000,"Auditoría Interna")&gt;0,"Interna",""),IF(COUNTIFS($E$5:$E$1000,E237,$C$5:$C$1000,"Auditoría Externa")&gt;0,"Externa",""),IF(COUNTIFS($E$5:$E$1000,E237,$C$5:$C$1000,"SSF")&gt;0,"SSF",""),IF(COUNTIFS($E$5:$E$1000,E237,$C$5:$C$1000,"Comité de Supervisión")&gt;0,"Comité Sup.",""),IF(COUNTIFS($E$5:$E$1000,E237,$C$5:$C$1000,"Consejo de Administración")&gt;0,"Consejo",""),IF(COUNTIFS($E$5:$E$1000,E237,$C$5:$C$1000,"Otros")&gt;0,"Otros","")))</f>
        <v/>
      </c>
      <c r="X237" s="24" t="str">
        <f aca="false">IF(E237="","",COUNTIFS($E$5:$E$1000,E237,$AB$5:$AB$1000,AB237,$C$5:$C$1000,"&lt;&gt;"&amp;C237))</f>
        <v/>
      </c>
      <c r="Y237" s="33"/>
      <c r="Z237" s="31"/>
      <c r="AA237" s="33"/>
      <c r="AB237" s="37" t="str">
        <f aca="false">IF(B237="","",YEAR(B237)*100+MONTH(B237))</f>
        <v/>
      </c>
      <c r="AC237" s="37" t="str">
        <f aca="false">IF(AND(E237&lt;&gt;"",E237=Cruce!$C$5),COUNTIF($E$5:E237,E237),"")</f>
        <v/>
      </c>
      <c r="AD237" s="37" t="str">
        <f aca="false">IF(E237="","",C237&amp;"|"&amp;Y237&amp;"|"&amp;IF(B237="","s/f",TEXT(B237,"yyyymmdd")))</f>
        <v/>
      </c>
      <c r="AE237" s="37" t="n">
        <f aca="false">IF(E237="",0,IF(COUNTIFS($E$5:E237,E237,$AD$5:AD237,AD237)=1,1,0))</f>
        <v>0</v>
      </c>
    </row>
    <row r="238" customFormat="false" ht="15" hidden="false" customHeight="true" outlineLevel="0" collapsed="false">
      <c r="A238" s="31"/>
      <c r="B238" s="30"/>
      <c r="C238" s="31"/>
      <c r="D238" s="31"/>
      <c r="E238" s="32"/>
      <c r="F238" s="32"/>
      <c r="G238" s="33"/>
      <c r="H238" s="31"/>
      <c r="I238" s="24" t="str">
        <f aca="false">IF(B238="","",YEAR(B238))</f>
        <v/>
      </c>
      <c r="J238" s="34" t="str">
        <f aca="false">IF(B238="","",IF(MONTH(B238)=1,"X",""))</f>
        <v/>
      </c>
      <c r="K238" s="34" t="str">
        <f aca="false">IF(B238="","",IF(MONTH(B238)=2,"X",""))</f>
        <v/>
      </c>
      <c r="L238" s="34" t="str">
        <f aca="false">IF(B238="","",IF(MONTH(B238)=3,"X",""))</f>
        <v/>
      </c>
      <c r="M238" s="34" t="str">
        <f aca="false">IF(B238="","",IF(MONTH(B238)=4,"X",""))</f>
        <v/>
      </c>
      <c r="N238" s="34" t="str">
        <f aca="false">IF(B238="","",IF(MONTH(B238)=5,"X",""))</f>
        <v/>
      </c>
      <c r="O238" s="34" t="str">
        <f aca="false">IF(B238="","",IF(MONTH(B238)=6,"X",""))</f>
        <v/>
      </c>
      <c r="P238" s="34" t="str">
        <f aca="false">IF(B238="","",IF(MONTH(B238)=7,"X",""))</f>
        <v/>
      </c>
      <c r="Q238" s="34" t="str">
        <f aca="false">IF(B238="","",IF(MONTH(B238)=8,"X",""))</f>
        <v/>
      </c>
      <c r="R238" s="34" t="str">
        <f aca="false">IF(B238="","",IF(MONTH(B238)=9,"X",""))</f>
        <v/>
      </c>
      <c r="S238" s="34" t="str">
        <f aca="false">IF(B238="","",IF(MONTH(B238)=10,"X",""))</f>
        <v/>
      </c>
      <c r="T238" s="34" t="str">
        <f aca="false">IF(B238="","",IF(MONTH(B238)=11,"X",""))</f>
        <v/>
      </c>
      <c r="U238" s="34" t="str">
        <f aca="false">IF(B238="","",IF(MONTH(B238)=12,"X",""))</f>
        <v/>
      </c>
      <c r="V238" s="24" t="str">
        <f aca="false">IF(E238="","",COUNTIF($E$5:$E$1000,E238))</f>
        <v/>
      </c>
      <c r="W238" s="35" t="str">
        <f aca="false">IF(E238="","",_xlfn.TEXTJOIN(" + ",TRUE(),IF(COUNTIFS($E$5:$E$1000,E238,$C$5:$C$1000,"Auditoría Interna")&gt;0,"Interna",""),IF(COUNTIFS($E$5:$E$1000,E238,$C$5:$C$1000,"Auditoría Externa")&gt;0,"Externa",""),IF(COUNTIFS($E$5:$E$1000,E238,$C$5:$C$1000,"SSF")&gt;0,"SSF",""),IF(COUNTIFS($E$5:$E$1000,E238,$C$5:$C$1000,"Comité de Supervisión")&gt;0,"Comité Sup.",""),IF(COUNTIFS($E$5:$E$1000,E238,$C$5:$C$1000,"Consejo de Administración")&gt;0,"Consejo",""),IF(COUNTIFS($E$5:$E$1000,E238,$C$5:$C$1000,"Otros")&gt;0,"Otros","")))</f>
        <v/>
      </c>
      <c r="X238" s="24" t="str">
        <f aca="false">IF(E238="","",COUNTIFS($E$5:$E$1000,E238,$AB$5:$AB$1000,AB238,$C$5:$C$1000,"&lt;&gt;"&amp;C238))</f>
        <v/>
      </c>
      <c r="Y238" s="33"/>
      <c r="Z238" s="31"/>
      <c r="AA238" s="33"/>
      <c r="AB238" s="37" t="str">
        <f aca="false">IF(B238="","",YEAR(B238)*100+MONTH(B238))</f>
        <v/>
      </c>
      <c r="AC238" s="37" t="str">
        <f aca="false">IF(AND(E238&lt;&gt;"",E238=Cruce!$C$5),COUNTIF($E$5:E238,E238),"")</f>
        <v/>
      </c>
      <c r="AD238" s="37" t="str">
        <f aca="false">IF(E238="","",C238&amp;"|"&amp;Y238&amp;"|"&amp;IF(B238="","s/f",TEXT(B238,"yyyymmdd")))</f>
        <v/>
      </c>
      <c r="AE238" s="37" t="n">
        <f aca="false">IF(E238="",0,IF(COUNTIFS($E$5:E238,E238,$AD$5:AD238,AD238)=1,1,0))</f>
        <v>0</v>
      </c>
    </row>
    <row r="239" customFormat="false" ht="15" hidden="false" customHeight="true" outlineLevel="0" collapsed="false">
      <c r="A239" s="31"/>
      <c r="B239" s="30"/>
      <c r="C239" s="31"/>
      <c r="D239" s="31"/>
      <c r="E239" s="32"/>
      <c r="F239" s="32"/>
      <c r="G239" s="33"/>
      <c r="H239" s="31"/>
      <c r="I239" s="24" t="str">
        <f aca="false">IF(B239="","",YEAR(B239))</f>
        <v/>
      </c>
      <c r="J239" s="34" t="str">
        <f aca="false">IF(B239="","",IF(MONTH(B239)=1,"X",""))</f>
        <v/>
      </c>
      <c r="K239" s="34" t="str">
        <f aca="false">IF(B239="","",IF(MONTH(B239)=2,"X",""))</f>
        <v/>
      </c>
      <c r="L239" s="34" t="str">
        <f aca="false">IF(B239="","",IF(MONTH(B239)=3,"X",""))</f>
        <v/>
      </c>
      <c r="M239" s="34" t="str">
        <f aca="false">IF(B239="","",IF(MONTH(B239)=4,"X",""))</f>
        <v/>
      </c>
      <c r="N239" s="34" t="str">
        <f aca="false">IF(B239="","",IF(MONTH(B239)=5,"X",""))</f>
        <v/>
      </c>
      <c r="O239" s="34" t="str">
        <f aca="false">IF(B239="","",IF(MONTH(B239)=6,"X",""))</f>
        <v/>
      </c>
      <c r="P239" s="34" t="str">
        <f aca="false">IF(B239="","",IF(MONTH(B239)=7,"X",""))</f>
        <v/>
      </c>
      <c r="Q239" s="34" t="str">
        <f aca="false">IF(B239="","",IF(MONTH(B239)=8,"X",""))</f>
        <v/>
      </c>
      <c r="R239" s="34" t="str">
        <f aca="false">IF(B239="","",IF(MONTH(B239)=9,"X",""))</f>
        <v/>
      </c>
      <c r="S239" s="34" t="str">
        <f aca="false">IF(B239="","",IF(MONTH(B239)=10,"X",""))</f>
        <v/>
      </c>
      <c r="T239" s="34" t="str">
        <f aca="false">IF(B239="","",IF(MONTH(B239)=11,"X",""))</f>
        <v/>
      </c>
      <c r="U239" s="34" t="str">
        <f aca="false">IF(B239="","",IF(MONTH(B239)=12,"X",""))</f>
        <v/>
      </c>
      <c r="V239" s="24" t="str">
        <f aca="false">IF(E239="","",COUNTIF($E$5:$E$1000,E239))</f>
        <v/>
      </c>
      <c r="W239" s="35" t="str">
        <f aca="false">IF(E239="","",_xlfn.TEXTJOIN(" + ",TRUE(),IF(COUNTIFS($E$5:$E$1000,E239,$C$5:$C$1000,"Auditoría Interna")&gt;0,"Interna",""),IF(COUNTIFS($E$5:$E$1000,E239,$C$5:$C$1000,"Auditoría Externa")&gt;0,"Externa",""),IF(COUNTIFS($E$5:$E$1000,E239,$C$5:$C$1000,"SSF")&gt;0,"SSF",""),IF(COUNTIFS($E$5:$E$1000,E239,$C$5:$C$1000,"Comité de Supervisión")&gt;0,"Comité Sup.",""),IF(COUNTIFS($E$5:$E$1000,E239,$C$5:$C$1000,"Consejo de Administración")&gt;0,"Consejo",""),IF(COUNTIFS($E$5:$E$1000,E239,$C$5:$C$1000,"Otros")&gt;0,"Otros","")))</f>
        <v/>
      </c>
      <c r="X239" s="24" t="str">
        <f aca="false">IF(E239="","",COUNTIFS($E$5:$E$1000,E239,$AB$5:$AB$1000,AB239,$C$5:$C$1000,"&lt;&gt;"&amp;C239))</f>
        <v/>
      </c>
      <c r="Y239" s="33"/>
      <c r="Z239" s="31"/>
      <c r="AA239" s="33"/>
      <c r="AB239" s="37" t="str">
        <f aca="false">IF(B239="","",YEAR(B239)*100+MONTH(B239))</f>
        <v/>
      </c>
      <c r="AC239" s="37" t="str">
        <f aca="false">IF(AND(E239&lt;&gt;"",E239=Cruce!$C$5),COUNTIF($E$5:E239,E239),"")</f>
        <v/>
      </c>
      <c r="AD239" s="37" t="str">
        <f aca="false">IF(E239="","",C239&amp;"|"&amp;Y239&amp;"|"&amp;IF(B239="","s/f",TEXT(B239,"yyyymmdd")))</f>
        <v/>
      </c>
      <c r="AE239" s="37" t="n">
        <f aca="false">IF(E239="",0,IF(COUNTIFS($E$5:E239,E239,$AD$5:AD239,AD239)=1,1,0))</f>
        <v>0</v>
      </c>
    </row>
    <row r="240" customFormat="false" ht="15" hidden="false" customHeight="true" outlineLevel="0" collapsed="false">
      <c r="A240" s="31"/>
      <c r="B240" s="30"/>
      <c r="C240" s="31"/>
      <c r="D240" s="31"/>
      <c r="E240" s="32"/>
      <c r="F240" s="32"/>
      <c r="G240" s="33"/>
      <c r="H240" s="31"/>
      <c r="I240" s="24" t="str">
        <f aca="false">IF(B240="","",YEAR(B240))</f>
        <v/>
      </c>
      <c r="J240" s="34" t="str">
        <f aca="false">IF(B240="","",IF(MONTH(B240)=1,"X",""))</f>
        <v/>
      </c>
      <c r="K240" s="34" t="str">
        <f aca="false">IF(B240="","",IF(MONTH(B240)=2,"X",""))</f>
        <v/>
      </c>
      <c r="L240" s="34" t="str">
        <f aca="false">IF(B240="","",IF(MONTH(B240)=3,"X",""))</f>
        <v/>
      </c>
      <c r="M240" s="34" t="str">
        <f aca="false">IF(B240="","",IF(MONTH(B240)=4,"X",""))</f>
        <v/>
      </c>
      <c r="N240" s="34" t="str">
        <f aca="false">IF(B240="","",IF(MONTH(B240)=5,"X",""))</f>
        <v/>
      </c>
      <c r="O240" s="34" t="str">
        <f aca="false">IF(B240="","",IF(MONTH(B240)=6,"X",""))</f>
        <v/>
      </c>
      <c r="P240" s="34" t="str">
        <f aca="false">IF(B240="","",IF(MONTH(B240)=7,"X",""))</f>
        <v/>
      </c>
      <c r="Q240" s="34" t="str">
        <f aca="false">IF(B240="","",IF(MONTH(B240)=8,"X",""))</f>
        <v/>
      </c>
      <c r="R240" s="34" t="str">
        <f aca="false">IF(B240="","",IF(MONTH(B240)=9,"X",""))</f>
        <v/>
      </c>
      <c r="S240" s="34" t="str">
        <f aca="false">IF(B240="","",IF(MONTH(B240)=10,"X",""))</f>
        <v/>
      </c>
      <c r="T240" s="34" t="str">
        <f aca="false">IF(B240="","",IF(MONTH(B240)=11,"X",""))</f>
        <v/>
      </c>
      <c r="U240" s="34" t="str">
        <f aca="false">IF(B240="","",IF(MONTH(B240)=12,"X",""))</f>
        <v/>
      </c>
      <c r="V240" s="24" t="str">
        <f aca="false">IF(E240="","",COUNTIF($E$5:$E$1000,E240))</f>
        <v/>
      </c>
      <c r="W240" s="35" t="str">
        <f aca="false">IF(E240="","",_xlfn.TEXTJOIN(" + ",TRUE(),IF(COUNTIFS($E$5:$E$1000,E240,$C$5:$C$1000,"Auditoría Interna")&gt;0,"Interna",""),IF(COUNTIFS($E$5:$E$1000,E240,$C$5:$C$1000,"Auditoría Externa")&gt;0,"Externa",""),IF(COUNTIFS($E$5:$E$1000,E240,$C$5:$C$1000,"SSF")&gt;0,"SSF",""),IF(COUNTIFS($E$5:$E$1000,E240,$C$5:$C$1000,"Comité de Supervisión")&gt;0,"Comité Sup.",""),IF(COUNTIFS($E$5:$E$1000,E240,$C$5:$C$1000,"Consejo de Administración")&gt;0,"Consejo",""),IF(COUNTIFS($E$5:$E$1000,E240,$C$5:$C$1000,"Otros")&gt;0,"Otros","")))</f>
        <v/>
      </c>
      <c r="X240" s="24" t="str">
        <f aca="false">IF(E240="","",COUNTIFS($E$5:$E$1000,E240,$AB$5:$AB$1000,AB240,$C$5:$C$1000,"&lt;&gt;"&amp;C240))</f>
        <v/>
      </c>
      <c r="Y240" s="33"/>
      <c r="Z240" s="31"/>
      <c r="AA240" s="33"/>
      <c r="AB240" s="37" t="str">
        <f aca="false">IF(B240="","",YEAR(B240)*100+MONTH(B240))</f>
        <v/>
      </c>
      <c r="AC240" s="37" t="str">
        <f aca="false">IF(AND(E240&lt;&gt;"",E240=Cruce!$C$5),COUNTIF($E$5:E240,E240),"")</f>
        <v/>
      </c>
      <c r="AD240" s="37" t="str">
        <f aca="false">IF(E240="","",C240&amp;"|"&amp;Y240&amp;"|"&amp;IF(B240="","s/f",TEXT(B240,"yyyymmdd")))</f>
        <v/>
      </c>
      <c r="AE240" s="37" t="n">
        <f aca="false">IF(E240="",0,IF(COUNTIFS($E$5:E240,E240,$AD$5:AD240,AD240)=1,1,0))</f>
        <v>0</v>
      </c>
    </row>
    <row r="241" customFormat="false" ht="15" hidden="false" customHeight="true" outlineLevel="0" collapsed="false">
      <c r="A241" s="31"/>
      <c r="B241" s="30"/>
      <c r="C241" s="31"/>
      <c r="D241" s="31"/>
      <c r="E241" s="32"/>
      <c r="F241" s="32"/>
      <c r="G241" s="33"/>
      <c r="H241" s="31"/>
      <c r="I241" s="24" t="str">
        <f aca="false">IF(B241="","",YEAR(B241))</f>
        <v/>
      </c>
      <c r="J241" s="34" t="str">
        <f aca="false">IF(B241="","",IF(MONTH(B241)=1,"X",""))</f>
        <v/>
      </c>
      <c r="K241" s="34" t="str">
        <f aca="false">IF(B241="","",IF(MONTH(B241)=2,"X",""))</f>
        <v/>
      </c>
      <c r="L241" s="34" t="str">
        <f aca="false">IF(B241="","",IF(MONTH(B241)=3,"X",""))</f>
        <v/>
      </c>
      <c r="M241" s="34" t="str">
        <f aca="false">IF(B241="","",IF(MONTH(B241)=4,"X",""))</f>
        <v/>
      </c>
      <c r="N241" s="34" t="str">
        <f aca="false">IF(B241="","",IF(MONTH(B241)=5,"X",""))</f>
        <v/>
      </c>
      <c r="O241" s="34" t="str">
        <f aca="false">IF(B241="","",IF(MONTH(B241)=6,"X",""))</f>
        <v/>
      </c>
      <c r="P241" s="34" t="str">
        <f aca="false">IF(B241="","",IF(MONTH(B241)=7,"X",""))</f>
        <v/>
      </c>
      <c r="Q241" s="34" t="str">
        <f aca="false">IF(B241="","",IF(MONTH(B241)=8,"X",""))</f>
        <v/>
      </c>
      <c r="R241" s="34" t="str">
        <f aca="false">IF(B241="","",IF(MONTH(B241)=9,"X",""))</f>
        <v/>
      </c>
      <c r="S241" s="34" t="str">
        <f aca="false">IF(B241="","",IF(MONTH(B241)=10,"X",""))</f>
        <v/>
      </c>
      <c r="T241" s="34" t="str">
        <f aca="false">IF(B241="","",IF(MONTH(B241)=11,"X",""))</f>
        <v/>
      </c>
      <c r="U241" s="34" t="str">
        <f aca="false">IF(B241="","",IF(MONTH(B241)=12,"X",""))</f>
        <v/>
      </c>
      <c r="V241" s="24" t="str">
        <f aca="false">IF(E241="","",COUNTIF($E$5:$E$1000,E241))</f>
        <v/>
      </c>
      <c r="W241" s="35" t="str">
        <f aca="false">IF(E241="","",_xlfn.TEXTJOIN(" + ",TRUE(),IF(COUNTIFS($E$5:$E$1000,E241,$C$5:$C$1000,"Auditoría Interna")&gt;0,"Interna",""),IF(COUNTIFS($E$5:$E$1000,E241,$C$5:$C$1000,"Auditoría Externa")&gt;0,"Externa",""),IF(COUNTIFS($E$5:$E$1000,E241,$C$5:$C$1000,"SSF")&gt;0,"SSF",""),IF(COUNTIFS($E$5:$E$1000,E241,$C$5:$C$1000,"Comité de Supervisión")&gt;0,"Comité Sup.",""),IF(COUNTIFS($E$5:$E$1000,E241,$C$5:$C$1000,"Consejo de Administración")&gt;0,"Consejo",""),IF(COUNTIFS($E$5:$E$1000,E241,$C$5:$C$1000,"Otros")&gt;0,"Otros","")))</f>
        <v/>
      </c>
      <c r="X241" s="24" t="str">
        <f aca="false">IF(E241="","",COUNTIFS($E$5:$E$1000,E241,$AB$5:$AB$1000,AB241,$C$5:$C$1000,"&lt;&gt;"&amp;C241))</f>
        <v/>
      </c>
      <c r="Y241" s="33"/>
      <c r="Z241" s="31"/>
      <c r="AA241" s="33"/>
      <c r="AB241" s="37" t="str">
        <f aca="false">IF(B241="","",YEAR(B241)*100+MONTH(B241))</f>
        <v/>
      </c>
      <c r="AC241" s="37" t="str">
        <f aca="false">IF(AND(E241&lt;&gt;"",E241=Cruce!$C$5),COUNTIF($E$5:E241,E241),"")</f>
        <v/>
      </c>
      <c r="AD241" s="37" t="str">
        <f aca="false">IF(E241="","",C241&amp;"|"&amp;Y241&amp;"|"&amp;IF(B241="","s/f",TEXT(B241,"yyyymmdd")))</f>
        <v/>
      </c>
      <c r="AE241" s="37" t="n">
        <f aca="false">IF(E241="",0,IF(COUNTIFS($E$5:E241,E241,$AD$5:AD241,AD241)=1,1,0))</f>
        <v>0</v>
      </c>
    </row>
    <row r="242" customFormat="false" ht="15" hidden="false" customHeight="true" outlineLevel="0" collapsed="false">
      <c r="A242" s="31"/>
      <c r="B242" s="30"/>
      <c r="C242" s="31"/>
      <c r="D242" s="31"/>
      <c r="E242" s="32"/>
      <c r="F242" s="32"/>
      <c r="G242" s="33"/>
      <c r="H242" s="31"/>
      <c r="I242" s="24" t="str">
        <f aca="false">IF(B242="","",YEAR(B242))</f>
        <v/>
      </c>
      <c r="J242" s="34" t="str">
        <f aca="false">IF(B242="","",IF(MONTH(B242)=1,"X",""))</f>
        <v/>
      </c>
      <c r="K242" s="34" t="str">
        <f aca="false">IF(B242="","",IF(MONTH(B242)=2,"X",""))</f>
        <v/>
      </c>
      <c r="L242" s="34" t="str">
        <f aca="false">IF(B242="","",IF(MONTH(B242)=3,"X",""))</f>
        <v/>
      </c>
      <c r="M242" s="34" t="str">
        <f aca="false">IF(B242="","",IF(MONTH(B242)=4,"X",""))</f>
        <v/>
      </c>
      <c r="N242" s="34" t="str">
        <f aca="false">IF(B242="","",IF(MONTH(B242)=5,"X",""))</f>
        <v/>
      </c>
      <c r="O242" s="34" t="str">
        <f aca="false">IF(B242="","",IF(MONTH(B242)=6,"X",""))</f>
        <v/>
      </c>
      <c r="P242" s="34" t="str">
        <f aca="false">IF(B242="","",IF(MONTH(B242)=7,"X",""))</f>
        <v/>
      </c>
      <c r="Q242" s="34" t="str">
        <f aca="false">IF(B242="","",IF(MONTH(B242)=8,"X",""))</f>
        <v/>
      </c>
      <c r="R242" s="34" t="str">
        <f aca="false">IF(B242="","",IF(MONTH(B242)=9,"X",""))</f>
        <v/>
      </c>
      <c r="S242" s="34" t="str">
        <f aca="false">IF(B242="","",IF(MONTH(B242)=10,"X",""))</f>
        <v/>
      </c>
      <c r="T242" s="34" t="str">
        <f aca="false">IF(B242="","",IF(MONTH(B242)=11,"X",""))</f>
        <v/>
      </c>
      <c r="U242" s="34" t="str">
        <f aca="false">IF(B242="","",IF(MONTH(B242)=12,"X",""))</f>
        <v/>
      </c>
      <c r="V242" s="24" t="str">
        <f aca="false">IF(E242="","",COUNTIF($E$5:$E$1000,E242))</f>
        <v/>
      </c>
      <c r="W242" s="35" t="str">
        <f aca="false">IF(E242="","",_xlfn.TEXTJOIN(" + ",TRUE(),IF(COUNTIFS($E$5:$E$1000,E242,$C$5:$C$1000,"Auditoría Interna")&gt;0,"Interna",""),IF(COUNTIFS($E$5:$E$1000,E242,$C$5:$C$1000,"Auditoría Externa")&gt;0,"Externa",""),IF(COUNTIFS($E$5:$E$1000,E242,$C$5:$C$1000,"SSF")&gt;0,"SSF",""),IF(COUNTIFS($E$5:$E$1000,E242,$C$5:$C$1000,"Comité de Supervisión")&gt;0,"Comité Sup.",""),IF(COUNTIFS($E$5:$E$1000,E242,$C$5:$C$1000,"Consejo de Administración")&gt;0,"Consejo",""),IF(COUNTIFS($E$5:$E$1000,E242,$C$5:$C$1000,"Otros")&gt;0,"Otros","")))</f>
        <v/>
      </c>
      <c r="X242" s="24" t="str">
        <f aca="false">IF(E242="","",COUNTIFS($E$5:$E$1000,E242,$AB$5:$AB$1000,AB242,$C$5:$C$1000,"&lt;&gt;"&amp;C242))</f>
        <v/>
      </c>
      <c r="Y242" s="33"/>
      <c r="Z242" s="31"/>
      <c r="AA242" s="33"/>
      <c r="AB242" s="37" t="str">
        <f aca="false">IF(B242="","",YEAR(B242)*100+MONTH(B242))</f>
        <v/>
      </c>
      <c r="AC242" s="37" t="str">
        <f aca="false">IF(AND(E242&lt;&gt;"",E242=Cruce!$C$5),COUNTIF($E$5:E242,E242),"")</f>
        <v/>
      </c>
      <c r="AD242" s="37" t="str">
        <f aca="false">IF(E242="","",C242&amp;"|"&amp;Y242&amp;"|"&amp;IF(B242="","s/f",TEXT(B242,"yyyymmdd")))</f>
        <v/>
      </c>
      <c r="AE242" s="37" t="n">
        <f aca="false">IF(E242="",0,IF(COUNTIFS($E$5:E242,E242,$AD$5:AD242,AD242)=1,1,0))</f>
        <v>0</v>
      </c>
    </row>
    <row r="243" customFormat="false" ht="15" hidden="false" customHeight="true" outlineLevel="0" collapsed="false">
      <c r="A243" s="31"/>
      <c r="B243" s="30"/>
      <c r="C243" s="31"/>
      <c r="D243" s="31"/>
      <c r="E243" s="32"/>
      <c r="F243" s="32"/>
      <c r="G243" s="33"/>
      <c r="H243" s="31"/>
      <c r="I243" s="24" t="str">
        <f aca="false">IF(B243="","",YEAR(B243))</f>
        <v/>
      </c>
      <c r="J243" s="34" t="str">
        <f aca="false">IF(B243="","",IF(MONTH(B243)=1,"X",""))</f>
        <v/>
      </c>
      <c r="K243" s="34" t="str">
        <f aca="false">IF(B243="","",IF(MONTH(B243)=2,"X",""))</f>
        <v/>
      </c>
      <c r="L243" s="34" t="str">
        <f aca="false">IF(B243="","",IF(MONTH(B243)=3,"X",""))</f>
        <v/>
      </c>
      <c r="M243" s="34" t="str">
        <f aca="false">IF(B243="","",IF(MONTH(B243)=4,"X",""))</f>
        <v/>
      </c>
      <c r="N243" s="34" t="str">
        <f aca="false">IF(B243="","",IF(MONTH(B243)=5,"X",""))</f>
        <v/>
      </c>
      <c r="O243" s="34" t="str">
        <f aca="false">IF(B243="","",IF(MONTH(B243)=6,"X",""))</f>
        <v/>
      </c>
      <c r="P243" s="34" t="str">
        <f aca="false">IF(B243="","",IF(MONTH(B243)=7,"X",""))</f>
        <v/>
      </c>
      <c r="Q243" s="34" t="str">
        <f aca="false">IF(B243="","",IF(MONTH(B243)=8,"X",""))</f>
        <v/>
      </c>
      <c r="R243" s="34" t="str">
        <f aca="false">IF(B243="","",IF(MONTH(B243)=9,"X",""))</f>
        <v/>
      </c>
      <c r="S243" s="34" t="str">
        <f aca="false">IF(B243="","",IF(MONTH(B243)=10,"X",""))</f>
        <v/>
      </c>
      <c r="T243" s="34" t="str">
        <f aca="false">IF(B243="","",IF(MONTH(B243)=11,"X",""))</f>
        <v/>
      </c>
      <c r="U243" s="34" t="str">
        <f aca="false">IF(B243="","",IF(MONTH(B243)=12,"X",""))</f>
        <v/>
      </c>
      <c r="V243" s="24" t="str">
        <f aca="false">IF(E243="","",COUNTIF($E$5:$E$1000,E243))</f>
        <v/>
      </c>
      <c r="W243" s="35" t="str">
        <f aca="false">IF(E243="","",_xlfn.TEXTJOIN(" + ",TRUE(),IF(COUNTIFS($E$5:$E$1000,E243,$C$5:$C$1000,"Auditoría Interna")&gt;0,"Interna",""),IF(COUNTIFS($E$5:$E$1000,E243,$C$5:$C$1000,"Auditoría Externa")&gt;0,"Externa",""),IF(COUNTIFS($E$5:$E$1000,E243,$C$5:$C$1000,"SSF")&gt;0,"SSF",""),IF(COUNTIFS($E$5:$E$1000,E243,$C$5:$C$1000,"Comité de Supervisión")&gt;0,"Comité Sup.",""),IF(COUNTIFS($E$5:$E$1000,E243,$C$5:$C$1000,"Consejo de Administración")&gt;0,"Consejo",""),IF(COUNTIFS($E$5:$E$1000,E243,$C$5:$C$1000,"Otros")&gt;0,"Otros","")))</f>
        <v/>
      </c>
      <c r="X243" s="24" t="str">
        <f aca="false">IF(E243="","",COUNTIFS($E$5:$E$1000,E243,$AB$5:$AB$1000,AB243,$C$5:$C$1000,"&lt;&gt;"&amp;C243))</f>
        <v/>
      </c>
      <c r="Y243" s="33"/>
      <c r="Z243" s="31"/>
      <c r="AA243" s="33"/>
      <c r="AB243" s="37" t="str">
        <f aca="false">IF(B243="","",YEAR(B243)*100+MONTH(B243))</f>
        <v/>
      </c>
      <c r="AC243" s="37" t="str">
        <f aca="false">IF(AND(E243&lt;&gt;"",E243=Cruce!$C$5),COUNTIF($E$5:E243,E243),"")</f>
        <v/>
      </c>
      <c r="AD243" s="37" t="str">
        <f aca="false">IF(E243="","",C243&amp;"|"&amp;Y243&amp;"|"&amp;IF(B243="","s/f",TEXT(B243,"yyyymmdd")))</f>
        <v/>
      </c>
      <c r="AE243" s="37" t="n">
        <f aca="false">IF(E243="",0,IF(COUNTIFS($E$5:E243,E243,$AD$5:AD243,AD243)=1,1,0))</f>
        <v>0</v>
      </c>
    </row>
    <row r="244" customFormat="false" ht="15" hidden="false" customHeight="true" outlineLevel="0" collapsed="false">
      <c r="A244" s="31"/>
      <c r="B244" s="30"/>
      <c r="C244" s="31"/>
      <c r="D244" s="31"/>
      <c r="E244" s="32"/>
      <c r="F244" s="32"/>
      <c r="G244" s="33"/>
      <c r="H244" s="31"/>
      <c r="I244" s="24" t="str">
        <f aca="false">IF(B244="","",YEAR(B244))</f>
        <v/>
      </c>
      <c r="J244" s="34" t="str">
        <f aca="false">IF(B244="","",IF(MONTH(B244)=1,"X",""))</f>
        <v/>
      </c>
      <c r="K244" s="34" t="str">
        <f aca="false">IF(B244="","",IF(MONTH(B244)=2,"X",""))</f>
        <v/>
      </c>
      <c r="L244" s="34" t="str">
        <f aca="false">IF(B244="","",IF(MONTH(B244)=3,"X",""))</f>
        <v/>
      </c>
      <c r="M244" s="34" t="str">
        <f aca="false">IF(B244="","",IF(MONTH(B244)=4,"X",""))</f>
        <v/>
      </c>
      <c r="N244" s="34" t="str">
        <f aca="false">IF(B244="","",IF(MONTH(B244)=5,"X",""))</f>
        <v/>
      </c>
      <c r="O244" s="34" t="str">
        <f aca="false">IF(B244="","",IF(MONTH(B244)=6,"X",""))</f>
        <v/>
      </c>
      <c r="P244" s="34" t="str">
        <f aca="false">IF(B244="","",IF(MONTH(B244)=7,"X",""))</f>
        <v/>
      </c>
      <c r="Q244" s="34" t="str">
        <f aca="false">IF(B244="","",IF(MONTH(B244)=8,"X",""))</f>
        <v/>
      </c>
      <c r="R244" s="34" t="str">
        <f aca="false">IF(B244="","",IF(MONTH(B244)=9,"X",""))</f>
        <v/>
      </c>
      <c r="S244" s="34" t="str">
        <f aca="false">IF(B244="","",IF(MONTH(B244)=10,"X",""))</f>
        <v/>
      </c>
      <c r="T244" s="34" t="str">
        <f aca="false">IF(B244="","",IF(MONTH(B244)=11,"X",""))</f>
        <v/>
      </c>
      <c r="U244" s="34" t="str">
        <f aca="false">IF(B244="","",IF(MONTH(B244)=12,"X",""))</f>
        <v/>
      </c>
      <c r="V244" s="24" t="str">
        <f aca="false">IF(E244="","",COUNTIF($E$5:$E$1000,E244))</f>
        <v/>
      </c>
      <c r="W244" s="35" t="str">
        <f aca="false">IF(E244="","",_xlfn.TEXTJOIN(" + ",TRUE(),IF(COUNTIFS($E$5:$E$1000,E244,$C$5:$C$1000,"Auditoría Interna")&gt;0,"Interna",""),IF(COUNTIFS($E$5:$E$1000,E244,$C$5:$C$1000,"Auditoría Externa")&gt;0,"Externa",""),IF(COUNTIFS($E$5:$E$1000,E244,$C$5:$C$1000,"SSF")&gt;0,"SSF",""),IF(COUNTIFS($E$5:$E$1000,E244,$C$5:$C$1000,"Comité de Supervisión")&gt;0,"Comité Sup.",""),IF(COUNTIFS($E$5:$E$1000,E244,$C$5:$C$1000,"Consejo de Administración")&gt;0,"Consejo",""),IF(COUNTIFS($E$5:$E$1000,E244,$C$5:$C$1000,"Otros")&gt;0,"Otros","")))</f>
        <v/>
      </c>
      <c r="X244" s="24" t="str">
        <f aca="false">IF(E244="","",COUNTIFS($E$5:$E$1000,E244,$AB$5:$AB$1000,AB244,$C$5:$C$1000,"&lt;&gt;"&amp;C244))</f>
        <v/>
      </c>
      <c r="Y244" s="33"/>
      <c r="Z244" s="31"/>
      <c r="AA244" s="33"/>
      <c r="AB244" s="37" t="str">
        <f aca="false">IF(B244="","",YEAR(B244)*100+MONTH(B244))</f>
        <v/>
      </c>
      <c r="AC244" s="37" t="str">
        <f aca="false">IF(AND(E244&lt;&gt;"",E244=Cruce!$C$5),COUNTIF($E$5:E244,E244),"")</f>
        <v/>
      </c>
      <c r="AD244" s="37" t="str">
        <f aca="false">IF(E244="","",C244&amp;"|"&amp;Y244&amp;"|"&amp;IF(B244="","s/f",TEXT(B244,"yyyymmdd")))</f>
        <v/>
      </c>
      <c r="AE244" s="37" t="n">
        <f aca="false">IF(E244="",0,IF(COUNTIFS($E$5:E244,E244,$AD$5:AD244,AD244)=1,1,0))</f>
        <v>0</v>
      </c>
    </row>
    <row r="245" customFormat="false" ht="15" hidden="false" customHeight="true" outlineLevel="0" collapsed="false">
      <c r="A245" s="31"/>
      <c r="B245" s="30"/>
      <c r="C245" s="31"/>
      <c r="D245" s="31"/>
      <c r="E245" s="32"/>
      <c r="F245" s="32"/>
      <c r="G245" s="33"/>
      <c r="H245" s="31"/>
      <c r="I245" s="24" t="str">
        <f aca="false">IF(B245="","",YEAR(B245))</f>
        <v/>
      </c>
      <c r="J245" s="34" t="str">
        <f aca="false">IF(B245="","",IF(MONTH(B245)=1,"X",""))</f>
        <v/>
      </c>
      <c r="K245" s="34" t="str">
        <f aca="false">IF(B245="","",IF(MONTH(B245)=2,"X",""))</f>
        <v/>
      </c>
      <c r="L245" s="34" t="str">
        <f aca="false">IF(B245="","",IF(MONTH(B245)=3,"X",""))</f>
        <v/>
      </c>
      <c r="M245" s="34" t="str">
        <f aca="false">IF(B245="","",IF(MONTH(B245)=4,"X",""))</f>
        <v/>
      </c>
      <c r="N245" s="34" t="str">
        <f aca="false">IF(B245="","",IF(MONTH(B245)=5,"X",""))</f>
        <v/>
      </c>
      <c r="O245" s="34" t="str">
        <f aca="false">IF(B245="","",IF(MONTH(B245)=6,"X",""))</f>
        <v/>
      </c>
      <c r="P245" s="34" t="str">
        <f aca="false">IF(B245="","",IF(MONTH(B245)=7,"X",""))</f>
        <v/>
      </c>
      <c r="Q245" s="34" t="str">
        <f aca="false">IF(B245="","",IF(MONTH(B245)=8,"X",""))</f>
        <v/>
      </c>
      <c r="R245" s="34" t="str">
        <f aca="false">IF(B245="","",IF(MONTH(B245)=9,"X",""))</f>
        <v/>
      </c>
      <c r="S245" s="34" t="str">
        <f aca="false">IF(B245="","",IF(MONTH(B245)=10,"X",""))</f>
        <v/>
      </c>
      <c r="T245" s="34" t="str">
        <f aca="false">IF(B245="","",IF(MONTH(B245)=11,"X",""))</f>
        <v/>
      </c>
      <c r="U245" s="34" t="str">
        <f aca="false">IF(B245="","",IF(MONTH(B245)=12,"X",""))</f>
        <v/>
      </c>
      <c r="V245" s="24" t="str">
        <f aca="false">IF(E245="","",COUNTIF($E$5:$E$1000,E245))</f>
        <v/>
      </c>
      <c r="W245" s="35" t="str">
        <f aca="false">IF(E245="","",_xlfn.TEXTJOIN(" + ",TRUE(),IF(COUNTIFS($E$5:$E$1000,E245,$C$5:$C$1000,"Auditoría Interna")&gt;0,"Interna",""),IF(COUNTIFS($E$5:$E$1000,E245,$C$5:$C$1000,"Auditoría Externa")&gt;0,"Externa",""),IF(COUNTIFS($E$5:$E$1000,E245,$C$5:$C$1000,"SSF")&gt;0,"SSF",""),IF(COUNTIFS($E$5:$E$1000,E245,$C$5:$C$1000,"Comité de Supervisión")&gt;0,"Comité Sup.",""),IF(COUNTIFS($E$5:$E$1000,E245,$C$5:$C$1000,"Consejo de Administración")&gt;0,"Consejo",""),IF(COUNTIFS($E$5:$E$1000,E245,$C$5:$C$1000,"Otros")&gt;0,"Otros","")))</f>
        <v/>
      </c>
      <c r="X245" s="24" t="str">
        <f aca="false">IF(E245="","",COUNTIFS($E$5:$E$1000,E245,$AB$5:$AB$1000,AB245,$C$5:$C$1000,"&lt;&gt;"&amp;C245))</f>
        <v/>
      </c>
      <c r="Y245" s="33"/>
      <c r="Z245" s="31"/>
      <c r="AA245" s="33"/>
      <c r="AB245" s="37" t="str">
        <f aca="false">IF(B245="","",YEAR(B245)*100+MONTH(B245))</f>
        <v/>
      </c>
      <c r="AC245" s="37" t="str">
        <f aca="false">IF(AND(E245&lt;&gt;"",E245=Cruce!$C$5),COUNTIF($E$5:E245,E245),"")</f>
        <v/>
      </c>
      <c r="AD245" s="37" t="str">
        <f aca="false">IF(E245="","",C245&amp;"|"&amp;Y245&amp;"|"&amp;IF(B245="","s/f",TEXT(B245,"yyyymmdd")))</f>
        <v/>
      </c>
      <c r="AE245" s="37" t="n">
        <f aca="false">IF(E245="",0,IF(COUNTIFS($E$5:E245,E245,$AD$5:AD245,AD245)=1,1,0))</f>
        <v>0</v>
      </c>
    </row>
    <row r="246" customFormat="false" ht="15" hidden="false" customHeight="true" outlineLevel="0" collapsed="false">
      <c r="A246" s="31"/>
      <c r="B246" s="30"/>
      <c r="C246" s="31"/>
      <c r="D246" s="31"/>
      <c r="E246" s="32"/>
      <c r="F246" s="32"/>
      <c r="G246" s="33"/>
      <c r="H246" s="31"/>
      <c r="I246" s="24" t="str">
        <f aca="false">IF(B246="","",YEAR(B246))</f>
        <v/>
      </c>
      <c r="J246" s="34" t="str">
        <f aca="false">IF(B246="","",IF(MONTH(B246)=1,"X",""))</f>
        <v/>
      </c>
      <c r="K246" s="34" t="str">
        <f aca="false">IF(B246="","",IF(MONTH(B246)=2,"X",""))</f>
        <v/>
      </c>
      <c r="L246" s="34" t="str">
        <f aca="false">IF(B246="","",IF(MONTH(B246)=3,"X",""))</f>
        <v/>
      </c>
      <c r="M246" s="34" t="str">
        <f aca="false">IF(B246="","",IF(MONTH(B246)=4,"X",""))</f>
        <v/>
      </c>
      <c r="N246" s="34" t="str">
        <f aca="false">IF(B246="","",IF(MONTH(B246)=5,"X",""))</f>
        <v/>
      </c>
      <c r="O246" s="34" t="str">
        <f aca="false">IF(B246="","",IF(MONTH(B246)=6,"X",""))</f>
        <v/>
      </c>
      <c r="P246" s="34" t="str">
        <f aca="false">IF(B246="","",IF(MONTH(B246)=7,"X",""))</f>
        <v/>
      </c>
      <c r="Q246" s="34" t="str">
        <f aca="false">IF(B246="","",IF(MONTH(B246)=8,"X",""))</f>
        <v/>
      </c>
      <c r="R246" s="34" t="str">
        <f aca="false">IF(B246="","",IF(MONTH(B246)=9,"X",""))</f>
        <v/>
      </c>
      <c r="S246" s="34" t="str">
        <f aca="false">IF(B246="","",IF(MONTH(B246)=10,"X",""))</f>
        <v/>
      </c>
      <c r="T246" s="34" t="str">
        <f aca="false">IF(B246="","",IF(MONTH(B246)=11,"X",""))</f>
        <v/>
      </c>
      <c r="U246" s="34" t="str">
        <f aca="false">IF(B246="","",IF(MONTH(B246)=12,"X",""))</f>
        <v/>
      </c>
      <c r="V246" s="24" t="str">
        <f aca="false">IF(E246="","",COUNTIF($E$5:$E$1000,E246))</f>
        <v/>
      </c>
      <c r="W246" s="35" t="str">
        <f aca="false">IF(E246="","",_xlfn.TEXTJOIN(" + ",TRUE(),IF(COUNTIFS($E$5:$E$1000,E246,$C$5:$C$1000,"Auditoría Interna")&gt;0,"Interna",""),IF(COUNTIFS($E$5:$E$1000,E246,$C$5:$C$1000,"Auditoría Externa")&gt;0,"Externa",""),IF(COUNTIFS($E$5:$E$1000,E246,$C$5:$C$1000,"SSF")&gt;0,"SSF",""),IF(COUNTIFS($E$5:$E$1000,E246,$C$5:$C$1000,"Comité de Supervisión")&gt;0,"Comité Sup.",""),IF(COUNTIFS($E$5:$E$1000,E246,$C$5:$C$1000,"Consejo de Administración")&gt;0,"Consejo",""),IF(COUNTIFS($E$5:$E$1000,E246,$C$5:$C$1000,"Otros")&gt;0,"Otros","")))</f>
        <v/>
      </c>
      <c r="X246" s="24" t="str">
        <f aca="false">IF(E246="","",COUNTIFS($E$5:$E$1000,E246,$AB$5:$AB$1000,AB246,$C$5:$C$1000,"&lt;&gt;"&amp;C246))</f>
        <v/>
      </c>
      <c r="Y246" s="33"/>
      <c r="Z246" s="31"/>
      <c r="AA246" s="33"/>
      <c r="AB246" s="37" t="str">
        <f aca="false">IF(B246="","",YEAR(B246)*100+MONTH(B246))</f>
        <v/>
      </c>
      <c r="AC246" s="37" t="str">
        <f aca="false">IF(AND(E246&lt;&gt;"",E246=Cruce!$C$5),COUNTIF($E$5:E246,E246),"")</f>
        <v/>
      </c>
      <c r="AD246" s="37" t="str">
        <f aca="false">IF(E246="","",C246&amp;"|"&amp;Y246&amp;"|"&amp;IF(B246="","s/f",TEXT(B246,"yyyymmdd")))</f>
        <v/>
      </c>
      <c r="AE246" s="37" t="n">
        <f aca="false">IF(E246="",0,IF(COUNTIFS($E$5:E246,E246,$AD$5:AD246,AD246)=1,1,0))</f>
        <v>0</v>
      </c>
    </row>
    <row r="247" customFormat="false" ht="15" hidden="false" customHeight="true" outlineLevel="0" collapsed="false">
      <c r="A247" s="31"/>
      <c r="B247" s="30"/>
      <c r="C247" s="31"/>
      <c r="D247" s="31"/>
      <c r="E247" s="32"/>
      <c r="F247" s="32"/>
      <c r="G247" s="33"/>
      <c r="H247" s="31"/>
      <c r="I247" s="24" t="str">
        <f aca="false">IF(B247="","",YEAR(B247))</f>
        <v/>
      </c>
      <c r="J247" s="34" t="str">
        <f aca="false">IF(B247="","",IF(MONTH(B247)=1,"X",""))</f>
        <v/>
      </c>
      <c r="K247" s="34" t="str">
        <f aca="false">IF(B247="","",IF(MONTH(B247)=2,"X",""))</f>
        <v/>
      </c>
      <c r="L247" s="34" t="str">
        <f aca="false">IF(B247="","",IF(MONTH(B247)=3,"X",""))</f>
        <v/>
      </c>
      <c r="M247" s="34" t="str">
        <f aca="false">IF(B247="","",IF(MONTH(B247)=4,"X",""))</f>
        <v/>
      </c>
      <c r="N247" s="34" t="str">
        <f aca="false">IF(B247="","",IF(MONTH(B247)=5,"X",""))</f>
        <v/>
      </c>
      <c r="O247" s="34" t="str">
        <f aca="false">IF(B247="","",IF(MONTH(B247)=6,"X",""))</f>
        <v/>
      </c>
      <c r="P247" s="34" t="str">
        <f aca="false">IF(B247="","",IF(MONTH(B247)=7,"X",""))</f>
        <v/>
      </c>
      <c r="Q247" s="34" t="str">
        <f aca="false">IF(B247="","",IF(MONTH(B247)=8,"X",""))</f>
        <v/>
      </c>
      <c r="R247" s="34" t="str">
        <f aca="false">IF(B247="","",IF(MONTH(B247)=9,"X",""))</f>
        <v/>
      </c>
      <c r="S247" s="34" t="str">
        <f aca="false">IF(B247="","",IF(MONTH(B247)=10,"X",""))</f>
        <v/>
      </c>
      <c r="T247" s="34" t="str">
        <f aca="false">IF(B247="","",IF(MONTH(B247)=11,"X",""))</f>
        <v/>
      </c>
      <c r="U247" s="34" t="str">
        <f aca="false">IF(B247="","",IF(MONTH(B247)=12,"X",""))</f>
        <v/>
      </c>
      <c r="V247" s="24" t="str">
        <f aca="false">IF(E247="","",COUNTIF($E$5:$E$1000,E247))</f>
        <v/>
      </c>
      <c r="W247" s="35" t="str">
        <f aca="false">IF(E247="","",_xlfn.TEXTJOIN(" + ",TRUE(),IF(COUNTIFS($E$5:$E$1000,E247,$C$5:$C$1000,"Auditoría Interna")&gt;0,"Interna",""),IF(COUNTIFS($E$5:$E$1000,E247,$C$5:$C$1000,"Auditoría Externa")&gt;0,"Externa",""),IF(COUNTIFS($E$5:$E$1000,E247,$C$5:$C$1000,"SSF")&gt;0,"SSF",""),IF(COUNTIFS($E$5:$E$1000,E247,$C$5:$C$1000,"Comité de Supervisión")&gt;0,"Comité Sup.",""),IF(COUNTIFS($E$5:$E$1000,E247,$C$5:$C$1000,"Consejo de Administración")&gt;0,"Consejo",""),IF(COUNTIFS($E$5:$E$1000,E247,$C$5:$C$1000,"Otros")&gt;0,"Otros","")))</f>
        <v/>
      </c>
      <c r="X247" s="24" t="str">
        <f aca="false">IF(E247="","",COUNTIFS($E$5:$E$1000,E247,$AB$5:$AB$1000,AB247,$C$5:$C$1000,"&lt;&gt;"&amp;C247))</f>
        <v/>
      </c>
      <c r="Y247" s="33"/>
      <c r="Z247" s="31"/>
      <c r="AA247" s="33"/>
      <c r="AB247" s="37" t="str">
        <f aca="false">IF(B247="","",YEAR(B247)*100+MONTH(B247))</f>
        <v/>
      </c>
      <c r="AC247" s="37" t="str">
        <f aca="false">IF(AND(E247&lt;&gt;"",E247=Cruce!$C$5),COUNTIF($E$5:E247,E247),"")</f>
        <v/>
      </c>
      <c r="AD247" s="37" t="str">
        <f aca="false">IF(E247="","",C247&amp;"|"&amp;Y247&amp;"|"&amp;IF(B247="","s/f",TEXT(B247,"yyyymmdd")))</f>
        <v/>
      </c>
      <c r="AE247" s="37" t="n">
        <f aca="false">IF(E247="",0,IF(COUNTIFS($E$5:E247,E247,$AD$5:AD247,AD247)=1,1,0))</f>
        <v>0</v>
      </c>
    </row>
    <row r="248" customFormat="false" ht="15" hidden="false" customHeight="true" outlineLevel="0" collapsed="false">
      <c r="A248" s="31"/>
      <c r="B248" s="30"/>
      <c r="C248" s="31"/>
      <c r="D248" s="31"/>
      <c r="E248" s="32"/>
      <c r="F248" s="32"/>
      <c r="G248" s="33"/>
      <c r="H248" s="31"/>
      <c r="I248" s="24" t="str">
        <f aca="false">IF(B248="","",YEAR(B248))</f>
        <v/>
      </c>
      <c r="J248" s="34" t="str">
        <f aca="false">IF(B248="","",IF(MONTH(B248)=1,"X",""))</f>
        <v/>
      </c>
      <c r="K248" s="34" t="str">
        <f aca="false">IF(B248="","",IF(MONTH(B248)=2,"X",""))</f>
        <v/>
      </c>
      <c r="L248" s="34" t="str">
        <f aca="false">IF(B248="","",IF(MONTH(B248)=3,"X",""))</f>
        <v/>
      </c>
      <c r="M248" s="34" t="str">
        <f aca="false">IF(B248="","",IF(MONTH(B248)=4,"X",""))</f>
        <v/>
      </c>
      <c r="N248" s="34" t="str">
        <f aca="false">IF(B248="","",IF(MONTH(B248)=5,"X",""))</f>
        <v/>
      </c>
      <c r="O248" s="34" t="str">
        <f aca="false">IF(B248="","",IF(MONTH(B248)=6,"X",""))</f>
        <v/>
      </c>
      <c r="P248" s="34" t="str">
        <f aca="false">IF(B248="","",IF(MONTH(B248)=7,"X",""))</f>
        <v/>
      </c>
      <c r="Q248" s="34" t="str">
        <f aca="false">IF(B248="","",IF(MONTH(B248)=8,"X",""))</f>
        <v/>
      </c>
      <c r="R248" s="34" t="str">
        <f aca="false">IF(B248="","",IF(MONTH(B248)=9,"X",""))</f>
        <v/>
      </c>
      <c r="S248" s="34" t="str">
        <f aca="false">IF(B248="","",IF(MONTH(B248)=10,"X",""))</f>
        <v/>
      </c>
      <c r="T248" s="34" t="str">
        <f aca="false">IF(B248="","",IF(MONTH(B248)=11,"X",""))</f>
        <v/>
      </c>
      <c r="U248" s="34" t="str">
        <f aca="false">IF(B248="","",IF(MONTH(B248)=12,"X",""))</f>
        <v/>
      </c>
      <c r="V248" s="24" t="str">
        <f aca="false">IF(E248="","",COUNTIF($E$5:$E$1000,E248))</f>
        <v/>
      </c>
      <c r="W248" s="35" t="str">
        <f aca="false">IF(E248="","",_xlfn.TEXTJOIN(" + ",TRUE(),IF(COUNTIFS($E$5:$E$1000,E248,$C$5:$C$1000,"Auditoría Interna")&gt;0,"Interna",""),IF(COUNTIFS($E$5:$E$1000,E248,$C$5:$C$1000,"Auditoría Externa")&gt;0,"Externa",""),IF(COUNTIFS($E$5:$E$1000,E248,$C$5:$C$1000,"SSF")&gt;0,"SSF",""),IF(COUNTIFS($E$5:$E$1000,E248,$C$5:$C$1000,"Comité de Supervisión")&gt;0,"Comité Sup.",""),IF(COUNTIFS($E$5:$E$1000,E248,$C$5:$C$1000,"Consejo de Administración")&gt;0,"Consejo",""),IF(COUNTIFS($E$5:$E$1000,E248,$C$5:$C$1000,"Otros")&gt;0,"Otros","")))</f>
        <v/>
      </c>
      <c r="X248" s="24" t="str">
        <f aca="false">IF(E248="","",COUNTIFS($E$5:$E$1000,E248,$AB$5:$AB$1000,AB248,$C$5:$C$1000,"&lt;&gt;"&amp;C248))</f>
        <v/>
      </c>
      <c r="Y248" s="33"/>
      <c r="Z248" s="31"/>
      <c r="AA248" s="33"/>
      <c r="AB248" s="37" t="str">
        <f aca="false">IF(B248="","",YEAR(B248)*100+MONTH(B248))</f>
        <v/>
      </c>
      <c r="AC248" s="37" t="str">
        <f aca="false">IF(AND(E248&lt;&gt;"",E248=Cruce!$C$5),COUNTIF($E$5:E248,E248),"")</f>
        <v/>
      </c>
      <c r="AD248" s="37" t="str">
        <f aca="false">IF(E248="","",C248&amp;"|"&amp;Y248&amp;"|"&amp;IF(B248="","s/f",TEXT(B248,"yyyymmdd")))</f>
        <v/>
      </c>
      <c r="AE248" s="37" t="n">
        <f aca="false">IF(E248="",0,IF(COUNTIFS($E$5:E248,E248,$AD$5:AD248,AD248)=1,1,0))</f>
        <v>0</v>
      </c>
    </row>
    <row r="249" customFormat="false" ht="15" hidden="false" customHeight="true" outlineLevel="0" collapsed="false">
      <c r="A249" s="31"/>
      <c r="B249" s="30"/>
      <c r="C249" s="31"/>
      <c r="D249" s="31"/>
      <c r="E249" s="32"/>
      <c r="F249" s="32"/>
      <c r="G249" s="33"/>
      <c r="H249" s="31"/>
      <c r="I249" s="24" t="str">
        <f aca="false">IF(B249="","",YEAR(B249))</f>
        <v/>
      </c>
      <c r="J249" s="34" t="str">
        <f aca="false">IF(B249="","",IF(MONTH(B249)=1,"X",""))</f>
        <v/>
      </c>
      <c r="K249" s="34" t="str">
        <f aca="false">IF(B249="","",IF(MONTH(B249)=2,"X",""))</f>
        <v/>
      </c>
      <c r="L249" s="34" t="str">
        <f aca="false">IF(B249="","",IF(MONTH(B249)=3,"X",""))</f>
        <v/>
      </c>
      <c r="M249" s="34" t="str">
        <f aca="false">IF(B249="","",IF(MONTH(B249)=4,"X",""))</f>
        <v/>
      </c>
      <c r="N249" s="34" t="str">
        <f aca="false">IF(B249="","",IF(MONTH(B249)=5,"X",""))</f>
        <v/>
      </c>
      <c r="O249" s="34" t="str">
        <f aca="false">IF(B249="","",IF(MONTH(B249)=6,"X",""))</f>
        <v/>
      </c>
      <c r="P249" s="34" t="str">
        <f aca="false">IF(B249="","",IF(MONTH(B249)=7,"X",""))</f>
        <v/>
      </c>
      <c r="Q249" s="34" t="str">
        <f aca="false">IF(B249="","",IF(MONTH(B249)=8,"X",""))</f>
        <v/>
      </c>
      <c r="R249" s="34" t="str">
        <f aca="false">IF(B249="","",IF(MONTH(B249)=9,"X",""))</f>
        <v/>
      </c>
      <c r="S249" s="34" t="str">
        <f aca="false">IF(B249="","",IF(MONTH(B249)=10,"X",""))</f>
        <v/>
      </c>
      <c r="T249" s="34" t="str">
        <f aca="false">IF(B249="","",IF(MONTH(B249)=11,"X",""))</f>
        <v/>
      </c>
      <c r="U249" s="34" t="str">
        <f aca="false">IF(B249="","",IF(MONTH(B249)=12,"X",""))</f>
        <v/>
      </c>
      <c r="V249" s="24" t="str">
        <f aca="false">IF(E249="","",COUNTIF($E$5:$E$1000,E249))</f>
        <v/>
      </c>
      <c r="W249" s="35" t="str">
        <f aca="false">IF(E249="","",_xlfn.TEXTJOIN(" + ",TRUE(),IF(COUNTIFS($E$5:$E$1000,E249,$C$5:$C$1000,"Auditoría Interna")&gt;0,"Interna",""),IF(COUNTIFS($E$5:$E$1000,E249,$C$5:$C$1000,"Auditoría Externa")&gt;0,"Externa",""),IF(COUNTIFS($E$5:$E$1000,E249,$C$5:$C$1000,"SSF")&gt;0,"SSF",""),IF(COUNTIFS($E$5:$E$1000,E249,$C$5:$C$1000,"Comité de Supervisión")&gt;0,"Comité Sup.",""),IF(COUNTIFS($E$5:$E$1000,E249,$C$5:$C$1000,"Consejo de Administración")&gt;0,"Consejo",""),IF(COUNTIFS($E$5:$E$1000,E249,$C$5:$C$1000,"Otros")&gt;0,"Otros","")))</f>
        <v/>
      </c>
      <c r="X249" s="24" t="str">
        <f aca="false">IF(E249="","",COUNTIFS($E$5:$E$1000,E249,$AB$5:$AB$1000,AB249,$C$5:$C$1000,"&lt;&gt;"&amp;C249))</f>
        <v/>
      </c>
      <c r="Y249" s="33"/>
      <c r="Z249" s="31"/>
      <c r="AA249" s="33"/>
      <c r="AB249" s="37" t="str">
        <f aca="false">IF(B249="","",YEAR(B249)*100+MONTH(B249))</f>
        <v/>
      </c>
      <c r="AC249" s="37" t="str">
        <f aca="false">IF(AND(E249&lt;&gt;"",E249=Cruce!$C$5),COUNTIF($E$5:E249,E249),"")</f>
        <v/>
      </c>
      <c r="AD249" s="37" t="str">
        <f aca="false">IF(E249="","",C249&amp;"|"&amp;Y249&amp;"|"&amp;IF(B249="","s/f",TEXT(B249,"yyyymmdd")))</f>
        <v/>
      </c>
      <c r="AE249" s="37" t="n">
        <f aca="false">IF(E249="",0,IF(COUNTIFS($E$5:E249,E249,$AD$5:AD249,AD249)=1,1,0))</f>
        <v>0</v>
      </c>
    </row>
    <row r="250" customFormat="false" ht="15" hidden="false" customHeight="true" outlineLevel="0" collapsed="false">
      <c r="A250" s="31"/>
      <c r="B250" s="30"/>
      <c r="C250" s="31"/>
      <c r="D250" s="31"/>
      <c r="E250" s="32"/>
      <c r="F250" s="32"/>
      <c r="G250" s="33"/>
      <c r="H250" s="31"/>
      <c r="I250" s="24" t="str">
        <f aca="false">IF(B250="","",YEAR(B250))</f>
        <v/>
      </c>
      <c r="J250" s="34" t="str">
        <f aca="false">IF(B250="","",IF(MONTH(B250)=1,"X",""))</f>
        <v/>
      </c>
      <c r="K250" s="34" t="str">
        <f aca="false">IF(B250="","",IF(MONTH(B250)=2,"X",""))</f>
        <v/>
      </c>
      <c r="L250" s="34" t="str">
        <f aca="false">IF(B250="","",IF(MONTH(B250)=3,"X",""))</f>
        <v/>
      </c>
      <c r="M250" s="34" t="str">
        <f aca="false">IF(B250="","",IF(MONTH(B250)=4,"X",""))</f>
        <v/>
      </c>
      <c r="N250" s="34" t="str">
        <f aca="false">IF(B250="","",IF(MONTH(B250)=5,"X",""))</f>
        <v/>
      </c>
      <c r="O250" s="34" t="str">
        <f aca="false">IF(B250="","",IF(MONTH(B250)=6,"X",""))</f>
        <v/>
      </c>
      <c r="P250" s="34" t="str">
        <f aca="false">IF(B250="","",IF(MONTH(B250)=7,"X",""))</f>
        <v/>
      </c>
      <c r="Q250" s="34" t="str">
        <f aca="false">IF(B250="","",IF(MONTH(B250)=8,"X",""))</f>
        <v/>
      </c>
      <c r="R250" s="34" t="str">
        <f aca="false">IF(B250="","",IF(MONTH(B250)=9,"X",""))</f>
        <v/>
      </c>
      <c r="S250" s="34" t="str">
        <f aca="false">IF(B250="","",IF(MONTH(B250)=10,"X",""))</f>
        <v/>
      </c>
      <c r="T250" s="34" t="str">
        <f aca="false">IF(B250="","",IF(MONTH(B250)=11,"X",""))</f>
        <v/>
      </c>
      <c r="U250" s="34" t="str">
        <f aca="false">IF(B250="","",IF(MONTH(B250)=12,"X",""))</f>
        <v/>
      </c>
      <c r="V250" s="24" t="str">
        <f aca="false">IF(E250="","",COUNTIF($E$5:$E$1000,E250))</f>
        <v/>
      </c>
      <c r="W250" s="35" t="str">
        <f aca="false">IF(E250="","",_xlfn.TEXTJOIN(" + ",TRUE(),IF(COUNTIFS($E$5:$E$1000,E250,$C$5:$C$1000,"Auditoría Interna")&gt;0,"Interna",""),IF(COUNTIFS($E$5:$E$1000,E250,$C$5:$C$1000,"Auditoría Externa")&gt;0,"Externa",""),IF(COUNTIFS($E$5:$E$1000,E250,$C$5:$C$1000,"SSF")&gt;0,"SSF",""),IF(COUNTIFS($E$5:$E$1000,E250,$C$5:$C$1000,"Comité de Supervisión")&gt;0,"Comité Sup.",""),IF(COUNTIFS($E$5:$E$1000,E250,$C$5:$C$1000,"Consejo de Administración")&gt;0,"Consejo",""),IF(COUNTIFS($E$5:$E$1000,E250,$C$5:$C$1000,"Otros")&gt;0,"Otros","")))</f>
        <v/>
      </c>
      <c r="X250" s="24" t="str">
        <f aca="false">IF(E250="","",COUNTIFS($E$5:$E$1000,E250,$AB$5:$AB$1000,AB250,$C$5:$C$1000,"&lt;&gt;"&amp;C250))</f>
        <v/>
      </c>
      <c r="Y250" s="33"/>
      <c r="Z250" s="31"/>
      <c r="AA250" s="33"/>
      <c r="AB250" s="37" t="str">
        <f aca="false">IF(B250="","",YEAR(B250)*100+MONTH(B250))</f>
        <v/>
      </c>
      <c r="AC250" s="37" t="str">
        <f aca="false">IF(AND(E250&lt;&gt;"",E250=Cruce!$C$5),COUNTIF($E$5:E250,E250),"")</f>
        <v/>
      </c>
      <c r="AD250" s="37" t="str">
        <f aca="false">IF(E250="","",C250&amp;"|"&amp;Y250&amp;"|"&amp;IF(B250="","s/f",TEXT(B250,"yyyymmdd")))</f>
        <v/>
      </c>
      <c r="AE250" s="37" t="n">
        <f aca="false">IF(E250="",0,IF(COUNTIFS($E$5:E250,E250,$AD$5:AD250,AD250)=1,1,0))</f>
        <v>0</v>
      </c>
    </row>
    <row r="251" customFormat="false" ht="15" hidden="false" customHeight="true" outlineLevel="0" collapsed="false">
      <c r="A251" s="31"/>
      <c r="B251" s="30"/>
      <c r="C251" s="31"/>
      <c r="D251" s="31"/>
      <c r="E251" s="32"/>
      <c r="F251" s="32"/>
      <c r="G251" s="33"/>
      <c r="H251" s="31"/>
      <c r="I251" s="24" t="str">
        <f aca="false">IF(B251="","",YEAR(B251))</f>
        <v/>
      </c>
      <c r="J251" s="34" t="str">
        <f aca="false">IF(B251="","",IF(MONTH(B251)=1,"X",""))</f>
        <v/>
      </c>
      <c r="K251" s="34" t="str">
        <f aca="false">IF(B251="","",IF(MONTH(B251)=2,"X",""))</f>
        <v/>
      </c>
      <c r="L251" s="34" t="str">
        <f aca="false">IF(B251="","",IF(MONTH(B251)=3,"X",""))</f>
        <v/>
      </c>
      <c r="M251" s="34" t="str">
        <f aca="false">IF(B251="","",IF(MONTH(B251)=4,"X",""))</f>
        <v/>
      </c>
      <c r="N251" s="34" t="str">
        <f aca="false">IF(B251="","",IF(MONTH(B251)=5,"X",""))</f>
        <v/>
      </c>
      <c r="O251" s="34" t="str">
        <f aca="false">IF(B251="","",IF(MONTH(B251)=6,"X",""))</f>
        <v/>
      </c>
      <c r="P251" s="34" t="str">
        <f aca="false">IF(B251="","",IF(MONTH(B251)=7,"X",""))</f>
        <v/>
      </c>
      <c r="Q251" s="34" t="str">
        <f aca="false">IF(B251="","",IF(MONTH(B251)=8,"X",""))</f>
        <v/>
      </c>
      <c r="R251" s="34" t="str">
        <f aca="false">IF(B251="","",IF(MONTH(B251)=9,"X",""))</f>
        <v/>
      </c>
      <c r="S251" s="34" t="str">
        <f aca="false">IF(B251="","",IF(MONTH(B251)=10,"X",""))</f>
        <v/>
      </c>
      <c r="T251" s="34" t="str">
        <f aca="false">IF(B251="","",IF(MONTH(B251)=11,"X",""))</f>
        <v/>
      </c>
      <c r="U251" s="34" t="str">
        <f aca="false">IF(B251="","",IF(MONTH(B251)=12,"X",""))</f>
        <v/>
      </c>
      <c r="V251" s="24" t="str">
        <f aca="false">IF(E251="","",COUNTIF($E$5:$E$1000,E251))</f>
        <v/>
      </c>
      <c r="W251" s="35" t="str">
        <f aca="false">IF(E251="","",_xlfn.TEXTJOIN(" + ",TRUE(),IF(COUNTIFS($E$5:$E$1000,E251,$C$5:$C$1000,"Auditoría Interna")&gt;0,"Interna",""),IF(COUNTIFS($E$5:$E$1000,E251,$C$5:$C$1000,"Auditoría Externa")&gt;0,"Externa",""),IF(COUNTIFS($E$5:$E$1000,E251,$C$5:$C$1000,"SSF")&gt;0,"SSF",""),IF(COUNTIFS($E$5:$E$1000,E251,$C$5:$C$1000,"Comité de Supervisión")&gt;0,"Comité Sup.",""),IF(COUNTIFS($E$5:$E$1000,E251,$C$5:$C$1000,"Consejo de Administración")&gt;0,"Consejo",""),IF(COUNTIFS($E$5:$E$1000,E251,$C$5:$C$1000,"Otros")&gt;0,"Otros","")))</f>
        <v/>
      </c>
      <c r="X251" s="24" t="str">
        <f aca="false">IF(E251="","",COUNTIFS($E$5:$E$1000,E251,$AB$5:$AB$1000,AB251,$C$5:$C$1000,"&lt;&gt;"&amp;C251))</f>
        <v/>
      </c>
      <c r="Y251" s="33"/>
      <c r="Z251" s="31"/>
      <c r="AA251" s="33"/>
      <c r="AB251" s="37" t="str">
        <f aca="false">IF(B251="","",YEAR(B251)*100+MONTH(B251))</f>
        <v/>
      </c>
      <c r="AC251" s="37" t="str">
        <f aca="false">IF(AND(E251&lt;&gt;"",E251=Cruce!$C$5),COUNTIF($E$5:E251,E251),"")</f>
        <v/>
      </c>
      <c r="AD251" s="37" t="str">
        <f aca="false">IF(E251="","",C251&amp;"|"&amp;Y251&amp;"|"&amp;IF(B251="","s/f",TEXT(B251,"yyyymmdd")))</f>
        <v/>
      </c>
      <c r="AE251" s="37" t="n">
        <f aca="false">IF(E251="",0,IF(COUNTIFS($E$5:E251,E251,$AD$5:AD251,AD251)=1,1,0))</f>
        <v>0</v>
      </c>
    </row>
    <row r="252" customFormat="false" ht="15" hidden="false" customHeight="true" outlineLevel="0" collapsed="false">
      <c r="A252" s="31"/>
      <c r="B252" s="30"/>
      <c r="C252" s="31"/>
      <c r="D252" s="31"/>
      <c r="E252" s="32"/>
      <c r="F252" s="32"/>
      <c r="G252" s="33"/>
      <c r="H252" s="31"/>
      <c r="I252" s="24" t="str">
        <f aca="false">IF(B252="","",YEAR(B252))</f>
        <v/>
      </c>
      <c r="J252" s="34" t="str">
        <f aca="false">IF(B252="","",IF(MONTH(B252)=1,"X",""))</f>
        <v/>
      </c>
      <c r="K252" s="34" t="str">
        <f aca="false">IF(B252="","",IF(MONTH(B252)=2,"X",""))</f>
        <v/>
      </c>
      <c r="L252" s="34" t="str">
        <f aca="false">IF(B252="","",IF(MONTH(B252)=3,"X",""))</f>
        <v/>
      </c>
      <c r="M252" s="34" t="str">
        <f aca="false">IF(B252="","",IF(MONTH(B252)=4,"X",""))</f>
        <v/>
      </c>
      <c r="N252" s="34" t="str">
        <f aca="false">IF(B252="","",IF(MONTH(B252)=5,"X",""))</f>
        <v/>
      </c>
      <c r="O252" s="34" t="str">
        <f aca="false">IF(B252="","",IF(MONTH(B252)=6,"X",""))</f>
        <v/>
      </c>
      <c r="P252" s="34" t="str">
        <f aca="false">IF(B252="","",IF(MONTH(B252)=7,"X",""))</f>
        <v/>
      </c>
      <c r="Q252" s="34" t="str">
        <f aca="false">IF(B252="","",IF(MONTH(B252)=8,"X",""))</f>
        <v/>
      </c>
      <c r="R252" s="34" t="str">
        <f aca="false">IF(B252="","",IF(MONTH(B252)=9,"X",""))</f>
        <v/>
      </c>
      <c r="S252" s="34" t="str">
        <f aca="false">IF(B252="","",IF(MONTH(B252)=10,"X",""))</f>
        <v/>
      </c>
      <c r="T252" s="34" t="str">
        <f aca="false">IF(B252="","",IF(MONTH(B252)=11,"X",""))</f>
        <v/>
      </c>
      <c r="U252" s="34" t="str">
        <f aca="false">IF(B252="","",IF(MONTH(B252)=12,"X",""))</f>
        <v/>
      </c>
      <c r="V252" s="24" t="str">
        <f aca="false">IF(E252="","",COUNTIF($E$5:$E$1000,E252))</f>
        <v/>
      </c>
      <c r="W252" s="35" t="str">
        <f aca="false">IF(E252="","",_xlfn.TEXTJOIN(" + ",TRUE(),IF(COUNTIFS($E$5:$E$1000,E252,$C$5:$C$1000,"Auditoría Interna")&gt;0,"Interna",""),IF(COUNTIFS($E$5:$E$1000,E252,$C$5:$C$1000,"Auditoría Externa")&gt;0,"Externa",""),IF(COUNTIFS($E$5:$E$1000,E252,$C$5:$C$1000,"SSF")&gt;0,"SSF",""),IF(COUNTIFS($E$5:$E$1000,E252,$C$5:$C$1000,"Comité de Supervisión")&gt;0,"Comité Sup.",""),IF(COUNTIFS($E$5:$E$1000,E252,$C$5:$C$1000,"Consejo de Administración")&gt;0,"Consejo",""),IF(COUNTIFS($E$5:$E$1000,E252,$C$5:$C$1000,"Otros")&gt;0,"Otros","")))</f>
        <v/>
      </c>
      <c r="X252" s="24" t="str">
        <f aca="false">IF(E252="","",COUNTIFS($E$5:$E$1000,E252,$AB$5:$AB$1000,AB252,$C$5:$C$1000,"&lt;&gt;"&amp;C252))</f>
        <v/>
      </c>
      <c r="Y252" s="33"/>
      <c r="Z252" s="31"/>
      <c r="AA252" s="33"/>
      <c r="AB252" s="37" t="str">
        <f aca="false">IF(B252="","",YEAR(B252)*100+MONTH(B252))</f>
        <v/>
      </c>
      <c r="AC252" s="37" t="str">
        <f aca="false">IF(AND(E252&lt;&gt;"",E252=Cruce!$C$5),COUNTIF($E$5:E252,E252),"")</f>
        <v/>
      </c>
      <c r="AD252" s="37" t="str">
        <f aca="false">IF(E252="","",C252&amp;"|"&amp;Y252&amp;"|"&amp;IF(B252="","s/f",TEXT(B252,"yyyymmdd")))</f>
        <v/>
      </c>
      <c r="AE252" s="37" t="n">
        <f aca="false">IF(E252="",0,IF(COUNTIFS($E$5:E252,E252,$AD$5:AD252,AD252)=1,1,0))</f>
        <v>0</v>
      </c>
    </row>
    <row r="253" customFormat="false" ht="15" hidden="false" customHeight="true" outlineLevel="0" collapsed="false">
      <c r="A253" s="31"/>
      <c r="B253" s="30"/>
      <c r="C253" s="31"/>
      <c r="D253" s="31"/>
      <c r="E253" s="32"/>
      <c r="F253" s="32"/>
      <c r="G253" s="33"/>
      <c r="H253" s="31"/>
      <c r="I253" s="24" t="str">
        <f aca="false">IF(B253="","",YEAR(B253))</f>
        <v/>
      </c>
      <c r="J253" s="34" t="str">
        <f aca="false">IF(B253="","",IF(MONTH(B253)=1,"X",""))</f>
        <v/>
      </c>
      <c r="K253" s="34" t="str">
        <f aca="false">IF(B253="","",IF(MONTH(B253)=2,"X",""))</f>
        <v/>
      </c>
      <c r="L253" s="34" t="str">
        <f aca="false">IF(B253="","",IF(MONTH(B253)=3,"X",""))</f>
        <v/>
      </c>
      <c r="M253" s="34" t="str">
        <f aca="false">IF(B253="","",IF(MONTH(B253)=4,"X",""))</f>
        <v/>
      </c>
      <c r="N253" s="34" t="str">
        <f aca="false">IF(B253="","",IF(MONTH(B253)=5,"X",""))</f>
        <v/>
      </c>
      <c r="O253" s="34" t="str">
        <f aca="false">IF(B253="","",IF(MONTH(B253)=6,"X",""))</f>
        <v/>
      </c>
      <c r="P253" s="34" t="str">
        <f aca="false">IF(B253="","",IF(MONTH(B253)=7,"X",""))</f>
        <v/>
      </c>
      <c r="Q253" s="34" t="str">
        <f aca="false">IF(B253="","",IF(MONTH(B253)=8,"X",""))</f>
        <v/>
      </c>
      <c r="R253" s="34" t="str">
        <f aca="false">IF(B253="","",IF(MONTH(B253)=9,"X",""))</f>
        <v/>
      </c>
      <c r="S253" s="34" t="str">
        <f aca="false">IF(B253="","",IF(MONTH(B253)=10,"X",""))</f>
        <v/>
      </c>
      <c r="T253" s="34" t="str">
        <f aca="false">IF(B253="","",IF(MONTH(B253)=11,"X",""))</f>
        <v/>
      </c>
      <c r="U253" s="34" t="str">
        <f aca="false">IF(B253="","",IF(MONTH(B253)=12,"X",""))</f>
        <v/>
      </c>
      <c r="V253" s="24" t="str">
        <f aca="false">IF(E253="","",COUNTIF($E$5:$E$1000,E253))</f>
        <v/>
      </c>
      <c r="W253" s="35" t="str">
        <f aca="false">IF(E253="","",_xlfn.TEXTJOIN(" + ",TRUE(),IF(COUNTIFS($E$5:$E$1000,E253,$C$5:$C$1000,"Auditoría Interna")&gt;0,"Interna",""),IF(COUNTIFS($E$5:$E$1000,E253,$C$5:$C$1000,"Auditoría Externa")&gt;0,"Externa",""),IF(COUNTIFS($E$5:$E$1000,E253,$C$5:$C$1000,"SSF")&gt;0,"SSF",""),IF(COUNTIFS($E$5:$E$1000,E253,$C$5:$C$1000,"Comité de Supervisión")&gt;0,"Comité Sup.",""),IF(COUNTIFS($E$5:$E$1000,E253,$C$5:$C$1000,"Consejo de Administración")&gt;0,"Consejo",""),IF(COUNTIFS($E$5:$E$1000,E253,$C$5:$C$1000,"Otros")&gt;0,"Otros","")))</f>
        <v/>
      </c>
      <c r="X253" s="24" t="str">
        <f aca="false">IF(E253="","",COUNTIFS($E$5:$E$1000,E253,$AB$5:$AB$1000,AB253,$C$5:$C$1000,"&lt;&gt;"&amp;C253))</f>
        <v/>
      </c>
      <c r="Y253" s="33"/>
      <c r="Z253" s="31"/>
      <c r="AA253" s="33"/>
      <c r="AB253" s="37" t="str">
        <f aca="false">IF(B253="","",YEAR(B253)*100+MONTH(B253))</f>
        <v/>
      </c>
      <c r="AC253" s="37" t="str">
        <f aca="false">IF(AND(E253&lt;&gt;"",E253=Cruce!$C$5),COUNTIF($E$5:E253,E253),"")</f>
        <v/>
      </c>
      <c r="AD253" s="37" t="str">
        <f aca="false">IF(E253="","",C253&amp;"|"&amp;Y253&amp;"|"&amp;IF(B253="","s/f",TEXT(B253,"yyyymmdd")))</f>
        <v/>
      </c>
      <c r="AE253" s="37" t="n">
        <f aca="false">IF(E253="",0,IF(COUNTIFS($E$5:E253,E253,$AD$5:AD253,AD253)=1,1,0))</f>
        <v>0</v>
      </c>
    </row>
    <row r="254" customFormat="false" ht="15" hidden="false" customHeight="true" outlineLevel="0" collapsed="false">
      <c r="A254" s="31"/>
      <c r="B254" s="30"/>
      <c r="C254" s="31"/>
      <c r="D254" s="31"/>
      <c r="E254" s="32"/>
      <c r="F254" s="32"/>
      <c r="G254" s="33"/>
      <c r="H254" s="31"/>
      <c r="I254" s="24" t="str">
        <f aca="false">IF(B254="","",YEAR(B254))</f>
        <v/>
      </c>
      <c r="J254" s="34" t="str">
        <f aca="false">IF(B254="","",IF(MONTH(B254)=1,"X",""))</f>
        <v/>
      </c>
      <c r="K254" s="34" t="str">
        <f aca="false">IF(B254="","",IF(MONTH(B254)=2,"X",""))</f>
        <v/>
      </c>
      <c r="L254" s="34" t="str">
        <f aca="false">IF(B254="","",IF(MONTH(B254)=3,"X",""))</f>
        <v/>
      </c>
      <c r="M254" s="34" t="str">
        <f aca="false">IF(B254="","",IF(MONTH(B254)=4,"X",""))</f>
        <v/>
      </c>
      <c r="N254" s="34" t="str">
        <f aca="false">IF(B254="","",IF(MONTH(B254)=5,"X",""))</f>
        <v/>
      </c>
      <c r="O254" s="34" t="str">
        <f aca="false">IF(B254="","",IF(MONTH(B254)=6,"X",""))</f>
        <v/>
      </c>
      <c r="P254" s="34" t="str">
        <f aca="false">IF(B254="","",IF(MONTH(B254)=7,"X",""))</f>
        <v/>
      </c>
      <c r="Q254" s="34" t="str">
        <f aca="false">IF(B254="","",IF(MONTH(B254)=8,"X",""))</f>
        <v/>
      </c>
      <c r="R254" s="34" t="str">
        <f aca="false">IF(B254="","",IF(MONTH(B254)=9,"X",""))</f>
        <v/>
      </c>
      <c r="S254" s="34" t="str">
        <f aca="false">IF(B254="","",IF(MONTH(B254)=10,"X",""))</f>
        <v/>
      </c>
      <c r="T254" s="34" t="str">
        <f aca="false">IF(B254="","",IF(MONTH(B254)=11,"X",""))</f>
        <v/>
      </c>
      <c r="U254" s="34" t="str">
        <f aca="false">IF(B254="","",IF(MONTH(B254)=12,"X",""))</f>
        <v/>
      </c>
      <c r="V254" s="24" t="str">
        <f aca="false">IF(E254="","",COUNTIF($E$5:$E$1000,E254))</f>
        <v/>
      </c>
      <c r="W254" s="35" t="str">
        <f aca="false">IF(E254="","",_xlfn.TEXTJOIN(" + ",TRUE(),IF(COUNTIFS($E$5:$E$1000,E254,$C$5:$C$1000,"Auditoría Interna")&gt;0,"Interna",""),IF(COUNTIFS($E$5:$E$1000,E254,$C$5:$C$1000,"Auditoría Externa")&gt;0,"Externa",""),IF(COUNTIFS($E$5:$E$1000,E254,$C$5:$C$1000,"SSF")&gt;0,"SSF",""),IF(COUNTIFS($E$5:$E$1000,E254,$C$5:$C$1000,"Comité de Supervisión")&gt;0,"Comité Sup.",""),IF(COUNTIFS($E$5:$E$1000,E254,$C$5:$C$1000,"Consejo de Administración")&gt;0,"Consejo",""),IF(COUNTIFS($E$5:$E$1000,E254,$C$5:$C$1000,"Otros")&gt;0,"Otros","")))</f>
        <v/>
      </c>
      <c r="X254" s="24" t="str">
        <f aca="false">IF(E254="","",COUNTIFS($E$5:$E$1000,E254,$AB$5:$AB$1000,AB254,$C$5:$C$1000,"&lt;&gt;"&amp;C254))</f>
        <v/>
      </c>
      <c r="Y254" s="33"/>
      <c r="Z254" s="31"/>
      <c r="AA254" s="33"/>
      <c r="AB254" s="37" t="str">
        <f aca="false">IF(B254="","",YEAR(B254)*100+MONTH(B254))</f>
        <v/>
      </c>
      <c r="AC254" s="37" t="str">
        <f aca="false">IF(AND(E254&lt;&gt;"",E254=Cruce!$C$5),COUNTIF($E$5:E254,E254),"")</f>
        <v/>
      </c>
      <c r="AD254" s="37" t="str">
        <f aca="false">IF(E254="","",C254&amp;"|"&amp;Y254&amp;"|"&amp;IF(B254="","s/f",TEXT(B254,"yyyymmdd")))</f>
        <v/>
      </c>
      <c r="AE254" s="37" t="n">
        <f aca="false">IF(E254="",0,IF(COUNTIFS($E$5:E254,E254,$AD$5:AD254,AD254)=1,1,0))</f>
        <v>0</v>
      </c>
    </row>
    <row r="255" customFormat="false" ht="15" hidden="false" customHeight="true" outlineLevel="0" collapsed="false">
      <c r="A255" s="31"/>
      <c r="B255" s="30"/>
      <c r="C255" s="31"/>
      <c r="D255" s="31"/>
      <c r="E255" s="32"/>
      <c r="F255" s="32"/>
      <c r="G255" s="33"/>
      <c r="H255" s="31"/>
      <c r="I255" s="24" t="str">
        <f aca="false">IF(B255="","",YEAR(B255))</f>
        <v/>
      </c>
      <c r="J255" s="34" t="str">
        <f aca="false">IF(B255="","",IF(MONTH(B255)=1,"X",""))</f>
        <v/>
      </c>
      <c r="K255" s="34" t="str">
        <f aca="false">IF(B255="","",IF(MONTH(B255)=2,"X",""))</f>
        <v/>
      </c>
      <c r="L255" s="34" t="str">
        <f aca="false">IF(B255="","",IF(MONTH(B255)=3,"X",""))</f>
        <v/>
      </c>
      <c r="M255" s="34" t="str">
        <f aca="false">IF(B255="","",IF(MONTH(B255)=4,"X",""))</f>
        <v/>
      </c>
      <c r="N255" s="34" t="str">
        <f aca="false">IF(B255="","",IF(MONTH(B255)=5,"X",""))</f>
        <v/>
      </c>
      <c r="O255" s="34" t="str">
        <f aca="false">IF(B255="","",IF(MONTH(B255)=6,"X",""))</f>
        <v/>
      </c>
      <c r="P255" s="34" t="str">
        <f aca="false">IF(B255="","",IF(MONTH(B255)=7,"X",""))</f>
        <v/>
      </c>
      <c r="Q255" s="34" t="str">
        <f aca="false">IF(B255="","",IF(MONTH(B255)=8,"X",""))</f>
        <v/>
      </c>
      <c r="R255" s="34" t="str">
        <f aca="false">IF(B255="","",IF(MONTH(B255)=9,"X",""))</f>
        <v/>
      </c>
      <c r="S255" s="34" t="str">
        <f aca="false">IF(B255="","",IF(MONTH(B255)=10,"X",""))</f>
        <v/>
      </c>
      <c r="T255" s="34" t="str">
        <f aca="false">IF(B255="","",IF(MONTH(B255)=11,"X",""))</f>
        <v/>
      </c>
      <c r="U255" s="34" t="str">
        <f aca="false">IF(B255="","",IF(MONTH(B255)=12,"X",""))</f>
        <v/>
      </c>
      <c r="V255" s="24" t="str">
        <f aca="false">IF(E255="","",COUNTIF($E$5:$E$1000,E255))</f>
        <v/>
      </c>
      <c r="W255" s="35" t="str">
        <f aca="false">IF(E255="","",_xlfn.TEXTJOIN(" + ",TRUE(),IF(COUNTIFS($E$5:$E$1000,E255,$C$5:$C$1000,"Auditoría Interna")&gt;0,"Interna",""),IF(COUNTIFS($E$5:$E$1000,E255,$C$5:$C$1000,"Auditoría Externa")&gt;0,"Externa",""),IF(COUNTIFS($E$5:$E$1000,E255,$C$5:$C$1000,"SSF")&gt;0,"SSF",""),IF(COUNTIFS($E$5:$E$1000,E255,$C$5:$C$1000,"Comité de Supervisión")&gt;0,"Comité Sup.",""),IF(COUNTIFS($E$5:$E$1000,E255,$C$5:$C$1000,"Consejo de Administración")&gt;0,"Consejo",""),IF(COUNTIFS($E$5:$E$1000,E255,$C$5:$C$1000,"Otros")&gt;0,"Otros","")))</f>
        <v/>
      </c>
      <c r="X255" s="24" t="str">
        <f aca="false">IF(E255="","",COUNTIFS($E$5:$E$1000,E255,$AB$5:$AB$1000,AB255,$C$5:$C$1000,"&lt;&gt;"&amp;C255))</f>
        <v/>
      </c>
      <c r="Y255" s="33"/>
      <c r="Z255" s="31"/>
      <c r="AA255" s="33"/>
      <c r="AB255" s="37" t="str">
        <f aca="false">IF(B255="","",YEAR(B255)*100+MONTH(B255))</f>
        <v/>
      </c>
      <c r="AC255" s="37" t="str">
        <f aca="false">IF(AND(E255&lt;&gt;"",E255=Cruce!$C$5),COUNTIF($E$5:E255,E255),"")</f>
        <v/>
      </c>
      <c r="AD255" s="37" t="str">
        <f aca="false">IF(E255="","",C255&amp;"|"&amp;Y255&amp;"|"&amp;IF(B255="","s/f",TEXT(B255,"yyyymmdd")))</f>
        <v/>
      </c>
      <c r="AE255" s="37" t="n">
        <f aca="false">IF(E255="",0,IF(COUNTIFS($E$5:E255,E255,$AD$5:AD255,AD255)=1,1,0))</f>
        <v>0</v>
      </c>
    </row>
    <row r="256" customFormat="false" ht="15" hidden="false" customHeight="true" outlineLevel="0" collapsed="false">
      <c r="A256" s="31"/>
      <c r="B256" s="30"/>
      <c r="C256" s="31"/>
      <c r="D256" s="31"/>
      <c r="E256" s="32"/>
      <c r="F256" s="32"/>
      <c r="G256" s="33"/>
      <c r="H256" s="31"/>
      <c r="I256" s="24" t="str">
        <f aca="false">IF(B256="","",YEAR(B256))</f>
        <v/>
      </c>
      <c r="J256" s="34" t="str">
        <f aca="false">IF(B256="","",IF(MONTH(B256)=1,"X",""))</f>
        <v/>
      </c>
      <c r="K256" s="34" t="str">
        <f aca="false">IF(B256="","",IF(MONTH(B256)=2,"X",""))</f>
        <v/>
      </c>
      <c r="L256" s="34" t="str">
        <f aca="false">IF(B256="","",IF(MONTH(B256)=3,"X",""))</f>
        <v/>
      </c>
      <c r="M256" s="34" t="str">
        <f aca="false">IF(B256="","",IF(MONTH(B256)=4,"X",""))</f>
        <v/>
      </c>
      <c r="N256" s="34" t="str">
        <f aca="false">IF(B256="","",IF(MONTH(B256)=5,"X",""))</f>
        <v/>
      </c>
      <c r="O256" s="34" t="str">
        <f aca="false">IF(B256="","",IF(MONTH(B256)=6,"X",""))</f>
        <v/>
      </c>
      <c r="P256" s="34" t="str">
        <f aca="false">IF(B256="","",IF(MONTH(B256)=7,"X",""))</f>
        <v/>
      </c>
      <c r="Q256" s="34" t="str">
        <f aca="false">IF(B256="","",IF(MONTH(B256)=8,"X",""))</f>
        <v/>
      </c>
      <c r="R256" s="34" t="str">
        <f aca="false">IF(B256="","",IF(MONTH(B256)=9,"X",""))</f>
        <v/>
      </c>
      <c r="S256" s="34" t="str">
        <f aca="false">IF(B256="","",IF(MONTH(B256)=10,"X",""))</f>
        <v/>
      </c>
      <c r="T256" s="34" t="str">
        <f aca="false">IF(B256="","",IF(MONTH(B256)=11,"X",""))</f>
        <v/>
      </c>
      <c r="U256" s="34" t="str">
        <f aca="false">IF(B256="","",IF(MONTH(B256)=12,"X",""))</f>
        <v/>
      </c>
      <c r="V256" s="24" t="str">
        <f aca="false">IF(E256="","",COUNTIF($E$5:$E$1000,E256))</f>
        <v/>
      </c>
      <c r="W256" s="35" t="str">
        <f aca="false">IF(E256="","",_xlfn.TEXTJOIN(" + ",TRUE(),IF(COUNTIFS($E$5:$E$1000,E256,$C$5:$C$1000,"Auditoría Interna")&gt;0,"Interna",""),IF(COUNTIFS($E$5:$E$1000,E256,$C$5:$C$1000,"Auditoría Externa")&gt;0,"Externa",""),IF(COUNTIFS($E$5:$E$1000,E256,$C$5:$C$1000,"SSF")&gt;0,"SSF",""),IF(COUNTIFS($E$5:$E$1000,E256,$C$5:$C$1000,"Comité de Supervisión")&gt;0,"Comité Sup.",""),IF(COUNTIFS($E$5:$E$1000,E256,$C$5:$C$1000,"Consejo de Administración")&gt;0,"Consejo",""),IF(COUNTIFS($E$5:$E$1000,E256,$C$5:$C$1000,"Otros")&gt;0,"Otros","")))</f>
        <v/>
      </c>
      <c r="X256" s="24" t="str">
        <f aca="false">IF(E256="","",COUNTIFS($E$5:$E$1000,E256,$AB$5:$AB$1000,AB256,$C$5:$C$1000,"&lt;&gt;"&amp;C256))</f>
        <v/>
      </c>
      <c r="Y256" s="33"/>
      <c r="Z256" s="31"/>
      <c r="AA256" s="33"/>
      <c r="AB256" s="37" t="str">
        <f aca="false">IF(B256="","",YEAR(B256)*100+MONTH(B256))</f>
        <v/>
      </c>
      <c r="AC256" s="37" t="str">
        <f aca="false">IF(AND(E256&lt;&gt;"",E256=Cruce!$C$5),COUNTIF($E$5:E256,E256),"")</f>
        <v/>
      </c>
      <c r="AD256" s="37" t="str">
        <f aca="false">IF(E256="","",C256&amp;"|"&amp;Y256&amp;"|"&amp;IF(B256="","s/f",TEXT(B256,"yyyymmdd")))</f>
        <v/>
      </c>
      <c r="AE256" s="37" t="n">
        <f aca="false">IF(E256="",0,IF(COUNTIFS($E$5:E256,E256,$AD$5:AD256,AD256)=1,1,0))</f>
        <v>0</v>
      </c>
    </row>
    <row r="257" customFormat="false" ht="15" hidden="false" customHeight="true" outlineLevel="0" collapsed="false">
      <c r="A257" s="31"/>
      <c r="B257" s="30"/>
      <c r="C257" s="31"/>
      <c r="D257" s="31"/>
      <c r="E257" s="32"/>
      <c r="F257" s="32"/>
      <c r="G257" s="33"/>
      <c r="H257" s="31"/>
      <c r="I257" s="24" t="str">
        <f aca="false">IF(B257="","",YEAR(B257))</f>
        <v/>
      </c>
      <c r="J257" s="34" t="str">
        <f aca="false">IF(B257="","",IF(MONTH(B257)=1,"X",""))</f>
        <v/>
      </c>
      <c r="K257" s="34" t="str">
        <f aca="false">IF(B257="","",IF(MONTH(B257)=2,"X",""))</f>
        <v/>
      </c>
      <c r="L257" s="34" t="str">
        <f aca="false">IF(B257="","",IF(MONTH(B257)=3,"X",""))</f>
        <v/>
      </c>
      <c r="M257" s="34" t="str">
        <f aca="false">IF(B257="","",IF(MONTH(B257)=4,"X",""))</f>
        <v/>
      </c>
      <c r="N257" s="34" t="str">
        <f aca="false">IF(B257="","",IF(MONTH(B257)=5,"X",""))</f>
        <v/>
      </c>
      <c r="O257" s="34" t="str">
        <f aca="false">IF(B257="","",IF(MONTH(B257)=6,"X",""))</f>
        <v/>
      </c>
      <c r="P257" s="34" t="str">
        <f aca="false">IF(B257="","",IF(MONTH(B257)=7,"X",""))</f>
        <v/>
      </c>
      <c r="Q257" s="34" t="str">
        <f aca="false">IF(B257="","",IF(MONTH(B257)=8,"X",""))</f>
        <v/>
      </c>
      <c r="R257" s="34" t="str">
        <f aca="false">IF(B257="","",IF(MONTH(B257)=9,"X",""))</f>
        <v/>
      </c>
      <c r="S257" s="34" t="str">
        <f aca="false">IF(B257="","",IF(MONTH(B257)=10,"X",""))</f>
        <v/>
      </c>
      <c r="T257" s="34" t="str">
        <f aca="false">IF(B257="","",IF(MONTH(B257)=11,"X",""))</f>
        <v/>
      </c>
      <c r="U257" s="34" t="str">
        <f aca="false">IF(B257="","",IF(MONTH(B257)=12,"X",""))</f>
        <v/>
      </c>
      <c r="V257" s="24" t="str">
        <f aca="false">IF(E257="","",COUNTIF($E$5:$E$1000,E257))</f>
        <v/>
      </c>
      <c r="W257" s="35" t="str">
        <f aca="false">IF(E257="","",_xlfn.TEXTJOIN(" + ",TRUE(),IF(COUNTIFS($E$5:$E$1000,E257,$C$5:$C$1000,"Auditoría Interna")&gt;0,"Interna",""),IF(COUNTIFS($E$5:$E$1000,E257,$C$5:$C$1000,"Auditoría Externa")&gt;0,"Externa",""),IF(COUNTIFS($E$5:$E$1000,E257,$C$5:$C$1000,"SSF")&gt;0,"SSF",""),IF(COUNTIFS($E$5:$E$1000,E257,$C$5:$C$1000,"Comité de Supervisión")&gt;0,"Comité Sup.",""),IF(COUNTIFS($E$5:$E$1000,E257,$C$5:$C$1000,"Consejo de Administración")&gt;0,"Consejo",""),IF(COUNTIFS($E$5:$E$1000,E257,$C$5:$C$1000,"Otros")&gt;0,"Otros","")))</f>
        <v/>
      </c>
      <c r="X257" s="24" t="str">
        <f aca="false">IF(E257="","",COUNTIFS($E$5:$E$1000,E257,$AB$5:$AB$1000,AB257,$C$5:$C$1000,"&lt;&gt;"&amp;C257))</f>
        <v/>
      </c>
      <c r="Y257" s="33"/>
      <c r="Z257" s="31"/>
      <c r="AA257" s="33"/>
      <c r="AB257" s="37" t="str">
        <f aca="false">IF(B257="","",YEAR(B257)*100+MONTH(B257))</f>
        <v/>
      </c>
      <c r="AC257" s="37" t="str">
        <f aca="false">IF(AND(E257&lt;&gt;"",E257=Cruce!$C$5),COUNTIF($E$5:E257,E257),"")</f>
        <v/>
      </c>
      <c r="AD257" s="37" t="str">
        <f aca="false">IF(E257="","",C257&amp;"|"&amp;Y257&amp;"|"&amp;IF(B257="","s/f",TEXT(B257,"yyyymmdd")))</f>
        <v/>
      </c>
      <c r="AE257" s="37" t="n">
        <f aca="false">IF(E257="",0,IF(COUNTIFS($E$5:E257,E257,$AD$5:AD257,AD257)=1,1,0))</f>
        <v>0</v>
      </c>
    </row>
    <row r="258" customFormat="false" ht="15" hidden="false" customHeight="true" outlineLevel="0" collapsed="false">
      <c r="A258" s="31"/>
      <c r="B258" s="30"/>
      <c r="C258" s="31"/>
      <c r="D258" s="31"/>
      <c r="E258" s="32"/>
      <c r="F258" s="32"/>
      <c r="G258" s="33"/>
      <c r="H258" s="31"/>
      <c r="I258" s="24" t="str">
        <f aca="false">IF(B258="","",YEAR(B258))</f>
        <v/>
      </c>
      <c r="J258" s="34" t="str">
        <f aca="false">IF(B258="","",IF(MONTH(B258)=1,"X",""))</f>
        <v/>
      </c>
      <c r="K258" s="34" t="str">
        <f aca="false">IF(B258="","",IF(MONTH(B258)=2,"X",""))</f>
        <v/>
      </c>
      <c r="L258" s="34" t="str">
        <f aca="false">IF(B258="","",IF(MONTH(B258)=3,"X",""))</f>
        <v/>
      </c>
      <c r="M258" s="34" t="str">
        <f aca="false">IF(B258="","",IF(MONTH(B258)=4,"X",""))</f>
        <v/>
      </c>
      <c r="N258" s="34" t="str">
        <f aca="false">IF(B258="","",IF(MONTH(B258)=5,"X",""))</f>
        <v/>
      </c>
      <c r="O258" s="34" t="str">
        <f aca="false">IF(B258="","",IF(MONTH(B258)=6,"X",""))</f>
        <v/>
      </c>
      <c r="P258" s="34" t="str">
        <f aca="false">IF(B258="","",IF(MONTH(B258)=7,"X",""))</f>
        <v/>
      </c>
      <c r="Q258" s="34" t="str">
        <f aca="false">IF(B258="","",IF(MONTH(B258)=8,"X",""))</f>
        <v/>
      </c>
      <c r="R258" s="34" t="str">
        <f aca="false">IF(B258="","",IF(MONTH(B258)=9,"X",""))</f>
        <v/>
      </c>
      <c r="S258" s="34" t="str">
        <f aca="false">IF(B258="","",IF(MONTH(B258)=10,"X",""))</f>
        <v/>
      </c>
      <c r="T258" s="34" t="str">
        <f aca="false">IF(B258="","",IF(MONTH(B258)=11,"X",""))</f>
        <v/>
      </c>
      <c r="U258" s="34" t="str">
        <f aca="false">IF(B258="","",IF(MONTH(B258)=12,"X",""))</f>
        <v/>
      </c>
      <c r="V258" s="24" t="str">
        <f aca="false">IF(E258="","",COUNTIF($E$5:$E$1000,E258))</f>
        <v/>
      </c>
      <c r="W258" s="35" t="str">
        <f aca="false">IF(E258="","",_xlfn.TEXTJOIN(" + ",TRUE(),IF(COUNTIFS($E$5:$E$1000,E258,$C$5:$C$1000,"Auditoría Interna")&gt;0,"Interna",""),IF(COUNTIFS($E$5:$E$1000,E258,$C$5:$C$1000,"Auditoría Externa")&gt;0,"Externa",""),IF(COUNTIFS($E$5:$E$1000,E258,$C$5:$C$1000,"SSF")&gt;0,"SSF",""),IF(COUNTIFS($E$5:$E$1000,E258,$C$5:$C$1000,"Comité de Supervisión")&gt;0,"Comité Sup.",""),IF(COUNTIFS($E$5:$E$1000,E258,$C$5:$C$1000,"Consejo de Administración")&gt;0,"Consejo",""),IF(COUNTIFS($E$5:$E$1000,E258,$C$5:$C$1000,"Otros")&gt;0,"Otros","")))</f>
        <v/>
      </c>
      <c r="X258" s="24" t="str">
        <f aca="false">IF(E258="","",COUNTIFS($E$5:$E$1000,E258,$AB$5:$AB$1000,AB258,$C$5:$C$1000,"&lt;&gt;"&amp;C258))</f>
        <v/>
      </c>
      <c r="Y258" s="33"/>
      <c r="Z258" s="31"/>
      <c r="AA258" s="33"/>
      <c r="AB258" s="37" t="str">
        <f aca="false">IF(B258="","",YEAR(B258)*100+MONTH(B258))</f>
        <v/>
      </c>
      <c r="AC258" s="37" t="str">
        <f aca="false">IF(AND(E258&lt;&gt;"",E258=Cruce!$C$5),COUNTIF($E$5:E258,E258),"")</f>
        <v/>
      </c>
      <c r="AD258" s="37" t="str">
        <f aca="false">IF(E258="","",C258&amp;"|"&amp;Y258&amp;"|"&amp;IF(B258="","s/f",TEXT(B258,"yyyymmdd")))</f>
        <v/>
      </c>
      <c r="AE258" s="37" t="n">
        <f aca="false">IF(E258="",0,IF(COUNTIFS($E$5:E258,E258,$AD$5:AD258,AD258)=1,1,0))</f>
        <v>0</v>
      </c>
    </row>
    <row r="259" customFormat="false" ht="15" hidden="false" customHeight="true" outlineLevel="0" collapsed="false">
      <c r="A259" s="31"/>
      <c r="B259" s="30"/>
      <c r="C259" s="31"/>
      <c r="D259" s="31"/>
      <c r="E259" s="32"/>
      <c r="F259" s="32"/>
      <c r="G259" s="33"/>
      <c r="H259" s="31"/>
      <c r="I259" s="24" t="str">
        <f aca="false">IF(B259="","",YEAR(B259))</f>
        <v/>
      </c>
      <c r="J259" s="34" t="str">
        <f aca="false">IF(B259="","",IF(MONTH(B259)=1,"X",""))</f>
        <v/>
      </c>
      <c r="K259" s="34" t="str">
        <f aca="false">IF(B259="","",IF(MONTH(B259)=2,"X",""))</f>
        <v/>
      </c>
      <c r="L259" s="34" t="str">
        <f aca="false">IF(B259="","",IF(MONTH(B259)=3,"X",""))</f>
        <v/>
      </c>
      <c r="M259" s="34" t="str">
        <f aca="false">IF(B259="","",IF(MONTH(B259)=4,"X",""))</f>
        <v/>
      </c>
      <c r="N259" s="34" t="str">
        <f aca="false">IF(B259="","",IF(MONTH(B259)=5,"X",""))</f>
        <v/>
      </c>
      <c r="O259" s="34" t="str">
        <f aca="false">IF(B259="","",IF(MONTH(B259)=6,"X",""))</f>
        <v/>
      </c>
      <c r="P259" s="34" t="str">
        <f aca="false">IF(B259="","",IF(MONTH(B259)=7,"X",""))</f>
        <v/>
      </c>
      <c r="Q259" s="34" t="str">
        <f aca="false">IF(B259="","",IF(MONTH(B259)=8,"X",""))</f>
        <v/>
      </c>
      <c r="R259" s="34" t="str">
        <f aca="false">IF(B259="","",IF(MONTH(B259)=9,"X",""))</f>
        <v/>
      </c>
      <c r="S259" s="34" t="str">
        <f aca="false">IF(B259="","",IF(MONTH(B259)=10,"X",""))</f>
        <v/>
      </c>
      <c r="T259" s="34" t="str">
        <f aca="false">IF(B259="","",IF(MONTH(B259)=11,"X",""))</f>
        <v/>
      </c>
      <c r="U259" s="34" t="str">
        <f aca="false">IF(B259="","",IF(MONTH(B259)=12,"X",""))</f>
        <v/>
      </c>
      <c r="V259" s="24" t="str">
        <f aca="false">IF(E259="","",COUNTIF($E$5:$E$1000,E259))</f>
        <v/>
      </c>
      <c r="W259" s="35" t="str">
        <f aca="false">IF(E259="","",_xlfn.TEXTJOIN(" + ",TRUE(),IF(COUNTIFS($E$5:$E$1000,E259,$C$5:$C$1000,"Auditoría Interna")&gt;0,"Interna",""),IF(COUNTIFS($E$5:$E$1000,E259,$C$5:$C$1000,"Auditoría Externa")&gt;0,"Externa",""),IF(COUNTIFS($E$5:$E$1000,E259,$C$5:$C$1000,"SSF")&gt;0,"SSF",""),IF(COUNTIFS($E$5:$E$1000,E259,$C$5:$C$1000,"Comité de Supervisión")&gt;0,"Comité Sup.",""),IF(COUNTIFS($E$5:$E$1000,E259,$C$5:$C$1000,"Consejo de Administración")&gt;0,"Consejo",""),IF(COUNTIFS($E$5:$E$1000,E259,$C$5:$C$1000,"Otros")&gt;0,"Otros","")))</f>
        <v/>
      </c>
      <c r="X259" s="24" t="str">
        <f aca="false">IF(E259="","",COUNTIFS($E$5:$E$1000,E259,$AB$5:$AB$1000,AB259,$C$5:$C$1000,"&lt;&gt;"&amp;C259))</f>
        <v/>
      </c>
      <c r="Y259" s="33"/>
      <c r="Z259" s="31"/>
      <c r="AA259" s="33"/>
      <c r="AB259" s="37" t="str">
        <f aca="false">IF(B259="","",YEAR(B259)*100+MONTH(B259))</f>
        <v/>
      </c>
      <c r="AC259" s="37" t="str">
        <f aca="false">IF(AND(E259&lt;&gt;"",E259=Cruce!$C$5),COUNTIF($E$5:E259,E259),"")</f>
        <v/>
      </c>
      <c r="AD259" s="37" t="str">
        <f aca="false">IF(E259="","",C259&amp;"|"&amp;Y259&amp;"|"&amp;IF(B259="","s/f",TEXT(B259,"yyyymmdd")))</f>
        <v/>
      </c>
      <c r="AE259" s="37" t="n">
        <f aca="false">IF(E259="",0,IF(COUNTIFS($E$5:E259,E259,$AD$5:AD259,AD259)=1,1,0))</f>
        <v>0</v>
      </c>
    </row>
    <row r="260" customFormat="false" ht="15" hidden="false" customHeight="true" outlineLevel="0" collapsed="false">
      <c r="A260" s="31"/>
      <c r="B260" s="30"/>
      <c r="C260" s="31"/>
      <c r="D260" s="31"/>
      <c r="E260" s="32"/>
      <c r="F260" s="32"/>
      <c r="G260" s="33"/>
      <c r="H260" s="31"/>
      <c r="I260" s="24" t="str">
        <f aca="false">IF(B260="","",YEAR(B260))</f>
        <v/>
      </c>
      <c r="J260" s="34" t="str">
        <f aca="false">IF(B260="","",IF(MONTH(B260)=1,"X",""))</f>
        <v/>
      </c>
      <c r="K260" s="34" t="str">
        <f aca="false">IF(B260="","",IF(MONTH(B260)=2,"X",""))</f>
        <v/>
      </c>
      <c r="L260" s="34" t="str">
        <f aca="false">IF(B260="","",IF(MONTH(B260)=3,"X",""))</f>
        <v/>
      </c>
      <c r="M260" s="34" t="str">
        <f aca="false">IF(B260="","",IF(MONTH(B260)=4,"X",""))</f>
        <v/>
      </c>
      <c r="N260" s="34" t="str">
        <f aca="false">IF(B260="","",IF(MONTH(B260)=5,"X",""))</f>
        <v/>
      </c>
      <c r="O260" s="34" t="str">
        <f aca="false">IF(B260="","",IF(MONTH(B260)=6,"X",""))</f>
        <v/>
      </c>
      <c r="P260" s="34" t="str">
        <f aca="false">IF(B260="","",IF(MONTH(B260)=7,"X",""))</f>
        <v/>
      </c>
      <c r="Q260" s="34" t="str">
        <f aca="false">IF(B260="","",IF(MONTH(B260)=8,"X",""))</f>
        <v/>
      </c>
      <c r="R260" s="34" t="str">
        <f aca="false">IF(B260="","",IF(MONTH(B260)=9,"X",""))</f>
        <v/>
      </c>
      <c r="S260" s="34" t="str">
        <f aca="false">IF(B260="","",IF(MONTH(B260)=10,"X",""))</f>
        <v/>
      </c>
      <c r="T260" s="34" t="str">
        <f aca="false">IF(B260="","",IF(MONTH(B260)=11,"X",""))</f>
        <v/>
      </c>
      <c r="U260" s="34" t="str">
        <f aca="false">IF(B260="","",IF(MONTH(B260)=12,"X",""))</f>
        <v/>
      </c>
      <c r="V260" s="24" t="str">
        <f aca="false">IF(E260="","",COUNTIF($E$5:$E$1000,E260))</f>
        <v/>
      </c>
      <c r="W260" s="35" t="str">
        <f aca="false">IF(E260="","",_xlfn.TEXTJOIN(" + ",TRUE(),IF(COUNTIFS($E$5:$E$1000,E260,$C$5:$C$1000,"Auditoría Interna")&gt;0,"Interna",""),IF(COUNTIFS($E$5:$E$1000,E260,$C$5:$C$1000,"Auditoría Externa")&gt;0,"Externa",""),IF(COUNTIFS($E$5:$E$1000,E260,$C$5:$C$1000,"SSF")&gt;0,"SSF",""),IF(COUNTIFS($E$5:$E$1000,E260,$C$5:$C$1000,"Comité de Supervisión")&gt;0,"Comité Sup.",""),IF(COUNTIFS($E$5:$E$1000,E260,$C$5:$C$1000,"Consejo de Administración")&gt;0,"Consejo",""),IF(COUNTIFS($E$5:$E$1000,E260,$C$5:$C$1000,"Otros")&gt;0,"Otros","")))</f>
        <v/>
      </c>
      <c r="X260" s="24" t="str">
        <f aca="false">IF(E260="","",COUNTIFS($E$5:$E$1000,E260,$AB$5:$AB$1000,AB260,$C$5:$C$1000,"&lt;&gt;"&amp;C260))</f>
        <v/>
      </c>
      <c r="Y260" s="33"/>
      <c r="Z260" s="31"/>
      <c r="AA260" s="33"/>
      <c r="AB260" s="37" t="str">
        <f aca="false">IF(B260="","",YEAR(B260)*100+MONTH(B260))</f>
        <v/>
      </c>
      <c r="AC260" s="37" t="str">
        <f aca="false">IF(AND(E260&lt;&gt;"",E260=Cruce!$C$5),COUNTIF($E$5:E260,E260),"")</f>
        <v/>
      </c>
      <c r="AD260" s="37" t="str">
        <f aca="false">IF(E260="","",C260&amp;"|"&amp;Y260&amp;"|"&amp;IF(B260="","s/f",TEXT(B260,"yyyymmdd")))</f>
        <v/>
      </c>
      <c r="AE260" s="37" t="n">
        <f aca="false">IF(E260="",0,IF(COUNTIFS($E$5:E260,E260,$AD$5:AD260,AD260)=1,1,0))</f>
        <v>0</v>
      </c>
    </row>
    <row r="261" customFormat="false" ht="15" hidden="false" customHeight="true" outlineLevel="0" collapsed="false">
      <c r="A261" s="31"/>
      <c r="B261" s="30"/>
      <c r="C261" s="31"/>
      <c r="D261" s="31"/>
      <c r="E261" s="32"/>
      <c r="F261" s="32"/>
      <c r="G261" s="33"/>
      <c r="H261" s="31"/>
      <c r="I261" s="24" t="str">
        <f aca="false">IF(B261="","",YEAR(B261))</f>
        <v/>
      </c>
      <c r="J261" s="34" t="str">
        <f aca="false">IF(B261="","",IF(MONTH(B261)=1,"X",""))</f>
        <v/>
      </c>
      <c r="K261" s="34" t="str">
        <f aca="false">IF(B261="","",IF(MONTH(B261)=2,"X",""))</f>
        <v/>
      </c>
      <c r="L261" s="34" t="str">
        <f aca="false">IF(B261="","",IF(MONTH(B261)=3,"X",""))</f>
        <v/>
      </c>
      <c r="M261" s="34" t="str">
        <f aca="false">IF(B261="","",IF(MONTH(B261)=4,"X",""))</f>
        <v/>
      </c>
      <c r="N261" s="34" t="str">
        <f aca="false">IF(B261="","",IF(MONTH(B261)=5,"X",""))</f>
        <v/>
      </c>
      <c r="O261" s="34" t="str">
        <f aca="false">IF(B261="","",IF(MONTH(B261)=6,"X",""))</f>
        <v/>
      </c>
      <c r="P261" s="34" t="str">
        <f aca="false">IF(B261="","",IF(MONTH(B261)=7,"X",""))</f>
        <v/>
      </c>
      <c r="Q261" s="34" t="str">
        <f aca="false">IF(B261="","",IF(MONTH(B261)=8,"X",""))</f>
        <v/>
      </c>
      <c r="R261" s="34" t="str">
        <f aca="false">IF(B261="","",IF(MONTH(B261)=9,"X",""))</f>
        <v/>
      </c>
      <c r="S261" s="34" t="str">
        <f aca="false">IF(B261="","",IF(MONTH(B261)=10,"X",""))</f>
        <v/>
      </c>
      <c r="T261" s="34" t="str">
        <f aca="false">IF(B261="","",IF(MONTH(B261)=11,"X",""))</f>
        <v/>
      </c>
      <c r="U261" s="34" t="str">
        <f aca="false">IF(B261="","",IF(MONTH(B261)=12,"X",""))</f>
        <v/>
      </c>
      <c r="V261" s="24" t="str">
        <f aca="false">IF(E261="","",COUNTIF($E$5:$E$1000,E261))</f>
        <v/>
      </c>
      <c r="W261" s="35" t="str">
        <f aca="false">IF(E261="","",_xlfn.TEXTJOIN(" + ",TRUE(),IF(COUNTIFS($E$5:$E$1000,E261,$C$5:$C$1000,"Auditoría Interna")&gt;0,"Interna",""),IF(COUNTIFS($E$5:$E$1000,E261,$C$5:$C$1000,"Auditoría Externa")&gt;0,"Externa",""),IF(COUNTIFS($E$5:$E$1000,E261,$C$5:$C$1000,"SSF")&gt;0,"SSF",""),IF(COUNTIFS($E$5:$E$1000,E261,$C$5:$C$1000,"Comité de Supervisión")&gt;0,"Comité Sup.",""),IF(COUNTIFS($E$5:$E$1000,E261,$C$5:$C$1000,"Consejo de Administración")&gt;0,"Consejo",""),IF(COUNTIFS($E$5:$E$1000,E261,$C$5:$C$1000,"Otros")&gt;0,"Otros","")))</f>
        <v/>
      </c>
      <c r="X261" s="24" t="str">
        <f aca="false">IF(E261="","",COUNTIFS($E$5:$E$1000,E261,$AB$5:$AB$1000,AB261,$C$5:$C$1000,"&lt;&gt;"&amp;C261))</f>
        <v/>
      </c>
      <c r="Y261" s="33"/>
      <c r="Z261" s="31"/>
      <c r="AA261" s="33"/>
      <c r="AB261" s="37" t="str">
        <f aca="false">IF(B261="","",YEAR(B261)*100+MONTH(B261))</f>
        <v/>
      </c>
      <c r="AC261" s="37" t="str">
        <f aca="false">IF(AND(E261&lt;&gt;"",E261=Cruce!$C$5),COUNTIF($E$5:E261,E261),"")</f>
        <v/>
      </c>
      <c r="AD261" s="37" t="str">
        <f aca="false">IF(E261="","",C261&amp;"|"&amp;Y261&amp;"|"&amp;IF(B261="","s/f",TEXT(B261,"yyyymmdd")))</f>
        <v/>
      </c>
      <c r="AE261" s="37" t="n">
        <f aca="false">IF(E261="",0,IF(COUNTIFS($E$5:E261,E261,$AD$5:AD261,AD261)=1,1,0))</f>
        <v>0</v>
      </c>
    </row>
    <row r="262" customFormat="false" ht="15" hidden="false" customHeight="true" outlineLevel="0" collapsed="false">
      <c r="A262" s="31"/>
      <c r="B262" s="30"/>
      <c r="C262" s="31"/>
      <c r="D262" s="31"/>
      <c r="E262" s="32"/>
      <c r="F262" s="32"/>
      <c r="G262" s="33"/>
      <c r="H262" s="31"/>
      <c r="I262" s="24" t="str">
        <f aca="false">IF(B262="","",YEAR(B262))</f>
        <v/>
      </c>
      <c r="J262" s="34" t="str">
        <f aca="false">IF(B262="","",IF(MONTH(B262)=1,"X",""))</f>
        <v/>
      </c>
      <c r="K262" s="34" t="str">
        <f aca="false">IF(B262="","",IF(MONTH(B262)=2,"X",""))</f>
        <v/>
      </c>
      <c r="L262" s="34" t="str">
        <f aca="false">IF(B262="","",IF(MONTH(B262)=3,"X",""))</f>
        <v/>
      </c>
      <c r="M262" s="34" t="str">
        <f aca="false">IF(B262="","",IF(MONTH(B262)=4,"X",""))</f>
        <v/>
      </c>
      <c r="N262" s="34" t="str">
        <f aca="false">IF(B262="","",IF(MONTH(B262)=5,"X",""))</f>
        <v/>
      </c>
      <c r="O262" s="34" t="str">
        <f aca="false">IF(B262="","",IF(MONTH(B262)=6,"X",""))</f>
        <v/>
      </c>
      <c r="P262" s="34" t="str">
        <f aca="false">IF(B262="","",IF(MONTH(B262)=7,"X",""))</f>
        <v/>
      </c>
      <c r="Q262" s="34" t="str">
        <f aca="false">IF(B262="","",IF(MONTH(B262)=8,"X",""))</f>
        <v/>
      </c>
      <c r="R262" s="34" t="str">
        <f aca="false">IF(B262="","",IF(MONTH(B262)=9,"X",""))</f>
        <v/>
      </c>
      <c r="S262" s="34" t="str">
        <f aca="false">IF(B262="","",IF(MONTH(B262)=10,"X",""))</f>
        <v/>
      </c>
      <c r="T262" s="34" t="str">
        <f aca="false">IF(B262="","",IF(MONTH(B262)=11,"X",""))</f>
        <v/>
      </c>
      <c r="U262" s="34" t="str">
        <f aca="false">IF(B262="","",IF(MONTH(B262)=12,"X",""))</f>
        <v/>
      </c>
      <c r="V262" s="24" t="str">
        <f aca="false">IF(E262="","",COUNTIF($E$5:$E$1000,E262))</f>
        <v/>
      </c>
      <c r="W262" s="35" t="str">
        <f aca="false">IF(E262="","",_xlfn.TEXTJOIN(" + ",TRUE(),IF(COUNTIFS($E$5:$E$1000,E262,$C$5:$C$1000,"Auditoría Interna")&gt;0,"Interna",""),IF(COUNTIFS($E$5:$E$1000,E262,$C$5:$C$1000,"Auditoría Externa")&gt;0,"Externa",""),IF(COUNTIFS($E$5:$E$1000,E262,$C$5:$C$1000,"SSF")&gt;0,"SSF",""),IF(COUNTIFS($E$5:$E$1000,E262,$C$5:$C$1000,"Comité de Supervisión")&gt;0,"Comité Sup.",""),IF(COUNTIFS($E$5:$E$1000,E262,$C$5:$C$1000,"Consejo de Administración")&gt;0,"Consejo",""),IF(COUNTIFS($E$5:$E$1000,E262,$C$5:$C$1000,"Otros")&gt;0,"Otros","")))</f>
        <v/>
      </c>
      <c r="X262" s="24" t="str">
        <f aca="false">IF(E262="","",COUNTIFS($E$5:$E$1000,E262,$AB$5:$AB$1000,AB262,$C$5:$C$1000,"&lt;&gt;"&amp;C262))</f>
        <v/>
      </c>
      <c r="Y262" s="33"/>
      <c r="Z262" s="31"/>
      <c r="AA262" s="33"/>
      <c r="AB262" s="37" t="str">
        <f aca="false">IF(B262="","",YEAR(B262)*100+MONTH(B262))</f>
        <v/>
      </c>
      <c r="AC262" s="37" t="str">
        <f aca="false">IF(AND(E262&lt;&gt;"",E262=Cruce!$C$5),COUNTIF($E$5:E262,E262),"")</f>
        <v/>
      </c>
      <c r="AD262" s="37" t="str">
        <f aca="false">IF(E262="","",C262&amp;"|"&amp;Y262&amp;"|"&amp;IF(B262="","s/f",TEXT(B262,"yyyymmdd")))</f>
        <v/>
      </c>
      <c r="AE262" s="37" t="n">
        <f aca="false">IF(E262="",0,IF(COUNTIFS($E$5:E262,E262,$AD$5:AD262,AD262)=1,1,0))</f>
        <v>0</v>
      </c>
    </row>
    <row r="263" customFormat="false" ht="15" hidden="false" customHeight="true" outlineLevel="0" collapsed="false">
      <c r="A263" s="31"/>
      <c r="B263" s="30"/>
      <c r="C263" s="31"/>
      <c r="D263" s="31"/>
      <c r="E263" s="32"/>
      <c r="F263" s="32"/>
      <c r="G263" s="33"/>
      <c r="H263" s="31"/>
      <c r="I263" s="24" t="str">
        <f aca="false">IF(B263="","",YEAR(B263))</f>
        <v/>
      </c>
      <c r="J263" s="34" t="str">
        <f aca="false">IF(B263="","",IF(MONTH(B263)=1,"X",""))</f>
        <v/>
      </c>
      <c r="K263" s="34" t="str">
        <f aca="false">IF(B263="","",IF(MONTH(B263)=2,"X",""))</f>
        <v/>
      </c>
      <c r="L263" s="34" t="str">
        <f aca="false">IF(B263="","",IF(MONTH(B263)=3,"X",""))</f>
        <v/>
      </c>
      <c r="M263" s="34" t="str">
        <f aca="false">IF(B263="","",IF(MONTH(B263)=4,"X",""))</f>
        <v/>
      </c>
      <c r="N263" s="34" t="str">
        <f aca="false">IF(B263="","",IF(MONTH(B263)=5,"X",""))</f>
        <v/>
      </c>
      <c r="O263" s="34" t="str">
        <f aca="false">IF(B263="","",IF(MONTH(B263)=6,"X",""))</f>
        <v/>
      </c>
      <c r="P263" s="34" t="str">
        <f aca="false">IF(B263="","",IF(MONTH(B263)=7,"X",""))</f>
        <v/>
      </c>
      <c r="Q263" s="34" t="str">
        <f aca="false">IF(B263="","",IF(MONTH(B263)=8,"X",""))</f>
        <v/>
      </c>
      <c r="R263" s="34" t="str">
        <f aca="false">IF(B263="","",IF(MONTH(B263)=9,"X",""))</f>
        <v/>
      </c>
      <c r="S263" s="34" t="str">
        <f aca="false">IF(B263="","",IF(MONTH(B263)=10,"X",""))</f>
        <v/>
      </c>
      <c r="T263" s="34" t="str">
        <f aca="false">IF(B263="","",IF(MONTH(B263)=11,"X",""))</f>
        <v/>
      </c>
      <c r="U263" s="34" t="str">
        <f aca="false">IF(B263="","",IF(MONTH(B263)=12,"X",""))</f>
        <v/>
      </c>
      <c r="V263" s="24" t="str">
        <f aca="false">IF(E263="","",COUNTIF($E$5:$E$1000,E263))</f>
        <v/>
      </c>
      <c r="W263" s="35" t="str">
        <f aca="false">IF(E263="","",_xlfn.TEXTJOIN(" + ",TRUE(),IF(COUNTIFS($E$5:$E$1000,E263,$C$5:$C$1000,"Auditoría Interna")&gt;0,"Interna",""),IF(COUNTIFS($E$5:$E$1000,E263,$C$5:$C$1000,"Auditoría Externa")&gt;0,"Externa",""),IF(COUNTIFS($E$5:$E$1000,E263,$C$5:$C$1000,"SSF")&gt;0,"SSF",""),IF(COUNTIFS($E$5:$E$1000,E263,$C$5:$C$1000,"Comité de Supervisión")&gt;0,"Comité Sup.",""),IF(COUNTIFS($E$5:$E$1000,E263,$C$5:$C$1000,"Consejo de Administración")&gt;0,"Consejo",""),IF(COUNTIFS($E$5:$E$1000,E263,$C$5:$C$1000,"Otros")&gt;0,"Otros","")))</f>
        <v/>
      </c>
      <c r="X263" s="24" t="str">
        <f aca="false">IF(E263="","",COUNTIFS($E$5:$E$1000,E263,$AB$5:$AB$1000,AB263,$C$5:$C$1000,"&lt;&gt;"&amp;C263))</f>
        <v/>
      </c>
      <c r="Y263" s="33"/>
      <c r="Z263" s="31"/>
      <c r="AA263" s="33"/>
      <c r="AB263" s="37" t="str">
        <f aca="false">IF(B263="","",YEAR(B263)*100+MONTH(B263))</f>
        <v/>
      </c>
      <c r="AC263" s="37" t="str">
        <f aca="false">IF(AND(E263&lt;&gt;"",E263=Cruce!$C$5),COUNTIF($E$5:E263,E263),"")</f>
        <v/>
      </c>
      <c r="AD263" s="37" t="str">
        <f aca="false">IF(E263="","",C263&amp;"|"&amp;Y263&amp;"|"&amp;IF(B263="","s/f",TEXT(B263,"yyyymmdd")))</f>
        <v/>
      </c>
      <c r="AE263" s="37" t="n">
        <f aca="false">IF(E263="",0,IF(COUNTIFS($E$5:E263,E263,$AD$5:AD263,AD263)=1,1,0))</f>
        <v>0</v>
      </c>
    </row>
    <row r="264" customFormat="false" ht="15" hidden="false" customHeight="true" outlineLevel="0" collapsed="false">
      <c r="A264" s="31"/>
      <c r="B264" s="30"/>
      <c r="C264" s="31"/>
      <c r="D264" s="31"/>
      <c r="E264" s="32"/>
      <c r="F264" s="32"/>
      <c r="G264" s="33"/>
      <c r="H264" s="31"/>
      <c r="I264" s="24" t="str">
        <f aca="false">IF(B264="","",YEAR(B264))</f>
        <v/>
      </c>
      <c r="J264" s="34" t="str">
        <f aca="false">IF(B264="","",IF(MONTH(B264)=1,"X",""))</f>
        <v/>
      </c>
      <c r="K264" s="34" t="str">
        <f aca="false">IF(B264="","",IF(MONTH(B264)=2,"X",""))</f>
        <v/>
      </c>
      <c r="L264" s="34" t="str">
        <f aca="false">IF(B264="","",IF(MONTH(B264)=3,"X",""))</f>
        <v/>
      </c>
      <c r="M264" s="34" t="str">
        <f aca="false">IF(B264="","",IF(MONTH(B264)=4,"X",""))</f>
        <v/>
      </c>
      <c r="N264" s="34" t="str">
        <f aca="false">IF(B264="","",IF(MONTH(B264)=5,"X",""))</f>
        <v/>
      </c>
      <c r="O264" s="34" t="str">
        <f aca="false">IF(B264="","",IF(MONTH(B264)=6,"X",""))</f>
        <v/>
      </c>
      <c r="P264" s="34" t="str">
        <f aca="false">IF(B264="","",IF(MONTH(B264)=7,"X",""))</f>
        <v/>
      </c>
      <c r="Q264" s="34" t="str">
        <f aca="false">IF(B264="","",IF(MONTH(B264)=8,"X",""))</f>
        <v/>
      </c>
      <c r="R264" s="34" t="str">
        <f aca="false">IF(B264="","",IF(MONTH(B264)=9,"X",""))</f>
        <v/>
      </c>
      <c r="S264" s="34" t="str">
        <f aca="false">IF(B264="","",IF(MONTH(B264)=10,"X",""))</f>
        <v/>
      </c>
      <c r="T264" s="34" t="str">
        <f aca="false">IF(B264="","",IF(MONTH(B264)=11,"X",""))</f>
        <v/>
      </c>
      <c r="U264" s="34" t="str">
        <f aca="false">IF(B264="","",IF(MONTH(B264)=12,"X",""))</f>
        <v/>
      </c>
      <c r="V264" s="24" t="str">
        <f aca="false">IF(E264="","",COUNTIF($E$5:$E$1000,E264))</f>
        <v/>
      </c>
      <c r="W264" s="35" t="str">
        <f aca="false">IF(E264="","",_xlfn.TEXTJOIN(" + ",TRUE(),IF(COUNTIFS($E$5:$E$1000,E264,$C$5:$C$1000,"Auditoría Interna")&gt;0,"Interna",""),IF(COUNTIFS($E$5:$E$1000,E264,$C$5:$C$1000,"Auditoría Externa")&gt;0,"Externa",""),IF(COUNTIFS($E$5:$E$1000,E264,$C$5:$C$1000,"SSF")&gt;0,"SSF",""),IF(COUNTIFS($E$5:$E$1000,E264,$C$5:$C$1000,"Comité de Supervisión")&gt;0,"Comité Sup.",""),IF(COUNTIFS($E$5:$E$1000,E264,$C$5:$C$1000,"Consejo de Administración")&gt;0,"Consejo",""),IF(COUNTIFS($E$5:$E$1000,E264,$C$5:$C$1000,"Otros")&gt;0,"Otros","")))</f>
        <v/>
      </c>
      <c r="X264" s="24" t="str">
        <f aca="false">IF(E264="","",COUNTIFS($E$5:$E$1000,E264,$AB$5:$AB$1000,AB264,$C$5:$C$1000,"&lt;&gt;"&amp;C264))</f>
        <v/>
      </c>
      <c r="Y264" s="33"/>
      <c r="Z264" s="31"/>
      <c r="AA264" s="33"/>
      <c r="AB264" s="37" t="str">
        <f aca="false">IF(B264="","",YEAR(B264)*100+MONTH(B264))</f>
        <v/>
      </c>
      <c r="AC264" s="37" t="str">
        <f aca="false">IF(AND(E264&lt;&gt;"",E264=Cruce!$C$5),COUNTIF($E$5:E264,E264),"")</f>
        <v/>
      </c>
      <c r="AD264" s="37" t="str">
        <f aca="false">IF(E264="","",C264&amp;"|"&amp;Y264&amp;"|"&amp;IF(B264="","s/f",TEXT(B264,"yyyymmdd")))</f>
        <v/>
      </c>
      <c r="AE264" s="37" t="n">
        <f aca="false">IF(E264="",0,IF(COUNTIFS($E$5:E264,E264,$AD$5:AD264,AD264)=1,1,0))</f>
        <v>0</v>
      </c>
    </row>
    <row r="265" customFormat="false" ht="15" hidden="false" customHeight="true" outlineLevel="0" collapsed="false">
      <c r="A265" s="31"/>
      <c r="B265" s="30"/>
      <c r="C265" s="31"/>
      <c r="D265" s="31"/>
      <c r="E265" s="32"/>
      <c r="F265" s="32"/>
      <c r="G265" s="33"/>
      <c r="H265" s="31"/>
      <c r="I265" s="24" t="str">
        <f aca="false">IF(B265="","",YEAR(B265))</f>
        <v/>
      </c>
      <c r="J265" s="34" t="str">
        <f aca="false">IF(B265="","",IF(MONTH(B265)=1,"X",""))</f>
        <v/>
      </c>
      <c r="K265" s="34" t="str">
        <f aca="false">IF(B265="","",IF(MONTH(B265)=2,"X",""))</f>
        <v/>
      </c>
      <c r="L265" s="34" t="str">
        <f aca="false">IF(B265="","",IF(MONTH(B265)=3,"X",""))</f>
        <v/>
      </c>
      <c r="M265" s="34" t="str">
        <f aca="false">IF(B265="","",IF(MONTH(B265)=4,"X",""))</f>
        <v/>
      </c>
      <c r="N265" s="34" t="str">
        <f aca="false">IF(B265="","",IF(MONTH(B265)=5,"X",""))</f>
        <v/>
      </c>
      <c r="O265" s="34" t="str">
        <f aca="false">IF(B265="","",IF(MONTH(B265)=6,"X",""))</f>
        <v/>
      </c>
      <c r="P265" s="34" t="str">
        <f aca="false">IF(B265="","",IF(MONTH(B265)=7,"X",""))</f>
        <v/>
      </c>
      <c r="Q265" s="34" t="str">
        <f aca="false">IF(B265="","",IF(MONTH(B265)=8,"X",""))</f>
        <v/>
      </c>
      <c r="R265" s="34" t="str">
        <f aca="false">IF(B265="","",IF(MONTH(B265)=9,"X",""))</f>
        <v/>
      </c>
      <c r="S265" s="34" t="str">
        <f aca="false">IF(B265="","",IF(MONTH(B265)=10,"X",""))</f>
        <v/>
      </c>
      <c r="T265" s="34" t="str">
        <f aca="false">IF(B265="","",IF(MONTH(B265)=11,"X",""))</f>
        <v/>
      </c>
      <c r="U265" s="34" t="str">
        <f aca="false">IF(B265="","",IF(MONTH(B265)=12,"X",""))</f>
        <v/>
      </c>
      <c r="V265" s="24" t="str">
        <f aca="false">IF(E265="","",COUNTIF($E$5:$E$1000,E265))</f>
        <v/>
      </c>
      <c r="W265" s="35" t="str">
        <f aca="false">IF(E265="","",_xlfn.TEXTJOIN(" + ",TRUE(),IF(COUNTIFS($E$5:$E$1000,E265,$C$5:$C$1000,"Auditoría Interna")&gt;0,"Interna",""),IF(COUNTIFS($E$5:$E$1000,E265,$C$5:$C$1000,"Auditoría Externa")&gt;0,"Externa",""),IF(COUNTIFS($E$5:$E$1000,E265,$C$5:$C$1000,"SSF")&gt;0,"SSF",""),IF(COUNTIFS($E$5:$E$1000,E265,$C$5:$C$1000,"Comité de Supervisión")&gt;0,"Comité Sup.",""),IF(COUNTIFS($E$5:$E$1000,E265,$C$5:$C$1000,"Consejo de Administración")&gt;0,"Consejo",""),IF(COUNTIFS($E$5:$E$1000,E265,$C$5:$C$1000,"Otros")&gt;0,"Otros","")))</f>
        <v/>
      </c>
      <c r="X265" s="24" t="str">
        <f aca="false">IF(E265="","",COUNTIFS($E$5:$E$1000,E265,$AB$5:$AB$1000,AB265,$C$5:$C$1000,"&lt;&gt;"&amp;C265))</f>
        <v/>
      </c>
      <c r="Y265" s="33"/>
      <c r="Z265" s="31"/>
      <c r="AA265" s="33"/>
      <c r="AB265" s="37" t="str">
        <f aca="false">IF(B265="","",YEAR(B265)*100+MONTH(B265))</f>
        <v/>
      </c>
      <c r="AC265" s="37" t="str">
        <f aca="false">IF(AND(E265&lt;&gt;"",E265=Cruce!$C$5),COUNTIF($E$5:E265,E265),"")</f>
        <v/>
      </c>
      <c r="AD265" s="37" t="str">
        <f aca="false">IF(E265="","",C265&amp;"|"&amp;Y265&amp;"|"&amp;IF(B265="","s/f",TEXT(B265,"yyyymmdd")))</f>
        <v/>
      </c>
      <c r="AE265" s="37" t="n">
        <f aca="false">IF(E265="",0,IF(COUNTIFS($E$5:E265,E265,$AD$5:AD265,AD265)=1,1,0))</f>
        <v>0</v>
      </c>
    </row>
    <row r="266" customFormat="false" ht="15" hidden="false" customHeight="true" outlineLevel="0" collapsed="false">
      <c r="A266" s="31"/>
      <c r="B266" s="30"/>
      <c r="C266" s="31"/>
      <c r="D266" s="31"/>
      <c r="E266" s="32"/>
      <c r="F266" s="32"/>
      <c r="G266" s="33"/>
      <c r="H266" s="31"/>
      <c r="I266" s="24" t="str">
        <f aca="false">IF(B266="","",YEAR(B266))</f>
        <v/>
      </c>
      <c r="J266" s="34" t="str">
        <f aca="false">IF(B266="","",IF(MONTH(B266)=1,"X",""))</f>
        <v/>
      </c>
      <c r="K266" s="34" t="str">
        <f aca="false">IF(B266="","",IF(MONTH(B266)=2,"X",""))</f>
        <v/>
      </c>
      <c r="L266" s="34" t="str">
        <f aca="false">IF(B266="","",IF(MONTH(B266)=3,"X",""))</f>
        <v/>
      </c>
      <c r="M266" s="34" t="str">
        <f aca="false">IF(B266="","",IF(MONTH(B266)=4,"X",""))</f>
        <v/>
      </c>
      <c r="N266" s="34" t="str">
        <f aca="false">IF(B266="","",IF(MONTH(B266)=5,"X",""))</f>
        <v/>
      </c>
      <c r="O266" s="34" t="str">
        <f aca="false">IF(B266="","",IF(MONTH(B266)=6,"X",""))</f>
        <v/>
      </c>
      <c r="P266" s="34" t="str">
        <f aca="false">IF(B266="","",IF(MONTH(B266)=7,"X",""))</f>
        <v/>
      </c>
      <c r="Q266" s="34" t="str">
        <f aca="false">IF(B266="","",IF(MONTH(B266)=8,"X",""))</f>
        <v/>
      </c>
      <c r="R266" s="34" t="str">
        <f aca="false">IF(B266="","",IF(MONTH(B266)=9,"X",""))</f>
        <v/>
      </c>
      <c r="S266" s="34" t="str">
        <f aca="false">IF(B266="","",IF(MONTH(B266)=10,"X",""))</f>
        <v/>
      </c>
      <c r="T266" s="34" t="str">
        <f aca="false">IF(B266="","",IF(MONTH(B266)=11,"X",""))</f>
        <v/>
      </c>
      <c r="U266" s="34" t="str">
        <f aca="false">IF(B266="","",IF(MONTH(B266)=12,"X",""))</f>
        <v/>
      </c>
      <c r="V266" s="24" t="str">
        <f aca="false">IF(E266="","",COUNTIF($E$5:$E$1000,E266))</f>
        <v/>
      </c>
      <c r="W266" s="35" t="str">
        <f aca="false">IF(E266="","",_xlfn.TEXTJOIN(" + ",TRUE(),IF(COUNTIFS($E$5:$E$1000,E266,$C$5:$C$1000,"Auditoría Interna")&gt;0,"Interna",""),IF(COUNTIFS($E$5:$E$1000,E266,$C$5:$C$1000,"Auditoría Externa")&gt;0,"Externa",""),IF(COUNTIFS($E$5:$E$1000,E266,$C$5:$C$1000,"SSF")&gt;0,"SSF",""),IF(COUNTIFS($E$5:$E$1000,E266,$C$5:$C$1000,"Comité de Supervisión")&gt;0,"Comité Sup.",""),IF(COUNTIFS($E$5:$E$1000,E266,$C$5:$C$1000,"Consejo de Administración")&gt;0,"Consejo",""),IF(COUNTIFS($E$5:$E$1000,E266,$C$5:$C$1000,"Otros")&gt;0,"Otros","")))</f>
        <v/>
      </c>
      <c r="X266" s="24" t="str">
        <f aca="false">IF(E266="","",COUNTIFS($E$5:$E$1000,E266,$AB$5:$AB$1000,AB266,$C$5:$C$1000,"&lt;&gt;"&amp;C266))</f>
        <v/>
      </c>
      <c r="Y266" s="33"/>
      <c r="Z266" s="31"/>
      <c r="AA266" s="33"/>
      <c r="AB266" s="37" t="str">
        <f aca="false">IF(B266="","",YEAR(B266)*100+MONTH(B266))</f>
        <v/>
      </c>
      <c r="AC266" s="37" t="str">
        <f aca="false">IF(AND(E266&lt;&gt;"",E266=Cruce!$C$5),COUNTIF($E$5:E266,E266),"")</f>
        <v/>
      </c>
      <c r="AD266" s="37" t="str">
        <f aca="false">IF(E266="","",C266&amp;"|"&amp;Y266&amp;"|"&amp;IF(B266="","s/f",TEXT(B266,"yyyymmdd")))</f>
        <v/>
      </c>
      <c r="AE266" s="37" t="n">
        <f aca="false">IF(E266="",0,IF(COUNTIFS($E$5:E266,E266,$AD$5:AD266,AD266)=1,1,0))</f>
        <v>0</v>
      </c>
    </row>
    <row r="267" customFormat="false" ht="15" hidden="false" customHeight="true" outlineLevel="0" collapsed="false">
      <c r="A267" s="31"/>
      <c r="B267" s="30"/>
      <c r="C267" s="31"/>
      <c r="D267" s="31"/>
      <c r="E267" s="32"/>
      <c r="F267" s="32"/>
      <c r="G267" s="33"/>
      <c r="H267" s="31"/>
      <c r="I267" s="24" t="str">
        <f aca="false">IF(B267="","",YEAR(B267))</f>
        <v/>
      </c>
      <c r="J267" s="34" t="str">
        <f aca="false">IF(B267="","",IF(MONTH(B267)=1,"X",""))</f>
        <v/>
      </c>
      <c r="K267" s="34" t="str">
        <f aca="false">IF(B267="","",IF(MONTH(B267)=2,"X",""))</f>
        <v/>
      </c>
      <c r="L267" s="34" t="str">
        <f aca="false">IF(B267="","",IF(MONTH(B267)=3,"X",""))</f>
        <v/>
      </c>
      <c r="M267" s="34" t="str">
        <f aca="false">IF(B267="","",IF(MONTH(B267)=4,"X",""))</f>
        <v/>
      </c>
      <c r="N267" s="34" t="str">
        <f aca="false">IF(B267="","",IF(MONTH(B267)=5,"X",""))</f>
        <v/>
      </c>
      <c r="O267" s="34" t="str">
        <f aca="false">IF(B267="","",IF(MONTH(B267)=6,"X",""))</f>
        <v/>
      </c>
      <c r="P267" s="34" t="str">
        <f aca="false">IF(B267="","",IF(MONTH(B267)=7,"X",""))</f>
        <v/>
      </c>
      <c r="Q267" s="34" t="str">
        <f aca="false">IF(B267="","",IF(MONTH(B267)=8,"X",""))</f>
        <v/>
      </c>
      <c r="R267" s="34" t="str">
        <f aca="false">IF(B267="","",IF(MONTH(B267)=9,"X",""))</f>
        <v/>
      </c>
      <c r="S267" s="34" t="str">
        <f aca="false">IF(B267="","",IF(MONTH(B267)=10,"X",""))</f>
        <v/>
      </c>
      <c r="T267" s="34" t="str">
        <f aca="false">IF(B267="","",IF(MONTH(B267)=11,"X",""))</f>
        <v/>
      </c>
      <c r="U267" s="34" t="str">
        <f aca="false">IF(B267="","",IF(MONTH(B267)=12,"X",""))</f>
        <v/>
      </c>
      <c r="V267" s="24" t="str">
        <f aca="false">IF(E267="","",COUNTIF($E$5:$E$1000,E267))</f>
        <v/>
      </c>
      <c r="W267" s="35" t="str">
        <f aca="false">IF(E267="","",_xlfn.TEXTJOIN(" + ",TRUE(),IF(COUNTIFS($E$5:$E$1000,E267,$C$5:$C$1000,"Auditoría Interna")&gt;0,"Interna",""),IF(COUNTIFS($E$5:$E$1000,E267,$C$5:$C$1000,"Auditoría Externa")&gt;0,"Externa",""),IF(COUNTIFS($E$5:$E$1000,E267,$C$5:$C$1000,"SSF")&gt;0,"SSF",""),IF(COUNTIFS($E$5:$E$1000,E267,$C$5:$C$1000,"Comité de Supervisión")&gt;0,"Comité Sup.",""),IF(COUNTIFS($E$5:$E$1000,E267,$C$5:$C$1000,"Consejo de Administración")&gt;0,"Consejo",""),IF(COUNTIFS($E$5:$E$1000,E267,$C$5:$C$1000,"Otros")&gt;0,"Otros","")))</f>
        <v/>
      </c>
      <c r="X267" s="24" t="str">
        <f aca="false">IF(E267="","",COUNTIFS($E$5:$E$1000,E267,$AB$5:$AB$1000,AB267,$C$5:$C$1000,"&lt;&gt;"&amp;C267))</f>
        <v/>
      </c>
      <c r="Y267" s="33"/>
      <c r="Z267" s="31"/>
      <c r="AA267" s="33"/>
      <c r="AB267" s="37" t="str">
        <f aca="false">IF(B267="","",YEAR(B267)*100+MONTH(B267))</f>
        <v/>
      </c>
      <c r="AC267" s="37" t="str">
        <f aca="false">IF(AND(E267&lt;&gt;"",E267=Cruce!$C$5),COUNTIF($E$5:E267,E267),"")</f>
        <v/>
      </c>
      <c r="AD267" s="37" t="str">
        <f aca="false">IF(E267="","",C267&amp;"|"&amp;Y267&amp;"|"&amp;IF(B267="","s/f",TEXT(B267,"yyyymmdd")))</f>
        <v/>
      </c>
      <c r="AE267" s="37" t="n">
        <f aca="false">IF(E267="",0,IF(COUNTIFS($E$5:E267,E267,$AD$5:AD267,AD267)=1,1,0))</f>
        <v>0</v>
      </c>
    </row>
    <row r="268" customFormat="false" ht="15" hidden="false" customHeight="true" outlineLevel="0" collapsed="false">
      <c r="A268" s="31"/>
      <c r="B268" s="30"/>
      <c r="C268" s="31"/>
      <c r="D268" s="31"/>
      <c r="E268" s="32"/>
      <c r="F268" s="32"/>
      <c r="G268" s="33"/>
      <c r="H268" s="31"/>
      <c r="I268" s="24" t="str">
        <f aca="false">IF(B268="","",YEAR(B268))</f>
        <v/>
      </c>
      <c r="J268" s="34" t="str">
        <f aca="false">IF(B268="","",IF(MONTH(B268)=1,"X",""))</f>
        <v/>
      </c>
      <c r="K268" s="34" t="str">
        <f aca="false">IF(B268="","",IF(MONTH(B268)=2,"X",""))</f>
        <v/>
      </c>
      <c r="L268" s="34" t="str">
        <f aca="false">IF(B268="","",IF(MONTH(B268)=3,"X",""))</f>
        <v/>
      </c>
      <c r="M268" s="34" t="str">
        <f aca="false">IF(B268="","",IF(MONTH(B268)=4,"X",""))</f>
        <v/>
      </c>
      <c r="N268" s="34" t="str">
        <f aca="false">IF(B268="","",IF(MONTH(B268)=5,"X",""))</f>
        <v/>
      </c>
      <c r="O268" s="34" t="str">
        <f aca="false">IF(B268="","",IF(MONTH(B268)=6,"X",""))</f>
        <v/>
      </c>
      <c r="P268" s="34" t="str">
        <f aca="false">IF(B268="","",IF(MONTH(B268)=7,"X",""))</f>
        <v/>
      </c>
      <c r="Q268" s="34" t="str">
        <f aca="false">IF(B268="","",IF(MONTH(B268)=8,"X",""))</f>
        <v/>
      </c>
      <c r="R268" s="34" t="str">
        <f aca="false">IF(B268="","",IF(MONTH(B268)=9,"X",""))</f>
        <v/>
      </c>
      <c r="S268" s="34" t="str">
        <f aca="false">IF(B268="","",IF(MONTH(B268)=10,"X",""))</f>
        <v/>
      </c>
      <c r="T268" s="34" t="str">
        <f aca="false">IF(B268="","",IF(MONTH(B268)=11,"X",""))</f>
        <v/>
      </c>
      <c r="U268" s="34" t="str">
        <f aca="false">IF(B268="","",IF(MONTH(B268)=12,"X",""))</f>
        <v/>
      </c>
      <c r="V268" s="24" t="str">
        <f aca="false">IF(E268="","",COUNTIF($E$5:$E$1000,E268))</f>
        <v/>
      </c>
      <c r="W268" s="35" t="str">
        <f aca="false">IF(E268="","",_xlfn.TEXTJOIN(" + ",TRUE(),IF(COUNTIFS($E$5:$E$1000,E268,$C$5:$C$1000,"Auditoría Interna")&gt;0,"Interna",""),IF(COUNTIFS($E$5:$E$1000,E268,$C$5:$C$1000,"Auditoría Externa")&gt;0,"Externa",""),IF(COUNTIFS($E$5:$E$1000,E268,$C$5:$C$1000,"SSF")&gt;0,"SSF",""),IF(COUNTIFS($E$5:$E$1000,E268,$C$5:$C$1000,"Comité de Supervisión")&gt;0,"Comité Sup.",""),IF(COUNTIFS($E$5:$E$1000,E268,$C$5:$C$1000,"Consejo de Administración")&gt;0,"Consejo",""),IF(COUNTIFS($E$5:$E$1000,E268,$C$5:$C$1000,"Otros")&gt;0,"Otros","")))</f>
        <v/>
      </c>
      <c r="X268" s="24" t="str">
        <f aca="false">IF(E268="","",COUNTIFS($E$5:$E$1000,E268,$AB$5:$AB$1000,AB268,$C$5:$C$1000,"&lt;&gt;"&amp;C268))</f>
        <v/>
      </c>
      <c r="Y268" s="33"/>
      <c r="Z268" s="31"/>
      <c r="AA268" s="33"/>
      <c r="AB268" s="37" t="str">
        <f aca="false">IF(B268="","",YEAR(B268)*100+MONTH(B268))</f>
        <v/>
      </c>
      <c r="AC268" s="37" t="str">
        <f aca="false">IF(AND(E268&lt;&gt;"",E268=Cruce!$C$5),COUNTIF($E$5:E268,E268),"")</f>
        <v/>
      </c>
      <c r="AD268" s="37" t="str">
        <f aca="false">IF(E268="","",C268&amp;"|"&amp;Y268&amp;"|"&amp;IF(B268="","s/f",TEXT(B268,"yyyymmdd")))</f>
        <v/>
      </c>
      <c r="AE268" s="37" t="n">
        <f aca="false">IF(E268="",0,IF(COUNTIFS($E$5:E268,E268,$AD$5:AD268,AD268)=1,1,0))</f>
        <v>0</v>
      </c>
    </row>
    <row r="269" customFormat="false" ht="15" hidden="false" customHeight="true" outlineLevel="0" collapsed="false">
      <c r="A269" s="31"/>
      <c r="B269" s="30"/>
      <c r="C269" s="31"/>
      <c r="D269" s="31"/>
      <c r="E269" s="32"/>
      <c r="F269" s="32"/>
      <c r="G269" s="33"/>
      <c r="H269" s="31"/>
      <c r="I269" s="24" t="str">
        <f aca="false">IF(B269="","",YEAR(B269))</f>
        <v/>
      </c>
      <c r="J269" s="34" t="str">
        <f aca="false">IF(B269="","",IF(MONTH(B269)=1,"X",""))</f>
        <v/>
      </c>
      <c r="K269" s="34" t="str">
        <f aca="false">IF(B269="","",IF(MONTH(B269)=2,"X",""))</f>
        <v/>
      </c>
      <c r="L269" s="34" t="str">
        <f aca="false">IF(B269="","",IF(MONTH(B269)=3,"X",""))</f>
        <v/>
      </c>
      <c r="M269" s="34" t="str">
        <f aca="false">IF(B269="","",IF(MONTH(B269)=4,"X",""))</f>
        <v/>
      </c>
      <c r="N269" s="34" t="str">
        <f aca="false">IF(B269="","",IF(MONTH(B269)=5,"X",""))</f>
        <v/>
      </c>
      <c r="O269" s="34" t="str">
        <f aca="false">IF(B269="","",IF(MONTH(B269)=6,"X",""))</f>
        <v/>
      </c>
      <c r="P269" s="34" t="str">
        <f aca="false">IF(B269="","",IF(MONTH(B269)=7,"X",""))</f>
        <v/>
      </c>
      <c r="Q269" s="34" t="str">
        <f aca="false">IF(B269="","",IF(MONTH(B269)=8,"X",""))</f>
        <v/>
      </c>
      <c r="R269" s="34" t="str">
        <f aca="false">IF(B269="","",IF(MONTH(B269)=9,"X",""))</f>
        <v/>
      </c>
      <c r="S269" s="34" t="str">
        <f aca="false">IF(B269="","",IF(MONTH(B269)=10,"X",""))</f>
        <v/>
      </c>
      <c r="T269" s="34" t="str">
        <f aca="false">IF(B269="","",IF(MONTH(B269)=11,"X",""))</f>
        <v/>
      </c>
      <c r="U269" s="34" t="str">
        <f aca="false">IF(B269="","",IF(MONTH(B269)=12,"X",""))</f>
        <v/>
      </c>
      <c r="V269" s="24" t="str">
        <f aca="false">IF(E269="","",COUNTIF($E$5:$E$1000,E269))</f>
        <v/>
      </c>
      <c r="W269" s="35" t="str">
        <f aca="false">IF(E269="","",_xlfn.TEXTJOIN(" + ",TRUE(),IF(COUNTIFS($E$5:$E$1000,E269,$C$5:$C$1000,"Auditoría Interna")&gt;0,"Interna",""),IF(COUNTIFS($E$5:$E$1000,E269,$C$5:$C$1000,"Auditoría Externa")&gt;0,"Externa",""),IF(COUNTIFS($E$5:$E$1000,E269,$C$5:$C$1000,"SSF")&gt;0,"SSF",""),IF(COUNTIFS($E$5:$E$1000,E269,$C$5:$C$1000,"Comité de Supervisión")&gt;0,"Comité Sup.",""),IF(COUNTIFS($E$5:$E$1000,E269,$C$5:$C$1000,"Consejo de Administración")&gt;0,"Consejo",""),IF(COUNTIFS($E$5:$E$1000,E269,$C$5:$C$1000,"Otros")&gt;0,"Otros","")))</f>
        <v/>
      </c>
      <c r="X269" s="24" t="str">
        <f aca="false">IF(E269="","",COUNTIFS($E$5:$E$1000,E269,$AB$5:$AB$1000,AB269,$C$5:$C$1000,"&lt;&gt;"&amp;C269))</f>
        <v/>
      </c>
      <c r="Y269" s="33"/>
      <c r="Z269" s="31"/>
      <c r="AA269" s="33"/>
      <c r="AB269" s="37" t="str">
        <f aca="false">IF(B269="","",YEAR(B269)*100+MONTH(B269))</f>
        <v/>
      </c>
      <c r="AC269" s="37" t="str">
        <f aca="false">IF(AND(E269&lt;&gt;"",E269=Cruce!$C$5),COUNTIF($E$5:E269,E269),"")</f>
        <v/>
      </c>
      <c r="AD269" s="37" t="str">
        <f aca="false">IF(E269="","",C269&amp;"|"&amp;Y269&amp;"|"&amp;IF(B269="","s/f",TEXT(B269,"yyyymmdd")))</f>
        <v/>
      </c>
      <c r="AE269" s="37" t="n">
        <f aca="false">IF(E269="",0,IF(COUNTIFS($E$5:E269,E269,$AD$5:AD269,AD269)=1,1,0))</f>
        <v>0</v>
      </c>
    </row>
    <row r="270" customFormat="false" ht="15" hidden="false" customHeight="true" outlineLevel="0" collapsed="false">
      <c r="A270" s="31"/>
      <c r="B270" s="30"/>
      <c r="C270" s="31"/>
      <c r="D270" s="31"/>
      <c r="E270" s="32"/>
      <c r="F270" s="32"/>
      <c r="G270" s="33"/>
      <c r="H270" s="31"/>
      <c r="I270" s="24" t="str">
        <f aca="false">IF(B270="","",YEAR(B270))</f>
        <v/>
      </c>
      <c r="J270" s="34" t="str">
        <f aca="false">IF(B270="","",IF(MONTH(B270)=1,"X",""))</f>
        <v/>
      </c>
      <c r="K270" s="34" t="str">
        <f aca="false">IF(B270="","",IF(MONTH(B270)=2,"X",""))</f>
        <v/>
      </c>
      <c r="L270" s="34" t="str">
        <f aca="false">IF(B270="","",IF(MONTH(B270)=3,"X",""))</f>
        <v/>
      </c>
      <c r="M270" s="34" t="str">
        <f aca="false">IF(B270="","",IF(MONTH(B270)=4,"X",""))</f>
        <v/>
      </c>
      <c r="N270" s="34" t="str">
        <f aca="false">IF(B270="","",IF(MONTH(B270)=5,"X",""))</f>
        <v/>
      </c>
      <c r="O270" s="34" t="str">
        <f aca="false">IF(B270="","",IF(MONTH(B270)=6,"X",""))</f>
        <v/>
      </c>
      <c r="P270" s="34" t="str">
        <f aca="false">IF(B270="","",IF(MONTH(B270)=7,"X",""))</f>
        <v/>
      </c>
      <c r="Q270" s="34" t="str">
        <f aca="false">IF(B270="","",IF(MONTH(B270)=8,"X",""))</f>
        <v/>
      </c>
      <c r="R270" s="34" t="str">
        <f aca="false">IF(B270="","",IF(MONTH(B270)=9,"X",""))</f>
        <v/>
      </c>
      <c r="S270" s="34" t="str">
        <f aca="false">IF(B270="","",IF(MONTH(B270)=10,"X",""))</f>
        <v/>
      </c>
      <c r="T270" s="34" t="str">
        <f aca="false">IF(B270="","",IF(MONTH(B270)=11,"X",""))</f>
        <v/>
      </c>
      <c r="U270" s="34" t="str">
        <f aca="false">IF(B270="","",IF(MONTH(B270)=12,"X",""))</f>
        <v/>
      </c>
      <c r="V270" s="24" t="str">
        <f aca="false">IF(E270="","",COUNTIF($E$5:$E$1000,E270))</f>
        <v/>
      </c>
      <c r="W270" s="35" t="str">
        <f aca="false">IF(E270="","",_xlfn.TEXTJOIN(" + ",TRUE(),IF(COUNTIFS($E$5:$E$1000,E270,$C$5:$C$1000,"Auditoría Interna")&gt;0,"Interna",""),IF(COUNTIFS($E$5:$E$1000,E270,$C$5:$C$1000,"Auditoría Externa")&gt;0,"Externa",""),IF(COUNTIFS($E$5:$E$1000,E270,$C$5:$C$1000,"SSF")&gt;0,"SSF",""),IF(COUNTIFS($E$5:$E$1000,E270,$C$5:$C$1000,"Comité de Supervisión")&gt;0,"Comité Sup.",""),IF(COUNTIFS($E$5:$E$1000,E270,$C$5:$C$1000,"Consejo de Administración")&gt;0,"Consejo",""),IF(COUNTIFS($E$5:$E$1000,E270,$C$5:$C$1000,"Otros")&gt;0,"Otros","")))</f>
        <v/>
      </c>
      <c r="X270" s="24" t="str">
        <f aca="false">IF(E270="","",COUNTIFS($E$5:$E$1000,E270,$AB$5:$AB$1000,AB270,$C$5:$C$1000,"&lt;&gt;"&amp;C270))</f>
        <v/>
      </c>
      <c r="Y270" s="33"/>
      <c r="Z270" s="31"/>
      <c r="AA270" s="33"/>
      <c r="AB270" s="37" t="str">
        <f aca="false">IF(B270="","",YEAR(B270)*100+MONTH(B270))</f>
        <v/>
      </c>
      <c r="AC270" s="37" t="str">
        <f aca="false">IF(AND(E270&lt;&gt;"",E270=Cruce!$C$5),COUNTIF($E$5:E270,E270),"")</f>
        <v/>
      </c>
      <c r="AD270" s="37" t="str">
        <f aca="false">IF(E270="","",C270&amp;"|"&amp;Y270&amp;"|"&amp;IF(B270="","s/f",TEXT(B270,"yyyymmdd")))</f>
        <v/>
      </c>
      <c r="AE270" s="37" t="n">
        <f aca="false">IF(E270="",0,IF(COUNTIFS($E$5:E270,E270,$AD$5:AD270,AD270)=1,1,0))</f>
        <v>0</v>
      </c>
    </row>
    <row r="271" customFormat="false" ht="15" hidden="false" customHeight="true" outlineLevel="0" collapsed="false">
      <c r="A271" s="31"/>
      <c r="B271" s="30"/>
      <c r="C271" s="31"/>
      <c r="D271" s="31"/>
      <c r="E271" s="32"/>
      <c r="F271" s="32"/>
      <c r="G271" s="33"/>
      <c r="H271" s="31"/>
      <c r="I271" s="24" t="str">
        <f aca="false">IF(B271="","",YEAR(B271))</f>
        <v/>
      </c>
      <c r="J271" s="34" t="str">
        <f aca="false">IF(B271="","",IF(MONTH(B271)=1,"X",""))</f>
        <v/>
      </c>
      <c r="K271" s="34" t="str">
        <f aca="false">IF(B271="","",IF(MONTH(B271)=2,"X",""))</f>
        <v/>
      </c>
      <c r="L271" s="34" t="str">
        <f aca="false">IF(B271="","",IF(MONTH(B271)=3,"X",""))</f>
        <v/>
      </c>
      <c r="M271" s="34" t="str">
        <f aca="false">IF(B271="","",IF(MONTH(B271)=4,"X",""))</f>
        <v/>
      </c>
      <c r="N271" s="34" t="str">
        <f aca="false">IF(B271="","",IF(MONTH(B271)=5,"X",""))</f>
        <v/>
      </c>
      <c r="O271" s="34" t="str">
        <f aca="false">IF(B271="","",IF(MONTH(B271)=6,"X",""))</f>
        <v/>
      </c>
      <c r="P271" s="34" t="str">
        <f aca="false">IF(B271="","",IF(MONTH(B271)=7,"X",""))</f>
        <v/>
      </c>
      <c r="Q271" s="34" t="str">
        <f aca="false">IF(B271="","",IF(MONTH(B271)=8,"X",""))</f>
        <v/>
      </c>
      <c r="R271" s="34" t="str">
        <f aca="false">IF(B271="","",IF(MONTH(B271)=9,"X",""))</f>
        <v/>
      </c>
      <c r="S271" s="34" t="str">
        <f aca="false">IF(B271="","",IF(MONTH(B271)=10,"X",""))</f>
        <v/>
      </c>
      <c r="T271" s="34" t="str">
        <f aca="false">IF(B271="","",IF(MONTH(B271)=11,"X",""))</f>
        <v/>
      </c>
      <c r="U271" s="34" t="str">
        <f aca="false">IF(B271="","",IF(MONTH(B271)=12,"X",""))</f>
        <v/>
      </c>
      <c r="V271" s="24" t="str">
        <f aca="false">IF(E271="","",COUNTIF($E$5:$E$1000,E271))</f>
        <v/>
      </c>
      <c r="W271" s="35" t="str">
        <f aca="false">IF(E271="","",_xlfn.TEXTJOIN(" + ",TRUE(),IF(COUNTIFS($E$5:$E$1000,E271,$C$5:$C$1000,"Auditoría Interna")&gt;0,"Interna",""),IF(COUNTIFS($E$5:$E$1000,E271,$C$5:$C$1000,"Auditoría Externa")&gt;0,"Externa",""),IF(COUNTIFS($E$5:$E$1000,E271,$C$5:$C$1000,"SSF")&gt;0,"SSF",""),IF(COUNTIFS($E$5:$E$1000,E271,$C$5:$C$1000,"Comité de Supervisión")&gt;0,"Comité Sup.",""),IF(COUNTIFS($E$5:$E$1000,E271,$C$5:$C$1000,"Consejo de Administración")&gt;0,"Consejo",""),IF(COUNTIFS($E$5:$E$1000,E271,$C$5:$C$1000,"Otros")&gt;0,"Otros","")))</f>
        <v/>
      </c>
      <c r="X271" s="24" t="str">
        <f aca="false">IF(E271="","",COUNTIFS($E$5:$E$1000,E271,$AB$5:$AB$1000,AB271,$C$5:$C$1000,"&lt;&gt;"&amp;C271))</f>
        <v/>
      </c>
      <c r="Y271" s="33"/>
      <c r="Z271" s="31"/>
      <c r="AA271" s="33"/>
      <c r="AB271" s="37" t="str">
        <f aca="false">IF(B271="","",YEAR(B271)*100+MONTH(B271))</f>
        <v/>
      </c>
      <c r="AC271" s="37" t="str">
        <f aca="false">IF(AND(E271&lt;&gt;"",E271=Cruce!$C$5),COUNTIF($E$5:E271,E271),"")</f>
        <v/>
      </c>
      <c r="AD271" s="37" t="str">
        <f aca="false">IF(E271="","",C271&amp;"|"&amp;Y271&amp;"|"&amp;IF(B271="","s/f",TEXT(B271,"yyyymmdd")))</f>
        <v/>
      </c>
      <c r="AE271" s="37" t="n">
        <f aca="false">IF(E271="",0,IF(COUNTIFS($E$5:E271,E271,$AD$5:AD271,AD271)=1,1,0))</f>
        <v>0</v>
      </c>
    </row>
    <row r="272" customFormat="false" ht="15" hidden="false" customHeight="true" outlineLevel="0" collapsed="false">
      <c r="A272" s="31"/>
      <c r="B272" s="30"/>
      <c r="C272" s="31"/>
      <c r="D272" s="31"/>
      <c r="E272" s="32"/>
      <c r="F272" s="32"/>
      <c r="G272" s="33"/>
      <c r="H272" s="31"/>
      <c r="I272" s="24" t="str">
        <f aca="false">IF(B272="","",YEAR(B272))</f>
        <v/>
      </c>
      <c r="J272" s="34" t="str">
        <f aca="false">IF(B272="","",IF(MONTH(B272)=1,"X",""))</f>
        <v/>
      </c>
      <c r="K272" s="34" t="str">
        <f aca="false">IF(B272="","",IF(MONTH(B272)=2,"X",""))</f>
        <v/>
      </c>
      <c r="L272" s="34" t="str">
        <f aca="false">IF(B272="","",IF(MONTH(B272)=3,"X",""))</f>
        <v/>
      </c>
      <c r="M272" s="34" t="str">
        <f aca="false">IF(B272="","",IF(MONTH(B272)=4,"X",""))</f>
        <v/>
      </c>
      <c r="N272" s="34" t="str">
        <f aca="false">IF(B272="","",IF(MONTH(B272)=5,"X",""))</f>
        <v/>
      </c>
      <c r="O272" s="34" t="str">
        <f aca="false">IF(B272="","",IF(MONTH(B272)=6,"X",""))</f>
        <v/>
      </c>
      <c r="P272" s="34" t="str">
        <f aca="false">IF(B272="","",IF(MONTH(B272)=7,"X",""))</f>
        <v/>
      </c>
      <c r="Q272" s="34" t="str">
        <f aca="false">IF(B272="","",IF(MONTH(B272)=8,"X",""))</f>
        <v/>
      </c>
      <c r="R272" s="34" t="str">
        <f aca="false">IF(B272="","",IF(MONTH(B272)=9,"X",""))</f>
        <v/>
      </c>
      <c r="S272" s="34" t="str">
        <f aca="false">IF(B272="","",IF(MONTH(B272)=10,"X",""))</f>
        <v/>
      </c>
      <c r="T272" s="34" t="str">
        <f aca="false">IF(B272="","",IF(MONTH(B272)=11,"X",""))</f>
        <v/>
      </c>
      <c r="U272" s="34" t="str">
        <f aca="false">IF(B272="","",IF(MONTH(B272)=12,"X",""))</f>
        <v/>
      </c>
      <c r="V272" s="24" t="str">
        <f aca="false">IF(E272="","",COUNTIF($E$5:$E$1000,E272))</f>
        <v/>
      </c>
      <c r="W272" s="35" t="str">
        <f aca="false">IF(E272="","",_xlfn.TEXTJOIN(" + ",TRUE(),IF(COUNTIFS($E$5:$E$1000,E272,$C$5:$C$1000,"Auditoría Interna")&gt;0,"Interna",""),IF(COUNTIFS($E$5:$E$1000,E272,$C$5:$C$1000,"Auditoría Externa")&gt;0,"Externa",""),IF(COUNTIFS($E$5:$E$1000,E272,$C$5:$C$1000,"SSF")&gt;0,"SSF",""),IF(COUNTIFS($E$5:$E$1000,E272,$C$5:$C$1000,"Comité de Supervisión")&gt;0,"Comité Sup.",""),IF(COUNTIFS($E$5:$E$1000,E272,$C$5:$C$1000,"Consejo de Administración")&gt;0,"Consejo",""),IF(COUNTIFS($E$5:$E$1000,E272,$C$5:$C$1000,"Otros")&gt;0,"Otros","")))</f>
        <v/>
      </c>
      <c r="X272" s="24" t="str">
        <f aca="false">IF(E272="","",COUNTIFS($E$5:$E$1000,E272,$AB$5:$AB$1000,AB272,$C$5:$C$1000,"&lt;&gt;"&amp;C272))</f>
        <v/>
      </c>
      <c r="Y272" s="33"/>
      <c r="Z272" s="31"/>
      <c r="AA272" s="33"/>
      <c r="AB272" s="37" t="str">
        <f aca="false">IF(B272="","",YEAR(B272)*100+MONTH(B272))</f>
        <v/>
      </c>
      <c r="AC272" s="37" t="str">
        <f aca="false">IF(AND(E272&lt;&gt;"",E272=Cruce!$C$5),COUNTIF($E$5:E272,E272),"")</f>
        <v/>
      </c>
      <c r="AD272" s="37" t="str">
        <f aca="false">IF(E272="","",C272&amp;"|"&amp;Y272&amp;"|"&amp;IF(B272="","s/f",TEXT(B272,"yyyymmdd")))</f>
        <v/>
      </c>
      <c r="AE272" s="37" t="n">
        <f aca="false">IF(E272="",0,IF(COUNTIFS($E$5:E272,E272,$AD$5:AD272,AD272)=1,1,0))</f>
        <v>0</v>
      </c>
    </row>
    <row r="273" customFormat="false" ht="15" hidden="false" customHeight="true" outlineLevel="0" collapsed="false">
      <c r="A273" s="31"/>
      <c r="B273" s="30"/>
      <c r="C273" s="31"/>
      <c r="D273" s="31"/>
      <c r="E273" s="32"/>
      <c r="F273" s="32"/>
      <c r="G273" s="33"/>
      <c r="H273" s="31"/>
      <c r="I273" s="24" t="str">
        <f aca="false">IF(B273="","",YEAR(B273))</f>
        <v/>
      </c>
      <c r="J273" s="34" t="str">
        <f aca="false">IF(B273="","",IF(MONTH(B273)=1,"X",""))</f>
        <v/>
      </c>
      <c r="K273" s="34" t="str">
        <f aca="false">IF(B273="","",IF(MONTH(B273)=2,"X",""))</f>
        <v/>
      </c>
      <c r="L273" s="34" t="str">
        <f aca="false">IF(B273="","",IF(MONTH(B273)=3,"X",""))</f>
        <v/>
      </c>
      <c r="M273" s="34" t="str">
        <f aca="false">IF(B273="","",IF(MONTH(B273)=4,"X",""))</f>
        <v/>
      </c>
      <c r="N273" s="34" t="str">
        <f aca="false">IF(B273="","",IF(MONTH(B273)=5,"X",""))</f>
        <v/>
      </c>
      <c r="O273" s="34" t="str">
        <f aca="false">IF(B273="","",IF(MONTH(B273)=6,"X",""))</f>
        <v/>
      </c>
      <c r="P273" s="34" t="str">
        <f aca="false">IF(B273="","",IF(MONTH(B273)=7,"X",""))</f>
        <v/>
      </c>
      <c r="Q273" s="34" t="str">
        <f aca="false">IF(B273="","",IF(MONTH(B273)=8,"X",""))</f>
        <v/>
      </c>
      <c r="R273" s="34" t="str">
        <f aca="false">IF(B273="","",IF(MONTH(B273)=9,"X",""))</f>
        <v/>
      </c>
      <c r="S273" s="34" t="str">
        <f aca="false">IF(B273="","",IF(MONTH(B273)=10,"X",""))</f>
        <v/>
      </c>
      <c r="T273" s="34" t="str">
        <f aca="false">IF(B273="","",IF(MONTH(B273)=11,"X",""))</f>
        <v/>
      </c>
      <c r="U273" s="34" t="str">
        <f aca="false">IF(B273="","",IF(MONTH(B273)=12,"X",""))</f>
        <v/>
      </c>
      <c r="V273" s="24" t="str">
        <f aca="false">IF(E273="","",COUNTIF($E$5:$E$1000,E273))</f>
        <v/>
      </c>
      <c r="W273" s="35" t="str">
        <f aca="false">IF(E273="","",_xlfn.TEXTJOIN(" + ",TRUE(),IF(COUNTIFS($E$5:$E$1000,E273,$C$5:$C$1000,"Auditoría Interna")&gt;0,"Interna",""),IF(COUNTIFS($E$5:$E$1000,E273,$C$5:$C$1000,"Auditoría Externa")&gt;0,"Externa",""),IF(COUNTIFS($E$5:$E$1000,E273,$C$5:$C$1000,"SSF")&gt;0,"SSF",""),IF(COUNTIFS($E$5:$E$1000,E273,$C$5:$C$1000,"Comité de Supervisión")&gt;0,"Comité Sup.",""),IF(COUNTIFS($E$5:$E$1000,E273,$C$5:$C$1000,"Consejo de Administración")&gt;0,"Consejo",""),IF(COUNTIFS($E$5:$E$1000,E273,$C$5:$C$1000,"Otros")&gt;0,"Otros","")))</f>
        <v/>
      </c>
      <c r="X273" s="24" t="str">
        <f aca="false">IF(E273="","",COUNTIFS($E$5:$E$1000,E273,$AB$5:$AB$1000,AB273,$C$5:$C$1000,"&lt;&gt;"&amp;C273))</f>
        <v/>
      </c>
      <c r="Y273" s="33"/>
      <c r="Z273" s="31"/>
      <c r="AA273" s="33"/>
      <c r="AB273" s="37" t="str">
        <f aca="false">IF(B273="","",YEAR(B273)*100+MONTH(B273))</f>
        <v/>
      </c>
      <c r="AC273" s="37" t="str">
        <f aca="false">IF(AND(E273&lt;&gt;"",E273=Cruce!$C$5),COUNTIF($E$5:E273,E273),"")</f>
        <v/>
      </c>
      <c r="AD273" s="37" t="str">
        <f aca="false">IF(E273="","",C273&amp;"|"&amp;Y273&amp;"|"&amp;IF(B273="","s/f",TEXT(B273,"yyyymmdd")))</f>
        <v/>
      </c>
      <c r="AE273" s="37" t="n">
        <f aca="false">IF(E273="",0,IF(COUNTIFS($E$5:E273,E273,$AD$5:AD273,AD273)=1,1,0))</f>
        <v>0</v>
      </c>
    </row>
    <row r="274" customFormat="false" ht="15" hidden="false" customHeight="true" outlineLevel="0" collapsed="false">
      <c r="A274" s="31"/>
      <c r="B274" s="30"/>
      <c r="C274" s="31"/>
      <c r="D274" s="31"/>
      <c r="E274" s="32"/>
      <c r="F274" s="32"/>
      <c r="G274" s="33"/>
      <c r="H274" s="31"/>
      <c r="I274" s="24" t="str">
        <f aca="false">IF(B274="","",YEAR(B274))</f>
        <v/>
      </c>
      <c r="J274" s="34" t="str">
        <f aca="false">IF(B274="","",IF(MONTH(B274)=1,"X",""))</f>
        <v/>
      </c>
      <c r="K274" s="34" t="str">
        <f aca="false">IF(B274="","",IF(MONTH(B274)=2,"X",""))</f>
        <v/>
      </c>
      <c r="L274" s="34" t="str">
        <f aca="false">IF(B274="","",IF(MONTH(B274)=3,"X",""))</f>
        <v/>
      </c>
      <c r="M274" s="34" t="str">
        <f aca="false">IF(B274="","",IF(MONTH(B274)=4,"X",""))</f>
        <v/>
      </c>
      <c r="N274" s="34" t="str">
        <f aca="false">IF(B274="","",IF(MONTH(B274)=5,"X",""))</f>
        <v/>
      </c>
      <c r="O274" s="34" t="str">
        <f aca="false">IF(B274="","",IF(MONTH(B274)=6,"X",""))</f>
        <v/>
      </c>
      <c r="P274" s="34" t="str">
        <f aca="false">IF(B274="","",IF(MONTH(B274)=7,"X",""))</f>
        <v/>
      </c>
      <c r="Q274" s="34" t="str">
        <f aca="false">IF(B274="","",IF(MONTH(B274)=8,"X",""))</f>
        <v/>
      </c>
      <c r="R274" s="34" t="str">
        <f aca="false">IF(B274="","",IF(MONTH(B274)=9,"X",""))</f>
        <v/>
      </c>
      <c r="S274" s="34" t="str">
        <f aca="false">IF(B274="","",IF(MONTH(B274)=10,"X",""))</f>
        <v/>
      </c>
      <c r="T274" s="34" t="str">
        <f aca="false">IF(B274="","",IF(MONTH(B274)=11,"X",""))</f>
        <v/>
      </c>
      <c r="U274" s="34" t="str">
        <f aca="false">IF(B274="","",IF(MONTH(B274)=12,"X",""))</f>
        <v/>
      </c>
      <c r="V274" s="24" t="str">
        <f aca="false">IF(E274="","",COUNTIF($E$5:$E$1000,E274))</f>
        <v/>
      </c>
      <c r="W274" s="35" t="str">
        <f aca="false">IF(E274="","",_xlfn.TEXTJOIN(" + ",TRUE(),IF(COUNTIFS($E$5:$E$1000,E274,$C$5:$C$1000,"Auditoría Interna")&gt;0,"Interna",""),IF(COUNTIFS($E$5:$E$1000,E274,$C$5:$C$1000,"Auditoría Externa")&gt;0,"Externa",""),IF(COUNTIFS($E$5:$E$1000,E274,$C$5:$C$1000,"SSF")&gt;0,"SSF",""),IF(COUNTIFS($E$5:$E$1000,E274,$C$5:$C$1000,"Comité de Supervisión")&gt;0,"Comité Sup.",""),IF(COUNTIFS($E$5:$E$1000,E274,$C$5:$C$1000,"Consejo de Administración")&gt;0,"Consejo",""),IF(COUNTIFS($E$5:$E$1000,E274,$C$5:$C$1000,"Otros")&gt;0,"Otros","")))</f>
        <v/>
      </c>
      <c r="X274" s="24" t="str">
        <f aca="false">IF(E274="","",COUNTIFS($E$5:$E$1000,E274,$AB$5:$AB$1000,AB274,$C$5:$C$1000,"&lt;&gt;"&amp;C274))</f>
        <v/>
      </c>
      <c r="Y274" s="33"/>
      <c r="Z274" s="31"/>
      <c r="AA274" s="33"/>
      <c r="AB274" s="37" t="str">
        <f aca="false">IF(B274="","",YEAR(B274)*100+MONTH(B274))</f>
        <v/>
      </c>
      <c r="AC274" s="37" t="str">
        <f aca="false">IF(AND(E274&lt;&gt;"",E274=Cruce!$C$5),COUNTIF($E$5:E274,E274),"")</f>
        <v/>
      </c>
      <c r="AD274" s="37" t="str">
        <f aca="false">IF(E274="","",C274&amp;"|"&amp;Y274&amp;"|"&amp;IF(B274="","s/f",TEXT(B274,"yyyymmdd")))</f>
        <v/>
      </c>
      <c r="AE274" s="37" t="n">
        <f aca="false">IF(E274="",0,IF(COUNTIFS($E$5:E274,E274,$AD$5:AD274,AD274)=1,1,0))</f>
        <v>0</v>
      </c>
    </row>
    <row r="275" customFormat="false" ht="15" hidden="false" customHeight="true" outlineLevel="0" collapsed="false">
      <c r="A275" s="31"/>
      <c r="B275" s="30"/>
      <c r="C275" s="31"/>
      <c r="D275" s="31"/>
      <c r="E275" s="32"/>
      <c r="F275" s="32"/>
      <c r="G275" s="33"/>
      <c r="H275" s="31"/>
      <c r="I275" s="24" t="str">
        <f aca="false">IF(B275="","",YEAR(B275))</f>
        <v/>
      </c>
      <c r="J275" s="34" t="str">
        <f aca="false">IF(B275="","",IF(MONTH(B275)=1,"X",""))</f>
        <v/>
      </c>
      <c r="K275" s="34" t="str">
        <f aca="false">IF(B275="","",IF(MONTH(B275)=2,"X",""))</f>
        <v/>
      </c>
      <c r="L275" s="34" t="str">
        <f aca="false">IF(B275="","",IF(MONTH(B275)=3,"X",""))</f>
        <v/>
      </c>
      <c r="M275" s="34" t="str">
        <f aca="false">IF(B275="","",IF(MONTH(B275)=4,"X",""))</f>
        <v/>
      </c>
      <c r="N275" s="34" t="str">
        <f aca="false">IF(B275="","",IF(MONTH(B275)=5,"X",""))</f>
        <v/>
      </c>
      <c r="O275" s="34" t="str">
        <f aca="false">IF(B275="","",IF(MONTH(B275)=6,"X",""))</f>
        <v/>
      </c>
      <c r="P275" s="34" t="str">
        <f aca="false">IF(B275="","",IF(MONTH(B275)=7,"X",""))</f>
        <v/>
      </c>
      <c r="Q275" s="34" t="str">
        <f aca="false">IF(B275="","",IF(MONTH(B275)=8,"X",""))</f>
        <v/>
      </c>
      <c r="R275" s="34" t="str">
        <f aca="false">IF(B275="","",IF(MONTH(B275)=9,"X",""))</f>
        <v/>
      </c>
      <c r="S275" s="34" t="str">
        <f aca="false">IF(B275="","",IF(MONTH(B275)=10,"X",""))</f>
        <v/>
      </c>
      <c r="T275" s="34" t="str">
        <f aca="false">IF(B275="","",IF(MONTH(B275)=11,"X",""))</f>
        <v/>
      </c>
      <c r="U275" s="34" t="str">
        <f aca="false">IF(B275="","",IF(MONTH(B275)=12,"X",""))</f>
        <v/>
      </c>
      <c r="V275" s="24" t="str">
        <f aca="false">IF(E275="","",COUNTIF($E$5:$E$1000,E275))</f>
        <v/>
      </c>
      <c r="W275" s="35" t="str">
        <f aca="false">IF(E275="","",_xlfn.TEXTJOIN(" + ",TRUE(),IF(COUNTIFS($E$5:$E$1000,E275,$C$5:$C$1000,"Auditoría Interna")&gt;0,"Interna",""),IF(COUNTIFS($E$5:$E$1000,E275,$C$5:$C$1000,"Auditoría Externa")&gt;0,"Externa",""),IF(COUNTIFS($E$5:$E$1000,E275,$C$5:$C$1000,"SSF")&gt;0,"SSF",""),IF(COUNTIFS($E$5:$E$1000,E275,$C$5:$C$1000,"Comité de Supervisión")&gt;0,"Comité Sup.",""),IF(COUNTIFS($E$5:$E$1000,E275,$C$5:$C$1000,"Consejo de Administración")&gt;0,"Consejo",""),IF(COUNTIFS($E$5:$E$1000,E275,$C$5:$C$1000,"Otros")&gt;0,"Otros","")))</f>
        <v/>
      </c>
      <c r="X275" s="24" t="str">
        <f aca="false">IF(E275="","",COUNTIFS($E$5:$E$1000,E275,$AB$5:$AB$1000,AB275,$C$5:$C$1000,"&lt;&gt;"&amp;C275))</f>
        <v/>
      </c>
      <c r="Y275" s="33"/>
      <c r="Z275" s="31"/>
      <c r="AA275" s="33"/>
      <c r="AB275" s="37" t="str">
        <f aca="false">IF(B275="","",YEAR(B275)*100+MONTH(B275))</f>
        <v/>
      </c>
      <c r="AC275" s="37" t="str">
        <f aca="false">IF(AND(E275&lt;&gt;"",E275=Cruce!$C$5),COUNTIF($E$5:E275,E275),"")</f>
        <v/>
      </c>
      <c r="AD275" s="37" t="str">
        <f aca="false">IF(E275="","",C275&amp;"|"&amp;Y275&amp;"|"&amp;IF(B275="","s/f",TEXT(B275,"yyyymmdd")))</f>
        <v/>
      </c>
      <c r="AE275" s="37" t="n">
        <f aca="false">IF(E275="",0,IF(COUNTIFS($E$5:E275,E275,$AD$5:AD275,AD275)=1,1,0))</f>
        <v>0</v>
      </c>
    </row>
    <row r="276" customFormat="false" ht="15" hidden="false" customHeight="true" outlineLevel="0" collapsed="false">
      <c r="A276" s="31"/>
      <c r="B276" s="30"/>
      <c r="C276" s="31"/>
      <c r="D276" s="31"/>
      <c r="E276" s="32"/>
      <c r="F276" s="32"/>
      <c r="G276" s="33"/>
      <c r="H276" s="31"/>
      <c r="I276" s="24" t="str">
        <f aca="false">IF(B276="","",YEAR(B276))</f>
        <v/>
      </c>
      <c r="J276" s="34" t="str">
        <f aca="false">IF(B276="","",IF(MONTH(B276)=1,"X",""))</f>
        <v/>
      </c>
      <c r="K276" s="34" t="str">
        <f aca="false">IF(B276="","",IF(MONTH(B276)=2,"X",""))</f>
        <v/>
      </c>
      <c r="L276" s="34" t="str">
        <f aca="false">IF(B276="","",IF(MONTH(B276)=3,"X",""))</f>
        <v/>
      </c>
      <c r="M276" s="34" t="str">
        <f aca="false">IF(B276="","",IF(MONTH(B276)=4,"X",""))</f>
        <v/>
      </c>
      <c r="N276" s="34" t="str">
        <f aca="false">IF(B276="","",IF(MONTH(B276)=5,"X",""))</f>
        <v/>
      </c>
      <c r="O276" s="34" t="str">
        <f aca="false">IF(B276="","",IF(MONTH(B276)=6,"X",""))</f>
        <v/>
      </c>
      <c r="P276" s="34" t="str">
        <f aca="false">IF(B276="","",IF(MONTH(B276)=7,"X",""))</f>
        <v/>
      </c>
      <c r="Q276" s="34" t="str">
        <f aca="false">IF(B276="","",IF(MONTH(B276)=8,"X",""))</f>
        <v/>
      </c>
      <c r="R276" s="34" t="str">
        <f aca="false">IF(B276="","",IF(MONTH(B276)=9,"X",""))</f>
        <v/>
      </c>
      <c r="S276" s="34" t="str">
        <f aca="false">IF(B276="","",IF(MONTH(B276)=10,"X",""))</f>
        <v/>
      </c>
      <c r="T276" s="34" t="str">
        <f aca="false">IF(B276="","",IF(MONTH(B276)=11,"X",""))</f>
        <v/>
      </c>
      <c r="U276" s="34" t="str">
        <f aca="false">IF(B276="","",IF(MONTH(B276)=12,"X",""))</f>
        <v/>
      </c>
      <c r="V276" s="24" t="str">
        <f aca="false">IF(E276="","",COUNTIF($E$5:$E$1000,E276))</f>
        <v/>
      </c>
      <c r="W276" s="35" t="str">
        <f aca="false">IF(E276="","",_xlfn.TEXTJOIN(" + ",TRUE(),IF(COUNTIFS($E$5:$E$1000,E276,$C$5:$C$1000,"Auditoría Interna")&gt;0,"Interna",""),IF(COUNTIFS($E$5:$E$1000,E276,$C$5:$C$1000,"Auditoría Externa")&gt;0,"Externa",""),IF(COUNTIFS($E$5:$E$1000,E276,$C$5:$C$1000,"SSF")&gt;0,"SSF",""),IF(COUNTIFS($E$5:$E$1000,E276,$C$5:$C$1000,"Comité de Supervisión")&gt;0,"Comité Sup.",""),IF(COUNTIFS($E$5:$E$1000,E276,$C$5:$C$1000,"Consejo de Administración")&gt;0,"Consejo",""),IF(COUNTIFS($E$5:$E$1000,E276,$C$5:$C$1000,"Otros")&gt;0,"Otros","")))</f>
        <v/>
      </c>
      <c r="X276" s="24" t="str">
        <f aca="false">IF(E276="","",COUNTIFS($E$5:$E$1000,E276,$AB$5:$AB$1000,AB276,$C$5:$C$1000,"&lt;&gt;"&amp;C276))</f>
        <v/>
      </c>
      <c r="Y276" s="33"/>
      <c r="Z276" s="31"/>
      <c r="AA276" s="33"/>
      <c r="AB276" s="37" t="str">
        <f aca="false">IF(B276="","",YEAR(B276)*100+MONTH(B276))</f>
        <v/>
      </c>
      <c r="AC276" s="37" t="str">
        <f aca="false">IF(AND(E276&lt;&gt;"",E276=Cruce!$C$5),COUNTIF($E$5:E276,E276),"")</f>
        <v/>
      </c>
      <c r="AD276" s="37" t="str">
        <f aca="false">IF(E276="","",C276&amp;"|"&amp;Y276&amp;"|"&amp;IF(B276="","s/f",TEXT(B276,"yyyymmdd")))</f>
        <v/>
      </c>
      <c r="AE276" s="37" t="n">
        <f aca="false">IF(E276="",0,IF(COUNTIFS($E$5:E276,E276,$AD$5:AD276,AD276)=1,1,0))</f>
        <v>0</v>
      </c>
    </row>
    <row r="277" customFormat="false" ht="15" hidden="false" customHeight="true" outlineLevel="0" collapsed="false">
      <c r="A277" s="31"/>
      <c r="B277" s="30"/>
      <c r="C277" s="31"/>
      <c r="D277" s="31"/>
      <c r="E277" s="32"/>
      <c r="F277" s="32"/>
      <c r="G277" s="33"/>
      <c r="H277" s="31"/>
      <c r="I277" s="24" t="str">
        <f aca="false">IF(B277="","",YEAR(B277))</f>
        <v/>
      </c>
      <c r="J277" s="34" t="str">
        <f aca="false">IF(B277="","",IF(MONTH(B277)=1,"X",""))</f>
        <v/>
      </c>
      <c r="K277" s="34" t="str">
        <f aca="false">IF(B277="","",IF(MONTH(B277)=2,"X",""))</f>
        <v/>
      </c>
      <c r="L277" s="34" t="str">
        <f aca="false">IF(B277="","",IF(MONTH(B277)=3,"X",""))</f>
        <v/>
      </c>
      <c r="M277" s="34" t="str">
        <f aca="false">IF(B277="","",IF(MONTH(B277)=4,"X",""))</f>
        <v/>
      </c>
      <c r="N277" s="34" t="str">
        <f aca="false">IF(B277="","",IF(MONTH(B277)=5,"X",""))</f>
        <v/>
      </c>
      <c r="O277" s="34" t="str">
        <f aca="false">IF(B277="","",IF(MONTH(B277)=6,"X",""))</f>
        <v/>
      </c>
      <c r="P277" s="34" t="str">
        <f aca="false">IF(B277="","",IF(MONTH(B277)=7,"X",""))</f>
        <v/>
      </c>
      <c r="Q277" s="34" t="str">
        <f aca="false">IF(B277="","",IF(MONTH(B277)=8,"X",""))</f>
        <v/>
      </c>
      <c r="R277" s="34" t="str">
        <f aca="false">IF(B277="","",IF(MONTH(B277)=9,"X",""))</f>
        <v/>
      </c>
      <c r="S277" s="34" t="str">
        <f aca="false">IF(B277="","",IF(MONTH(B277)=10,"X",""))</f>
        <v/>
      </c>
      <c r="T277" s="34" t="str">
        <f aca="false">IF(B277="","",IF(MONTH(B277)=11,"X",""))</f>
        <v/>
      </c>
      <c r="U277" s="34" t="str">
        <f aca="false">IF(B277="","",IF(MONTH(B277)=12,"X",""))</f>
        <v/>
      </c>
      <c r="V277" s="24" t="str">
        <f aca="false">IF(E277="","",COUNTIF($E$5:$E$1000,E277))</f>
        <v/>
      </c>
      <c r="W277" s="35" t="str">
        <f aca="false">IF(E277="","",_xlfn.TEXTJOIN(" + ",TRUE(),IF(COUNTIFS($E$5:$E$1000,E277,$C$5:$C$1000,"Auditoría Interna")&gt;0,"Interna",""),IF(COUNTIFS($E$5:$E$1000,E277,$C$5:$C$1000,"Auditoría Externa")&gt;0,"Externa",""),IF(COUNTIFS($E$5:$E$1000,E277,$C$5:$C$1000,"SSF")&gt;0,"SSF",""),IF(COUNTIFS($E$5:$E$1000,E277,$C$5:$C$1000,"Comité de Supervisión")&gt;0,"Comité Sup.",""),IF(COUNTIFS($E$5:$E$1000,E277,$C$5:$C$1000,"Consejo de Administración")&gt;0,"Consejo",""),IF(COUNTIFS($E$5:$E$1000,E277,$C$5:$C$1000,"Otros")&gt;0,"Otros","")))</f>
        <v/>
      </c>
      <c r="X277" s="24" t="str">
        <f aca="false">IF(E277="","",COUNTIFS($E$5:$E$1000,E277,$AB$5:$AB$1000,AB277,$C$5:$C$1000,"&lt;&gt;"&amp;C277))</f>
        <v/>
      </c>
      <c r="Y277" s="33"/>
      <c r="Z277" s="31"/>
      <c r="AA277" s="33"/>
      <c r="AB277" s="37" t="str">
        <f aca="false">IF(B277="","",YEAR(B277)*100+MONTH(B277))</f>
        <v/>
      </c>
      <c r="AC277" s="37" t="str">
        <f aca="false">IF(AND(E277&lt;&gt;"",E277=Cruce!$C$5),COUNTIF($E$5:E277,E277),"")</f>
        <v/>
      </c>
      <c r="AD277" s="37" t="str">
        <f aca="false">IF(E277="","",C277&amp;"|"&amp;Y277&amp;"|"&amp;IF(B277="","s/f",TEXT(B277,"yyyymmdd")))</f>
        <v/>
      </c>
      <c r="AE277" s="37" t="n">
        <f aca="false">IF(E277="",0,IF(COUNTIFS($E$5:E277,E277,$AD$5:AD277,AD277)=1,1,0))</f>
        <v>0</v>
      </c>
    </row>
    <row r="278" customFormat="false" ht="15" hidden="false" customHeight="true" outlineLevel="0" collapsed="false">
      <c r="A278" s="31"/>
      <c r="B278" s="30"/>
      <c r="C278" s="31"/>
      <c r="D278" s="31"/>
      <c r="E278" s="32"/>
      <c r="F278" s="32"/>
      <c r="G278" s="33"/>
      <c r="H278" s="31"/>
      <c r="I278" s="24" t="str">
        <f aca="false">IF(B278="","",YEAR(B278))</f>
        <v/>
      </c>
      <c r="J278" s="34" t="str">
        <f aca="false">IF(B278="","",IF(MONTH(B278)=1,"X",""))</f>
        <v/>
      </c>
      <c r="K278" s="34" t="str">
        <f aca="false">IF(B278="","",IF(MONTH(B278)=2,"X",""))</f>
        <v/>
      </c>
      <c r="L278" s="34" t="str">
        <f aca="false">IF(B278="","",IF(MONTH(B278)=3,"X",""))</f>
        <v/>
      </c>
      <c r="M278" s="34" t="str">
        <f aca="false">IF(B278="","",IF(MONTH(B278)=4,"X",""))</f>
        <v/>
      </c>
      <c r="N278" s="34" t="str">
        <f aca="false">IF(B278="","",IF(MONTH(B278)=5,"X",""))</f>
        <v/>
      </c>
      <c r="O278" s="34" t="str">
        <f aca="false">IF(B278="","",IF(MONTH(B278)=6,"X",""))</f>
        <v/>
      </c>
      <c r="P278" s="34" t="str">
        <f aca="false">IF(B278="","",IF(MONTH(B278)=7,"X",""))</f>
        <v/>
      </c>
      <c r="Q278" s="34" t="str">
        <f aca="false">IF(B278="","",IF(MONTH(B278)=8,"X",""))</f>
        <v/>
      </c>
      <c r="R278" s="34" t="str">
        <f aca="false">IF(B278="","",IF(MONTH(B278)=9,"X",""))</f>
        <v/>
      </c>
      <c r="S278" s="34" t="str">
        <f aca="false">IF(B278="","",IF(MONTH(B278)=10,"X",""))</f>
        <v/>
      </c>
      <c r="T278" s="34" t="str">
        <f aca="false">IF(B278="","",IF(MONTH(B278)=11,"X",""))</f>
        <v/>
      </c>
      <c r="U278" s="34" t="str">
        <f aca="false">IF(B278="","",IF(MONTH(B278)=12,"X",""))</f>
        <v/>
      </c>
      <c r="V278" s="24" t="str">
        <f aca="false">IF(E278="","",COUNTIF($E$5:$E$1000,E278))</f>
        <v/>
      </c>
      <c r="W278" s="35" t="str">
        <f aca="false">IF(E278="","",_xlfn.TEXTJOIN(" + ",TRUE(),IF(COUNTIFS($E$5:$E$1000,E278,$C$5:$C$1000,"Auditoría Interna")&gt;0,"Interna",""),IF(COUNTIFS($E$5:$E$1000,E278,$C$5:$C$1000,"Auditoría Externa")&gt;0,"Externa",""),IF(COUNTIFS($E$5:$E$1000,E278,$C$5:$C$1000,"SSF")&gt;0,"SSF",""),IF(COUNTIFS($E$5:$E$1000,E278,$C$5:$C$1000,"Comité de Supervisión")&gt;0,"Comité Sup.",""),IF(COUNTIFS($E$5:$E$1000,E278,$C$5:$C$1000,"Consejo de Administración")&gt;0,"Consejo",""),IF(COUNTIFS($E$5:$E$1000,E278,$C$5:$C$1000,"Otros")&gt;0,"Otros","")))</f>
        <v/>
      </c>
      <c r="X278" s="24" t="str">
        <f aca="false">IF(E278="","",COUNTIFS($E$5:$E$1000,E278,$AB$5:$AB$1000,AB278,$C$5:$C$1000,"&lt;&gt;"&amp;C278))</f>
        <v/>
      </c>
      <c r="Y278" s="33"/>
      <c r="Z278" s="31"/>
      <c r="AA278" s="33"/>
      <c r="AB278" s="37" t="str">
        <f aca="false">IF(B278="","",YEAR(B278)*100+MONTH(B278))</f>
        <v/>
      </c>
      <c r="AC278" s="37" t="str">
        <f aca="false">IF(AND(E278&lt;&gt;"",E278=Cruce!$C$5),COUNTIF($E$5:E278,E278),"")</f>
        <v/>
      </c>
      <c r="AD278" s="37" t="str">
        <f aca="false">IF(E278="","",C278&amp;"|"&amp;Y278&amp;"|"&amp;IF(B278="","s/f",TEXT(B278,"yyyymmdd")))</f>
        <v/>
      </c>
      <c r="AE278" s="37" t="n">
        <f aca="false">IF(E278="",0,IF(COUNTIFS($E$5:E278,E278,$AD$5:AD278,AD278)=1,1,0))</f>
        <v>0</v>
      </c>
    </row>
    <row r="279" customFormat="false" ht="15" hidden="false" customHeight="true" outlineLevel="0" collapsed="false">
      <c r="A279" s="31"/>
      <c r="B279" s="30"/>
      <c r="C279" s="31"/>
      <c r="D279" s="31"/>
      <c r="E279" s="32"/>
      <c r="F279" s="32"/>
      <c r="G279" s="33"/>
      <c r="H279" s="31"/>
      <c r="I279" s="24" t="str">
        <f aca="false">IF(B279="","",YEAR(B279))</f>
        <v/>
      </c>
      <c r="J279" s="34" t="str">
        <f aca="false">IF(B279="","",IF(MONTH(B279)=1,"X",""))</f>
        <v/>
      </c>
      <c r="K279" s="34" t="str">
        <f aca="false">IF(B279="","",IF(MONTH(B279)=2,"X",""))</f>
        <v/>
      </c>
      <c r="L279" s="34" t="str">
        <f aca="false">IF(B279="","",IF(MONTH(B279)=3,"X",""))</f>
        <v/>
      </c>
      <c r="M279" s="34" t="str">
        <f aca="false">IF(B279="","",IF(MONTH(B279)=4,"X",""))</f>
        <v/>
      </c>
      <c r="N279" s="34" t="str">
        <f aca="false">IF(B279="","",IF(MONTH(B279)=5,"X",""))</f>
        <v/>
      </c>
      <c r="O279" s="34" t="str">
        <f aca="false">IF(B279="","",IF(MONTH(B279)=6,"X",""))</f>
        <v/>
      </c>
      <c r="P279" s="34" t="str">
        <f aca="false">IF(B279="","",IF(MONTH(B279)=7,"X",""))</f>
        <v/>
      </c>
      <c r="Q279" s="34" t="str">
        <f aca="false">IF(B279="","",IF(MONTH(B279)=8,"X",""))</f>
        <v/>
      </c>
      <c r="R279" s="34" t="str">
        <f aca="false">IF(B279="","",IF(MONTH(B279)=9,"X",""))</f>
        <v/>
      </c>
      <c r="S279" s="34" t="str">
        <f aca="false">IF(B279="","",IF(MONTH(B279)=10,"X",""))</f>
        <v/>
      </c>
      <c r="T279" s="34" t="str">
        <f aca="false">IF(B279="","",IF(MONTH(B279)=11,"X",""))</f>
        <v/>
      </c>
      <c r="U279" s="34" t="str">
        <f aca="false">IF(B279="","",IF(MONTH(B279)=12,"X",""))</f>
        <v/>
      </c>
      <c r="V279" s="24" t="str">
        <f aca="false">IF(E279="","",COUNTIF($E$5:$E$1000,E279))</f>
        <v/>
      </c>
      <c r="W279" s="35" t="str">
        <f aca="false">IF(E279="","",_xlfn.TEXTJOIN(" + ",TRUE(),IF(COUNTIFS($E$5:$E$1000,E279,$C$5:$C$1000,"Auditoría Interna")&gt;0,"Interna",""),IF(COUNTIFS($E$5:$E$1000,E279,$C$5:$C$1000,"Auditoría Externa")&gt;0,"Externa",""),IF(COUNTIFS($E$5:$E$1000,E279,$C$5:$C$1000,"SSF")&gt;0,"SSF",""),IF(COUNTIFS($E$5:$E$1000,E279,$C$5:$C$1000,"Comité de Supervisión")&gt;0,"Comité Sup.",""),IF(COUNTIFS($E$5:$E$1000,E279,$C$5:$C$1000,"Consejo de Administración")&gt;0,"Consejo",""),IF(COUNTIFS($E$5:$E$1000,E279,$C$5:$C$1000,"Otros")&gt;0,"Otros","")))</f>
        <v/>
      </c>
      <c r="X279" s="24" t="str">
        <f aca="false">IF(E279="","",COUNTIFS($E$5:$E$1000,E279,$AB$5:$AB$1000,AB279,$C$5:$C$1000,"&lt;&gt;"&amp;C279))</f>
        <v/>
      </c>
      <c r="Y279" s="33"/>
      <c r="Z279" s="31"/>
      <c r="AA279" s="33"/>
      <c r="AB279" s="37" t="str">
        <f aca="false">IF(B279="","",YEAR(B279)*100+MONTH(B279))</f>
        <v/>
      </c>
      <c r="AC279" s="37" t="str">
        <f aca="false">IF(AND(E279&lt;&gt;"",E279=Cruce!$C$5),COUNTIF($E$5:E279,E279),"")</f>
        <v/>
      </c>
      <c r="AD279" s="37" t="str">
        <f aca="false">IF(E279="","",C279&amp;"|"&amp;Y279&amp;"|"&amp;IF(B279="","s/f",TEXT(B279,"yyyymmdd")))</f>
        <v/>
      </c>
      <c r="AE279" s="37" t="n">
        <f aca="false">IF(E279="",0,IF(COUNTIFS($E$5:E279,E279,$AD$5:AD279,AD279)=1,1,0))</f>
        <v>0</v>
      </c>
    </row>
    <row r="280" customFormat="false" ht="15" hidden="false" customHeight="true" outlineLevel="0" collapsed="false">
      <c r="A280" s="31"/>
      <c r="B280" s="30"/>
      <c r="C280" s="31"/>
      <c r="D280" s="31"/>
      <c r="E280" s="32"/>
      <c r="F280" s="32"/>
      <c r="G280" s="33"/>
      <c r="H280" s="31"/>
      <c r="I280" s="24" t="str">
        <f aca="false">IF(B280="","",YEAR(B280))</f>
        <v/>
      </c>
      <c r="J280" s="34" t="str">
        <f aca="false">IF(B280="","",IF(MONTH(B280)=1,"X",""))</f>
        <v/>
      </c>
      <c r="K280" s="34" t="str">
        <f aca="false">IF(B280="","",IF(MONTH(B280)=2,"X",""))</f>
        <v/>
      </c>
      <c r="L280" s="34" t="str">
        <f aca="false">IF(B280="","",IF(MONTH(B280)=3,"X",""))</f>
        <v/>
      </c>
      <c r="M280" s="34" t="str">
        <f aca="false">IF(B280="","",IF(MONTH(B280)=4,"X",""))</f>
        <v/>
      </c>
      <c r="N280" s="34" t="str">
        <f aca="false">IF(B280="","",IF(MONTH(B280)=5,"X",""))</f>
        <v/>
      </c>
      <c r="O280" s="34" t="str">
        <f aca="false">IF(B280="","",IF(MONTH(B280)=6,"X",""))</f>
        <v/>
      </c>
      <c r="P280" s="34" t="str">
        <f aca="false">IF(B280="","",IF(MONTH(B280)=7,"X",""))</f>
        <v/>
      </c>
      <c r="Q280" s="34" t="str">
        <f aca="false">IF(B280="","",IF(MONTH(B280)=8,"X",""))</f>
        <v/>
      </c>
      <c r="R280" s="34" t="str">
        <f aca="false">IF(B280="","",IF(MONTH(B280)=9,"X",""))</f>
        <v/>
      </c>
      <c r="S280" s="34" t="str">
        <f aca="false">IF(B280="","",IF(MONTH(B280)=10,"X",""))</f>
        <v/>
      </c>
      <c r="T280" s="34" t="str">
        <f aca="false">IF(B280="","",IF(MONTH(B280)=11,"X",""))</f>
        <v/>
      </c>
      <c r="U280" s="34" t="str">
        <f aca="false">IF(B280="","",IF(MONTH(B280)=12,"X",""))</f>
        <v/>
      </c>
      <c r="V280" s="24" t="str">
        <f aca="false">IF(E280="","",COUNTIF($E$5:$E$1000,E280))</f>
        <v/>
      </c>
      <c r="W280" s="35" t="str">
        <f aca="false">IF(E280="","",_xlfn.TEXTJOIN(" + ",TRUE(),IF(COUNTIFS($E$5:$E$1000,E280,$C$5:$C$1000,"Auditoría Interna")&gt;0,"Interna",""),IF(COUNTIFS($E$5:$E$1000,E280,$C$5:$C$1000,"Auditoría Externa")&gt;0,"Externa",""),IF(COUNTIFS($E$5:$E$1000,E280,$C$5:$C$1000,"SSF")&gt;0,"SSF",""),IF(COUNTIFS($E$5:$E$1000,E280,$C$5:$C$1000,"Comité de Supervisión")&gt;0,"Comité Sup.",""),IF(COUNTIFS($E$5:$E$1000,E280,$C$5:$C$1000,"Consejo de Administración")&gt;0,"Consejo",""),IF(COUNTIFS($E$5:$E$1000,E280,$C$5:$C$1000,"Otros")&gt;0,"Otros","")))</f>
        <v/>
      </c>
      <c r="X280" s="24" t="str">
        <f aca="false">IF(E280="","",COUNTIFS($E$5:$E$1000,E280,$AB$5:$AB$1000,AB280,$C$5:$C$1000,"&lt;&gt;"&amp;C280))</f>
        <v/>
      </c>
      <c r="Y280" s="33"/>
      <c r="Z280" s="31"/>
      <c r="AA280" s="33"/>
      <c r="AB280" s="37" t="str">
        <f aca="false">IF(B280="","",YEAR(B280)*100+MONTH(B280))</f>
        <v/>
      </c>
      <c r="AC280" s="37" t="str">
        <f aca="false">IF(AND(E280&lt;&gt;"",E280=Cruce!$C$5),COUNTIF($E$5:E280,E280),"")</f>
        <v/>
      </c>
      <c r="AD280" s="37" t="str">
        <f aca="false">IF(E280="","",C280&amp;"|"&amp;Y280&amp;"|"&amp;IF(B280="","s/f",TEXT(B280,"yyyymmdd")))</f>
        <v/>
      </c>
      <c r="AE280" s="37" t="n">
        <f aca="false">IF(E280="",0,IF(COUNTIFS($E$5:E280,E280,$AD$5:AD280,AD280)=1,1,0))</f>
        <v>0</v>
      </c>
    </row>
    <row r="281" customFormat="false" ht="15" hidden="false" customHeight="true" outlineLevel="0" collapsed="false">
      <c r="A281" s="31"/>
      <c r="B281" s="30"/>
      <c r="C281" s="31"/>
      <c r="D281" s="31"/>
      <c r="E281" s="32"/>
      <c r="F281" s="32"/>
      <c r="G281" s="33"/>
      <c r="H281" s="31"/>
      <c r="I281" s="24" t="str">
        <f aca="false">IF(B281="","",YEAR(B281))</f>
        <v/>
      </c>
      <c r="J281" s="34" t="str">
        <f aca="false">IF(B281="","",IF(MONTH(B281)=1,"X",""))</f>
        <v/>
      </c>
      <c r="K281" s="34" t="str">
        <f aca="false">IF(B281="","",IF(MONTH(B281)=2,"X",""))</f>
        <v/>
      </c>
      <c r="L281" s="34" t="str">
        <f aca="false">IF(B281="","",IF(MONTH(B281)=3,"X",""))</f>
        <v/>
      </c>
      <c r="M281" s="34" t="str">
        <f aca="false">IF(B281="","",IF(MONTH(B281)=4,"X",""))</f>
        <v/>
      </c>
      <c r="N281" s="34" t="str">
        <f aca="false">IF(B281="","",IF(MONTH(B281)=5,"X",""))</f>
        <v/>
      </c>
      <c r="O281" s="34" t="str">
        <f aca="false">IF(B281="","",IF(MONTH(B281)=6,"X",""))</f>
        <v/>
      </c>
      <c r="P281" s="34" t="str">
        <f aca="false">IF(B281="","",IF(MONTH(B281)=7,"X",""))</f>
        <v/>
      </c>
      <c r="Q281" s="34" t="str">
        <f aca="false">IF(B281="","",IF(MONTH(B281)=8,"X",""))</f>
        <v/>
      </c>
      <c r="R281" s="34" t="str">
        <f aca="false">IF(B281="","",IF(MONTH(B281)=9,"X",""))</f>
        <v/>
      </c>
      <c r="S281" s="34" t="str">
        <f aca="false">IF(B281="","",IF(MONTH(B281)=10,"X",""))</f>
        <v/>
      </c>
      <c r="T281" s="34" t="str">
        <f aca="false">IF(B281="","",IF(MONTH(B281)=11,"X",""))</f>
        <v/>
      </c>
      <c r="U281" s="34" t="str">
        <f aca="false">IF(B281="","",IF(MONTH(B281)=12,"X",""))</f>
        <v/>
      </c>
      <c r="V281" s="24" t="str">
        <f aca="false">IF(E281="","",COUNTIF($E$5:$E$1000,E281))</f>
        <v/>
      </c>
      <c r="W281" s="35" t="str">
        <f aca="false">IF(E281="","",_xlfn.TEXTJOIN(" + ",TRUE(),IF(COUNTIFS($E$5:$E$1000,E281,$C$5:$C$1000,"Auditoría Interna")&gt;0,"Interna",""),IF(COUNTIFS($E$5:$E$1000,E281,$C$5:$C$1000,"Auditoría Externa")&gt;0,"Externa",""),IF(COUNTIFS($E$5:$E$1000,E281,$C$5:$C$1000,"SSF")&gt;0,"SSF",""),IF(COUNTIFS($E$5:$E$1000,E281,$C$5:$C$1000,"Comité de Supervisión")&gt;0,"Comité Sup.",""),IF(COUNTIFS($E$5:$E$1000,E281,$C$5:$C$1000,"Consejo de Administración")&gt;0,"Consejo",""),IF(COUNTIFS($E$5:$E$1000,E281,$C$5:$C$1000,"Otros")&gt;0,"Otros","")))</f>
        <v/>
      </c>
      <c r="X281" s="24" t="str">
        <f aca="false">IF(E281="","",COUNTIFS($E$5:$E$1000,E281,$AB$5:$AB$1000,AB281,$C$5:$C$1000,"&lt;&gt;"&amp;C281))</f>
        <v/>
      </c>
      <c r="Y281" s="33"/>
      <c r="Z281" s="31"/>
      <c r="AA281" s="33"/>
      <c r="AB281" s="37" t="str">
        <f aca="false">IF(B281="","",YEAR(B281)*100+MONTH(B281))</f>
        <v/>
      </c>
      <c r="AC281" s="37" t="str">
        <f aca="false">IF(AND(E281&lt;&gt;"",E281=Cruce!$C$5),COUNTIF($E$5:E281,E281),"")</f>
        <v/>
      </c>
      <c r="AD281" s="37" t="str">
        <f aca="false">IF(E281="","",C281&amp;"|"&amp;Y281&amp;"|"&amp;IF(B281="","s/f",TEXT(B281,"yyyymmdd")))</f>
        <v/>
      </c>
      <c r="AE281" s="37" t="n">
        <f aca="false">IF(E281="",0,IF(COUNTIFS($E$5:E281,E281,$AD$5:AD281,AD281)=1,1,0))</f>
        <v>0</v>
      </c>
    </row>
    <row r="282" customFormat="false" ht="15" hidden="false" customHeight="true" outlineLevel="0" collapsed="false">
      <c r="A282" s="31"/>
      <c r="B282" s="30"/>
      <c r="C282" s="31"/>
      <c r="D282" s="31"/>
      <c r="E282" s="32"/>
      <c r="F282" s="32"/>
      <c r="G282" s="33"/>
      <c r="H282" s="31"/>
      <c r="I282" s="24" t="str">
        <f aca="false">IF(B282="","",YEAR(B282))</f>
        <v/>
      </c>
      <c r="J282" s="34" t="str">
        <f aca="false">IF(B282="","",IF(MONTH(B282)=1,"X",""))</f>
        <v/>
      </c>
      <c r="K282" s="34" t="str">
        <f aca="false">IF(B282="","",IF(MONTH(B282)=2,"X",""))</f>
        <v/>
      </c>
      <c r="L282" s="34" t="str">
        <f aca="false">IF(B282="","",IF(MONTH(B282)=3,"X",""))</f>
        <v/>
      </c>
      <c r="M282" s="34" t="str">
        <f aca="false">IF(B282="","",IF(MONTH(B282)=4,"X",""))</f>
        <v/>
      </c>
      <c r="N282" s="34" t="str">
        <f aca="false">IF(B282="","",IF(MONTH(B282)=5,"X",""))</f>
        <v/>
      </c>
      <c r="O282" s="34" t="str">
        <f aca="false">IF(B282="","",IF(MONTH(B282)=6,"X",""))</f>
        <v/>
      </c>
      <c r="P282" s="34" t="str">
        <f aca="false">IF(B282="","",IF(MONTH(B282)=7,"X",""))</f>
        <v/>
      </c>
      <c r="Q282" s="34" t="str">
        <f aca="false">IF(B282="","",IF(MONTH(B282)=8,"X",""))</f>
        <v/>
      </c>
      <c r="R282" s="34" t="str">
        <f aca="false">IF(B282="","",IF(MONTH(B282)=9,"X",""))</f>
        <v/>
      </c>
      <c r="S282" s="34" t="str">
        <f aca="false">IF(B282="","",IF(MONTH(B282)=10,"X",""))</f>
        <v/>
      </c>
      <c r="T282" s="34" t="str">
        <f aca="false">IF(B282="","",IF(MONTH(B282)=11,"X",""))</f>
        <v/>
      </c>
      <c r="U282" s="34" t="str">
        <f aca="false">IF(B282="","",IF(MONTH(B282)=12,"X",""))</f>
        <v/>
      </c>
      <c r="V282" s="24" t="str">
        <f aca="false">IF(E282="","",COUNTIF($E$5:$E$1000,E282))</f>
        <v/>
      </c>
      <c r="W282" s="35" t="str">
        <f aca="false">IF(E282="","",_xlfn.TEXTJOIN(" + ",TRUE(),IF(COUNTIFS($E$5:$E$1000,E282,$C$5:$C$1000,"Auditoría Interna")&gt;0,"Interna",""),IF(COUNTIFS($E$5:$E$1000,E282,$C$5:$C$1000,"Auditoría Externa")&gt;0,"Externa",""),IF(COUNTIFS($E$5:$E$1000,E282,$C$5:$C$1000,"SSF")&gt;0,"SSF",""),IF(COUNTIFS($E$5:$E$1000,E282,$C$5:$C$1000,"Comité de Supervisión")&gt;0,"Comité Sup.",""),IF(COUNTIFS($E$5:$E$1000,E282,$C$5:$C$1000,"Consejo de Administración")&gt;0,"Consejo",""),IF(COUNTIFS($E$5:$E$1000,E282,$C$5:$C$1000,"Otros")&gt;0,"Otros","")))</f>
        <v/>
      </c>
      <c r="X282" s="24" t="str">
        <f aca="false">IF(E282="","",COUNTIFS($E$5:$E$1000,E282,$AB$5:$AB$1000,AB282,$C$5:$C$1000,"&lt;&gt;"&amp;C282))</f>
        <v/>
      </c>
      <c r="Y282" s="33"/>
      <c r="Z282" s="31"/>
      <c r="AA282" s="33"/>
      <c r="AB282" s="37" t="str">
        <f aca="false">IF(B282="","",YEAR(B282)*100+MONTH(B282))</f>
        <v/>
      </c>
      <c r="AC282" s="37" t="str">
        <f aca="false">IF(AND(E282&lt;&gt;"",E282=Cruce!$C$5),COUNTIF($E$5:E282,E282),"")</f>
        <v/>
      </c>
      <c r="AD282" s="37" t="str">
        <f aca="false">IF(E282="","",C282&amp;"|"&amp;Y282&amp;"|"&amp;IF(B282="","s/f",TEXT(B282,"yyyymmdd")))</f>
        <v/>
      </c>
      <c r="AE282" s="37" t="n">
        <f aca="false">IF(E282="",0,IF(COUNTIFS($E$5:E282,E282,$AD$5:AD282,AD282)=1,1,0))</f>
        <v>0</v>
      </c>
    </row>
    <row r="283" customFormat="false" ht="15" hidden="false" customHeight="true" outlineLevel="0" collapsed="false">
      <c r="A283" s="31"/>
      <c r="B283" s="30"/>
      <c r="C283" s="31"/>
      <c r="D283" s="31"/>
      <c r="E283" s="32"/>
      <c r="F283" s="32"/>
      <c r="G283" s="33"/>
      <c r="H283" s="31"/>
      <c r="I283" s="24" t="str">
        <f aca="false">IF(B283="","",YEAR(B283))</f>
        <v/>
      </c>
      <c r="J283" s="34" t="str">
        <f aca="false">IF(B283="","",IF(MONTH(B283)=1,"X",""))</f>
        <v/>
      </c>
      <c r="K283" s="34" t="str">
        <f aca="false">IF(B283="","",IF(MONTH(B283)=2,"X",""))</f>
        <v/>
      </c>
      <c r="L283" s="34" t="str">
        <f aca="false">IF(B283="","",IF(MONTH(B283)=3,"X",""))</f>
        <v/>
      </c>
      <c r="M283" s="34" t="str">
        <f aca="false">IF(B283="","",IF(MONTH(B283)=4,"X",""))</f>
        <v/>
      </c>
      <c r="N283" s="34" t="str">
        <f aca="false">IF(B283="","",IF(MONTH(B283)=5,"X",""))</f>
        <v/>
      </c>
      <c r="O283" s="34" t="str">
        <f aca="false">IF(B283="","",IF(MONTH(B283)=6,"X",""))</f>
        <v/>
      </c>
      <c r="P283" s="34" t="str">
        <f aca="false">IF(B283="","",IF(MONTH(B283)=7,"X",""))</f>
        <v/>
      </c>
      <c r="Q283" s="34" t="str">
        <f aca="false">IF(B283="","",IF(MONTH(B283)=8,"X",""))</f>
        <v/>
      </c>
      <c r="R283" s="34" t="str">
        <f aca="false">IF(B283="","",IF(MONTH(B283)=9,"X",""))</f>
        <v/>
      </c>
      <c r="S283" s="34" t="str">
        <f aca="false">IF(B283="","",IF(MONTH(B283)=10,"X",""))</f>
        <v/>
      </c>
      <c r="T283" s="34" t="str">
        <f aca="false">IF(B283="","",IF(MONTH(B283)=11,"X",""))</f>
        <v/>
      </c>
      <c r="U283" s="34" t="str">
        <f aca="false">IF(B283="","",IF(MONTH(B283)=12,"X",""))</f>
        <v/>
      </c>
      <c r="V283" s="24" t="str">
        <f aca="false">IF(E283="","",COUNTIF($E$5:$E$1000,E283))</f>
        <v/>
      </c>
      <c r="W283" s="35" t="str">
        <f aca="false">IF(E283="","",_xlfn.TEXTJOIN(" + ",TRUE(),IF(COUNTIFS($E$5:$E$1000,E283,$C$5:$C$1000,"Auditoría Interna")&gt;0,"Interna",""),IF(COUNTIFS($E$5:$E$1000,E283,$C$5:$C$1000,"Auditoría Externa")&gt;0,"Externa",""),IF(COUNTIFS($E$5:$E$1000,E283,$C$5:$C$1000,"SSF")&gt;0,"SSF",""),IF(COUNTIFS($E$5:$E$1000,E283,$C$5:$C$1000,"Comité de Supervisión")&gt;0,"Comité Sup.",""),IF(COUNTIFS($E$5:$E$1000,E283,$C$5:$C$1000,"Consejo de Administración")&gt;0,"Consejo",""),IF(COUNTIFS($E$5:$E$1000,E283,$C$5:$C$1000,"Otros")&gt;0,"Otros","")))</f>
        <v/>
      </c>
      <c r="X283" s="24" t="str">
        <f aca="false">IF(E283="","",COUNTIFS($E$5:$E$1000,E283,$AB$5:$AB$1000,AB283,$C$5:$C$1000,"&lt;&gt;"&amp;C283))</f>
        <v/>
      </c>
      <c r="Y283" s="33"/>
      <c r="Z283" s="31"/>
      <c r="AA283" s="33"/>
      <c r="AB283" s="37" t="str">
        <f aca="false">IF(B283="","",YEAR(B283)*100+MONTH(B283))</f>
        <v/>
      </c>
      <c r="AC283" s="37" t="str">
        <f aca="false">IF(AND(E283&lt;&gt;"",E283=Cruce!$C$5),COUNTIF($E$5:E283,E283),"")</f>
        <v/>
      </c>
      <c r="AD283" s="37" t="str">
        <f aca="false">IF(E283="","",C283&amp;"|"&amp;Y283&amp;"|"&amp;IF(B283="","s/f",TEXT(B283,"yyyymmdd")))</f>
        <v/>
      </c>
      <c r="AE283" s="37" t="n">
        <f aca="false">IF(E283="",0,IF(COUNTIFS($E$5:E283,E283,$AD$5:AD283,AD283)=1,1,0))</f>
        <v>0</v>
      </c>
    </row>
    <row r="284" customFormat="false" ht="15" hidden="false" customHeight="true" outlineLevel="0" collapsed="false">
      <c r="A284" s="31"/>
      <c r="B284" s="30"/>
      <c r="C284" s="31"/>
      <c r="D284" s="31"/>
      <c r="E284" s="32"/>
      <c r="F284" s="32"/>
      <c r="G284" s="33"/>
      <c r="H284" s="31"/>
      <c r="I284" s="24" t="str">
        <f aca="false">IF(B284="","",YEAR(B284))</f>
        <v/>
      </c>
      <c r="J284" s="34" t="str">
        <f aca="false">IF(B284="","",IF(MONTH(B284)=1,"X",""))</f>
        <v/>
      </c>
      <c r="K284" s="34" t="str">
        <f aca="false">IF(B284="","",IF(MONTH(B284)=2,"X",""))</f>
        <v/>
      </c>
      <c r="L284" s="34" t="str">
        <f aca="false">IF(B284="","",IF(MONTH(B284)=3,"X",""))</f>
        <v/>
      </c>
      <c r="M284" s="34" t="str">
        <f aca="false">IF(B284="","",IF(MONTH(B284)=4,"X",""))</f>
        <v/>
      </c>
      <c r="N284" s="34" t="str">
        <f aca="false">IF(B284="","",IF(MONTH(B284)=5,"X",""))</f>
        <v/>
      </c>
      <c r="O284" s="34" t="str">
        <f aca="false">IF(B284="","",IF(MONTH(B284)=6,"X",""))</f>
        <v/>
      </c>
      <c r="P284" s="34" t="str">
        <f aca="false">IF(B284="","",IF(MONTH(B284)=7,"X",""))</f>
        <v/>
      </c>
      <c r="Q284" s="34" t="str">
        <f aca="false">IF(B284="","",IF(MONTH(B284)=8,"X",""))</f>
        <v/>
      </c>
      <c r="R284" s="34" t="str">
        <f aca="false">IF(B284="","",IF(MONTH(B284)=9,"X",""))</f>
        <v/>
      </c>
      <c r="S284" s="34" t="str">
        <f aca="false">IF(B284="","",IF(MONTH(B284)=10,"X",""))</f>
        <v/>
      </c>
      <c r="T284" s="34" t="str">
        <f aca="false">IF(B284="","",IF(MONTH(B284)=11,"X",""))</f>
        <v/>
      </c>
      <c r="U284" s="34" t="str">
        <f aca="false">IF(B284="","",IF(MONTH(B284)=12,"X",""))</f>
        <v/>
      </c>
      <c r="V284" s="24" t="str">
        <f aca="false">IF(E284="","",COUNTIF($E$5:$E$1000,E284))</f>
        <v/>
      </c>
      <c r="W284" s="35" t="str">
        <f aca="false">IF(E284="","",_xlfn.TEXTJOIN(" + ",TRUE(),IF(COUNTIFS($E$5:$E$1000,E284,$C$5:$C$1000,"Auditoría Interna")&gt;0,"Interna",""),IF(COUNTIFS($E$5:$E$1000,E284,$C$5:$C$1000,"Auditoría Externa")&gt;0,"Externa",""),IF(COUNTIFS($E$5:$E$1000,E284,$C$5:$C$1000,"SSF")&gt;0,"SSF",""),IF(COUNTIFS($E$5:$E$1000,E284,$C$5:$C$1000,"Comité de Supervisión")&gt;0,"Comité Sup.",""),IF(COUNTIFS($E$5:$E$1000,E284,$C$5:$C$1000,"Consejo de Administración")&gt;0,"Consejo",""),IF(COUNTIFS($E$5:$E$1000,E284,$C$5:$C$1000,"Otros")&gt;0,"Otros","")))</f>
        <v/>
      </c>
      <c r="X284" s="24" t="str">
        <f aca="false">IF(E284="","",COUNTIFS($E$5:$E$1000,E284,$AB$5:$AB$1000,AB284,$C$5:$C$1000,"&lt;&gt;"&amp;C284))</f>
        <v/>
      </c>
      <c r="Y284" s="33"/>
      <c r="Z284" s="31"/>
      <c r="AA284" s="33"/>
      <c r="AB284" s="37" t="str">
        <f aca="false">IF(B284="","",YEAR(B284)*100+MONTH(B284))</f>
        <v/>
      </c>
      <c r="AC284" s="37" t="str">
        <f aca="false">IF(AND(E284&lt;&gt;"",E284=Cruce!$C$5),COUNTIF($E$5:E284,E284),"")</f>
        <v/>
      </c>
      <c r="AD284" s="37" t="str">
        <f aca="false">IF(E284="","",C284&amp;"|"&amp;Y284&amp;"|"&amp;IF(B284="","s/f",TEXT(B284,"yyyymmdd")))</f>
        <v/>
      </c>
      <c r="AE284" s="37" t="n">
        <f aca="false">IF(E284="",0,IF(COUNTIFS($E$5:E284,E284,$AD$5:AD284,AD284)=1,1,0))</f>
        <v>0</v>
      </c>
    </row>
    <row r="285" customFormat="false" ht="15" hidden="false" customHeight="true" outlineLevel="0" collapsed="false">
      <c r="A285" s="31"/>
      <c r="B285" s="30"/>
      <c r="C285" s="31"/>
      <c r="D285" s="31"/>
      <c r="E285" s="32"/>
      <c r="F285" s="32"/>
      <c r="G285" s="33"/>
      <c r="H285" s="31"/>
      <c r="I285" s="24" t="str">
        <f aca="false">IF(B285="","",YEAR(B285))</f>
        <v/>
      </c>
      <c r="J285" s="34" t="str">
        <f aca="false">IF(B285="","",IF(MONTH(B285)=1,"X",""))</f>
        <v/>
      </c>
      <c r="K285" s="34" t="str">
        <f aca="false">IF(B285="","",IF(MONTH(B285)=2,"X",""))</f>
        <v/>
      </c>
      <c r="L285" s="34" t="str">
        <f aca="false">IF(B285="","",IF(MONTH(B285)=3,"X",""))</f>
        <v/>
      </c>
      <c r="M285" s="34" t="str">
        <f aca="false">IF(B285="","",IF(MONTH(B285)=4,"X",""))</f>
        <v/>
      </c>
      <c r="N285" s="34" t="str">
        <f aca="false">IF(B285="","",IF(MONTH(B285)=5,"X",""))</f>
        <v/>
      </c>
      <c r="O285" s="34" t="str">
        <f aca="false">IF(B285="","",IF(MONTH(B285)=6,"X",""))</f>
        <v/>
      </c>
      <c r="P285" s="34" t="str">
        <f aca="false">IF(B285="","",IF(MONTH(B285)=7,"X",""))</f>
        <v/>
      </c>
      <c r="Q285" s="34" t="str">
        <f aca="false">IF(B285="","",IF(MONTH(B285)=8,"X",""))</f>
        <v/>
      </c>
      <c r="R285" s="34" t="str">
        <f aca="false">IF(B285="","",IF(MONTH(B285)=9,"X",""))</f>
        <v/>
      </c>
      <c r="S285" s="34" t="str">
        <f aca="false">IF(B285="","",IF(MONTH(B285)=10,"X",""))</f>
        <v/>
      </c>
      <c r="T285" s="34" t="str">
        <f aca="false">IF(B285="","",IF(MONTH(B285)=11,"X",""))</f>
        <v/>
      </c>
      <c r="U285" s="34" t="str">
        <f aca="false">IF(B285="","",IF(MONTH(B285)=12,"X",""))</f>
        <v/>
      </c>
      <c r="V285" s="24" t="str">
        <f aca="false">IF(E285="","",COUNTIF($E$5:$E$1000,E285))</f>
        <v/>
      </c>
      <c r="W285" s="35" t="str">
        <f aca="false">IF(E285="","",_xlfn.TEXTJOIN(" + ",TRUE(),IF(COUNTIFS($E$5:$E$1000,E285,$C$5:$C$1000,"Auditoría Interna")&gt;0,"Interna",""),IF(COUNTIFS($E$5:$E$1000,E285,$C$5:$C$1000,"Auditoría Externa")&gt;0,"Externa",""),IF(COUNTIFS($E$5:$E$1000,E285,$C$5:$C$1000,"SSF")&gt;0,"SSF",""),IF(COUNTIFS($E$5:$E$1000,E285,$C$5:$C$1000,"Comité de Supervisión")&gt;0,"Comité Sup.",""),IF(COUNTIFS($E$5:$E$1000,E285,$C$5:$C$1000,"Consejo de Administración")&gt;0,"Consejo",""),IF(COUNTIFS($E$5:$E$1000,E285,$C$5:$C$1000,"Otros")&gt;0,"Otros","")))</f>
        <v/>
      </c>
      <c r="X285" s="24" t="str">
        <f aca="false">IF(E285="","",COUNTIFS($E$5:$E$1000,E285,$AB$5:$AB$1000,AB285,$C$5:$C$1000,"&lt;&gt;"&amp;C285))</f>
        <v/>
      </c>
      <c r="Y285" s="33"/>
      <c r="Z285" s="31"/>
      <c r="AA285" s="33"/>
      <c r="AB285" s="37" t="str">
        <f aca="false">IF(B285="","",YEAR(B285)*100+MONTH(B285))</f>
        <v/>
      </c>
      <c r="AC285" s="37" t="str">
        <f aca="false">IF(AND(E285&lt;&gt;"",E285=Cruce!$C$5),COUNTIF($E$5:E285,E285),"")</f>
        <v/>
      </c>
      <c r="AD285" s="37" t="str">
        <f aca="false">IF(E285="","",C285&amp;"|"&amp;Y285&amp;"|"&amp;IF(B285="","s/f",TEXT(B285,"yyyymmdd")))</f>
        <v/>
      </c>
      <c r="AE285" s="37" t="n">
        <f aca="false">IF(E285="",0,IF(COUNTIFS($E$5:E285,E285,$AD$5:AD285,AD285)=1,1,0))</f>
        <v>0</v>
      </c>
    </row>
    <row r="286" customFormat="false" ht="15" hidden="false" customHeight="true" outlineLevel="0" collapsed="false">
      <c r="A286" s="31"/>
      <c r="B286" s="30"/>
      <c r="C286" s="31"/>
      <c r="D286" s="31"/>
      <c r="E286" s="32"/>
      <c r="F286" s="32"/>
      <c r="G286" s="33"/>
      <c r="H286" s="31"/>
      <c r="I286" s="24" t="str">
        <f aca="false">IF(B286="","",YEAR(B286))</f>
        <v/>
      </c>
      <c r="J286" s="34" t="str">
        <f aca="false">IF(B286="","",IF(MONTH(B286)=1,"X",""))</f>
        <v/>
      </c>
      <c r="K286" s="34" t="str">
        <f aca="false">IF(B286="","",IF(MONTH(B286)=2,"X",""))</f>
        <v/>
      </c>
      <c r="L286" s="34" t="str">
        <f aca="false">IF(B286="","",IF(MONTH(B286)=3,"X",""))</f>
        <v/>
      </c>
      <c r="M286" s="34" t="str">
        <f aca="false">IF(B286="","",IF(MONTH(B286)=4,"X",""))</f>
        <v/>
      </c>
      <c r="N286" s="34" t="str">
        <f aca="false">IF(B286="","",IF(MONTH(B286)=5,"X",""))</f>
        <v/>
      </c>
      <c r="O286" s="34" t="str">
        <f aca="false">IF(B286="","",IF(MONTH(B286)=6,"X",""))</f>
        <v/>
      </c>
      <c r="P286" s="34" t="str">
        <f aca="false">IF(B286="","",IF(MONTH(B286)=7,"X",""))</f>
        <v/>
      </c>
      <c r="Q286" s="34" t="str">
        <f aca="false">IF(B286="","",IF(MONTH(B286)=8,"X",""))</f>
        <v/>
      </c>
      <c r="R286" s="34" t="str">
        <f aca="false">IF(B286="","",IF(MONTH(B286)=9,"X",""))</f>
        <v/>
      </c>
      <c r="S286" s="34" t="str">
        <f aca="false">IF(B286="","",IF(MONTH(B286)=10,"X",""))</f>
        <v/>
      </c>
      <c r="T286" s="34" t="str">
        <f aca="false">IF(B286="","",IF(MONTH(B286)=11,"X",""))</f>
        <v/>
      </c>
      <c r="U286" s="34" t="str">
        <f aca="false">IF(B286="","",IF(MONTH(B286)=12,"X",""))</f>
        <v/>
      </c>
      <c r="V286" s="24" t="str">
        <f aca="false">IF(E286="","",COUNTIF($E$5:$E$1000,E286))</f>
        <v/>
      </c>
      <c r="W286" s="35" t="str">
        <f aca="false">IF(E286="","",_xlfn.TEXTJOIN(" + ",TRUE(),IF(COUNTIFS($E$5:$E$1000,E286,$C$5:$C$1000,"Auditoría Interna")&gt;0,"Interna",""),IF(COUNTIFS($E$5:$E$1000,E286,$C$5:$C$1000,"Auditoría Externa")&gt;0,"Externa",""),IF(COUNTIFS($E$5:$E$1000,E286,$C$5:$C$1000,"SSF")&gt;0,"SSF",""),IF(COUNTIFS($E$5:$E$1000,E286,$C$5:$C$1000,"Comité de Supervisión")&gt;0,"Comité Sup.",""),IF(COUNTIFS($E$5:$E$1000,E286,$C$5:$C$1000,"Consejo de Administración")&gt;0,"Consejo",""),IF(COUNTIFS($E$5:$E$1000,E286,$C$5:$C$1000,"Otros")&gt;0,"Otros","")))</f>
        <v/>
      </c>
      <c r="X286" s="24" t="str">
        <f aca="false">IF(E286="","",COUNTIFS($E$5:$E$1000,E286,$AB$5:$AB$1000,AB286,$C$5:$C$1000,"&lt;&gt;"&amp;C286))</f>
        <v/>
      </c>
      <c r="Y286" s="33"/>
      <c r="Z286" s="31"/>
      <c r="AA286" s="33"/>
      <c r="AB286" s="37" t="str">
        <f aca="false">IF(B286="","",YEAR(B286)*100+MONTH(B286))</f>
        <v/>
      </c>
      <c r="AC286" s="37" t="str">
        <f aca="false">IF(AND(E286&lt;&gt;"",E286=Cruce!$C$5),COUNTIF($E$5:E286,E286),"")</f>
        <v/>
      </c>
      <c r="AD286" s="37" t="str">
        <f aca="false">IF(E286="","",C286&amp;"|"&amp;Y286&amp;"|"&amp;IF(B286="","s/f",TEXT(B286,"yyyymmdd")))</f>
        <v/>
      </c>
      <c r="AE286" s="37" t="n">
        <f aca="false">IF(E286="",0,IF(COUNTIFS($E$5:E286,E286,$AD$5:AD286,AD286)=1,1,0))</f>
        <v>0</v>
      </c>
    </row>
    <row r="287" customFormat="false" ht="15" hidden="false" customHeight="true" outlineLevel="0" collapsed="false">
      <c r="A287" s="31"/>
      <c r="B287" s="30"/>
      <c r="C287" s="31"/>
      <c r="D287" s="31"/>
      <c r="E287" s="32"/>
      <c r="F287" s="32"/>
      <c r="G287" s="33"/>
      <c r="H287" s="31"/>
      <c r="I287" s="24" t="str">
        <f aca="false">IF(B287="","",YEAR(B287))</f>
        <v/>
      </c>
      <c r="J287" s="34" t="str">
        <f aca="false">IF(B287="","",IF(MONTH(B287)=1,"X",""))</f>
        <v/>
      </c>
      <c r="K287" s="34" t="str">
        <f aca="false">IF(B287="","",IF(MONTH(B287)=2,"X",""))</f>
        <v/>
      </c>
      <c r="L287" s="34" t="str">
        <f aca="false">IF(B287="","",IF(MONTH(B287)=3,"X",""))</f>
        <v/>
      </c>
      <c r="M287" s="34" t="str">
        <f aca="false">IF(B287="","",IF(MONTH(B287)=4,"X",""))</f>
        <v/>
      </c>
      <c r="N287" s="34" t="str">
        <f aca="false">IF(B287="","",IF(MONTH(B287)=5,"X",""))</f>
        <v/>
      </c>
      <c r="O287" s="34" t="str">
        <f aca="false">IF(B287="","",IF(MONTH(B287)=6,"X",""))</f>
        <v/>
      </c>
      <c r="P287" s="34" t="str">
        <f aca="false">IF(B287="","",IF(MONTH(B287)=7,"X",""))</f>
        <v/>
      </c>
      <c r="Q287" s="34" t="str">
        <f aca="false">IF(B287="","",IF(MONTH(B287)=8,"X",""))</f>
        <v/>
      </c>
      <c r="R287" s="34" t="str">
        <f aca="false">IF(B287="","",IF(MONTH(B287)=9,"X",""))</f>
        <v/>
      </c>
      <c r="S287" s="34" t="str">
        <f aca="false">IF(B287="","",IF(MONTH(B287)=10,"X",""))</f>
        <v/>
      </c>
      <c r="T287" s="34" t="str">
        <f aca="false">IF(B287="","",IF(MONTH(B287)=11,"X",""))</f>
        <v/>
      </c>
      <c r="U287" s="34" t="str">
        <f aca="false">IF(B287="","",IF(MONTH(B287)=12,"X",""))</f>
        <v/>
      </c>
      <c r="V287" s="24" t="str">
        <f aca="false">IF(E287="","",COUNTIF($E$5:$E$1000,E287))</f>
        <v/>
      </c>
      <c r="W287" s="35" t="str">
        <f aca="false">IF(E287="","",_xlfn.TEXTJOIN(" + ",TRUE(),IF(COUNTIFS($E$5:$E$1000,E287,$C$5:$C$1000,"Auditoría Interna")&gt;0,"Interna",""),IF(COUNTIFS($E$5:$E$1000,E287,$C$5:$C$1000,"Auditoría Externa")&gt;0,"Externa",""),IF(COUNTIFS($E$5:$E$1000,E287,$C$5:$C$1000,"SSF")&gt;0,"SSF",""),IF(COUNTIFS($E$5:$E$1000,E287,$C$5:$C$1000,"Comité de Supervisión")&gt;0,"Comité Sup.",""),IF(COUNTIFS($E$5:$E$1000,E287,$C$5:$C$1000,"Consejo de Administración")&gt;0,"Consejo",""),IF(COUNTIFS($E$5:$E$1000,E287,$C$5:$C$1000,"Otros")&gt;0,"Otros","")))</f>
        <v/>
      </c>
      <c r="X287" s="24" t="str">
        <f aca="false">IF(E287="","",COUNTIFS($E$5:$E$1000,E287,$AB$5:$AB$1000,AB287,$C$5:$C$1000,"&lt;&gt;"&amp;C287))</f>
        <v/>
      </c>
      <c r="Y287" s="33"/>
      <c r="Z287" s="31"/>
      <c r="AA287" s="33"/>
      <c r="AB287" s="37" t="str">
        <f aca="false">IF(B287="","",YEAR(B287)*100+MONTH(B287))</f>
        <v/>
      </c>
      <c r="AC287" s="37" t="str">
        <f aca="false">IF(AND(E287&lt;&gt;"",E287=Cruce!$C$5),COUNTIF($E$5:E287,E287),"")</f>
        <v/>
      </c>
      <c r="AD287" s="37" t="str">
        <f aca="false">IF(E287="","",C287&amp;"|"&amp;Y287&amp;"|"&amp;IF(B287="","s/f",TEXT(B287,"yyyymmdd")))</f>
        <v/>
      </c>
      <c r="AE287" s="37" t="n">
        <f aca="false">IF(E287="",0,IF(COUNTIFS($E$5:E287,E287,$AD$5:AD287,AD287)=1,1,0))</f>
        <v>0</v>
      </c>
    </row>
    <row r="288" customFormat="false" ht="15" hidden="false" customHeight="true" outlineLevel="0" collapsed="false">
      <c r="A288" s="31"/>
      <c r="B288" s="30"/>
      <c r="C288" s="31"/>
      <c r="D288" s="31"/>
      <c r="E288" s="32"/>
      <c r="F288" s="32"/>
      <c r="G288" s="33"/>
      <c r="H288" s="31"/>
      <c r="I288" s="24" t="str">
        <f aca="false">IF(B288="","",YEAR(B288))</f>
        <v/>
      </c>
      <c r="J288" s="34" t="str">
        <f aca="false">IF(B288="","",IF(MONTH(B288)=1,"X",""))</f>
        <v/>
      </c>
      <c r="K288" s="34" t="str">
        <f aca="false">IF(B288="","",IF(MONTH(B288)=2,"X",""))</f>
        <v/>
      </c>
      <c r="L288" s="34" t="str">
        <f aca="false">IF(B288="","",IF(MONTH(B288)=3,"X",""))</f>
        <v/>
      </c>
      <c r="M288" s="34" t="str">
        <f aca="false">IF(B288="","",IF(MONTH(B288)=4,"X",""))</f>
        <v/>
      </c>
      <c r="N288" s="34" t="str">
        <f aca="false">IF(B288="","",IF(MONTH(B288)=5,"X",""))</f>
        <v/>
      </c>
      <c r="O288" s="34" t="str">
        <f aca="false">IF(B288="","",IF(MONTH(B288)=6,"X",""))</f>
        <v/>
      </c>
      <c r="P288" s="34" t="str">
        <f aca="false">IF(B288="","",IF(MONTH(B288)=7,"X",""))</f>
        <v/>
      </c>
      <c r="Q288" s="34" t="str">
        <f aca="false">IF(B288="","",IF(MONTH(B288)=8,"X",""))</f>
        <v/>
      </c>
      <c r="R288" s="34" t="str">
        <f aca="false">IF(B288="","",IF(MONTH(B288)=9,"X",""))</f>
        <v/>
      </c>
      <c r="S288" s="34" t="str">
        <f aca="false">IF(B288="","",IF(MONTH(B288)=10,"X",""))</f>
        <v/>
      </c>
      <c r="T288" s="34" t="str">
        <f aca="false">IF(B288="","",IF(MONTH(B288)=11,"X",""))</f>
        <v/>
      </c>
      <c r="U288" s="34" t="str">
        <f aca="false">IF(B288="","",IF(MONTH(B288)=12,"X",""))</f>
        <v/>
      </c>
      <c r="V288" s="24" t="str">
        <f aca="false">IF(E288="","",COUNTIF($E$5:$E$1000,E288))</f>
        <v/>
      </c>
      <c r="W288" s="35" t="str">
        <f aca="false">IF(E288="","",_xlfn.TEXTJOIN(" + ",TRUE(),IF(COUNTIFS($E$5:$E$1000,E288,$C$5:$C$1000,"Auditoría Interna")&gt;0,"Interna",""),IF(COUNTIFS($E$5:$E$1000,E288,$C$5:$C$1000,"Auditoría Externa")&gt;0,"Externa",""),IF(COUNTIFS($E$5:$E$1000,E288,$C$5:$C$1000,"SSF")&gt;0,"SSF",""),IF(COUNTIFS($E$5:$E$1000,E288,$C$5:$C$1000,"Comité de Supervisión")&gt;0,"Comité Sup.",""),IF(COUNTIFS($E$5:$E$1000,E288,$C$5:$C$1000,"Consejo de Administración")&gt;0,"Consejo",""),IF(COUNTIFS($E$5:$E$1000,E288,$C$5:$C$1000,"Otros")&gt;0,"Otros","")))</f>
        <v/>
      </c>
      <c r="X288" s="24" t="str">
        <f aca="false">IF(E288="","",COUNTIFS($E$5:$E$1000,E288,$AB$5:$AB$1000,AB288,$C$5:$C$1000,"&lt;&gt;"&amp;C288))</f>
        <v/>
      </c>
      <c r="Y288" s="33"/>
      <c r="Z288" s="31"/>
      <c r="AA288" s="33"/>
      <c r="AB288" s="37" t="str">
        <f aca="false">IF(B288="","",YEAR(B288)*100+MONTH(B288))</f>
        <v/>
      </c>
      <c r="AC288" s="37" t="str">
        <f aca="false">IF(AND(E288&lt;&gt;"",E288=Cruce!$C$5),COUNTIF($E$5:E288,E288),"")</f>
        <v/>
      </c>
      <c r="AD288" s="37" t="str">
        <f aca="false">IF(E288="","",C288&amp;"|"&amp;Y288&amp;"|"&amp;IF(B288="","s/f",TEXT(B288,"yyyymmdd")))</f>
        <v/>
      </c>
      <c r="AE288" s="37" t="n">
        <f aca="false">IF(E288="",0,IF(COUNTIFS($E$5:E288,E288,$AD$5:AD288,AD288)=1,1,0))</f>
        <v>0</v>
      </c>
    </row>
    <row r="289" customFormat="false" ht="15" hidden="false" customHeight="true" outlineLevel="0" collapsed="false">
      <c r="A289" s="31"/>
      <c r="B289" s="30"/>
      <c r="C289" s="31"/>
      <c r="D289" s="31"/>
      <c r="E289" s="32"/>
      <c r="F289" s="32"/>
      <c r="G289" s="33"/>
      <c r="H289" s="31"/>
      <c r="I289" s="24" t="str">
        <f aca="false">IF(B289="","",YEAR(B289))</f>
        <v/>
      </c>
      <c r="J289" s="34" t="str">
        <f aca="false">IF(B289="","",IF(MONTH(B289)=1,"X",""))</f>
        <v/>
      </c>
      <c r="K289" s="34" t="str">
        <f aca="false">IF(B289="","",IF(MONTH(B289)=2,"X",""))</f>
        <v/>
      </c>
      <c r="L289" s="34" t="str">
        <f aca="false">IF(B289="","",IF(MONTH(B289)=3,"X",""))</f>
        <v/>
      </c>
      <c r="M289" s="34" t="str">
        <f aca="false">IF(B289="","",IF(MONTH(B289)=4,"X",""))</f>
        <v/>
      </c>
      <c r="N289" s="34" t="str">
        <f aca="false">IF(B289="","",IF(MONTH(B289)=5,"X",""))</f>
        <v/>
      </c>
      <c r="O289" s="34" t="str">
        <f aca="false">IF(B289="","",IF(MONTH(B289)=6,"X",""))</f>
        <v/>
      </c>
      <c r="P289" s="34" t="str">
        <f aca="false">IF(B289="","",IF(MONTH(B289)=7,"X",""))</f>
        <v/>
      </c>
      <c r="Q289" s="34" t="str">
        <f aca="false">IF(B289="","",IF(MONTH(B289)=8,"X",""))</f>
        <v/>
      </c>
      <c r="R289" s="34" t="str">
        <f aca="false">IF(B289="","",IF(MONTH(B289)=9,"X",""))</f>
        <v/>
      </c>
      <c r="S289" s="34" t="str">
        <f aca="false">IF(B289="","",IF(MONTH(B289)=10,"X",""))</f>
        <v/>
      </c>
      <c r="T289" s="34" t="str">
        <f aca="false">IF(B289="","",IF(MONTH(B289)=11,"X",""))</f>
        <v/>
      </c>
      <c r="U289" s="34" t="str">
        <f aca="false">IF(B289="","",IF(MONTH(B289)=12,"X",""))</f>
        <v/>
      </c>
      <c r="V289" s="24" t="str">
        <f aca="false">IF(E289="","",COUNTIF($E$5:$E$1000,E289))</f>
        <v/>
      </c>
      <c r="W289" s="35" t="str">
        <f aca="false">IF(E289="","",_xlfn.TEXTJOIN(" + ",TRUE(),IF(COUNTIFS($E$5:$E$1000,E289,$C$5:$C$1000,"Auditoría Interna")&gt;0,"Interna",""),IF(COUNTIFS($E$5:$E$1000,E289,$C$5:$C$1000,"Auditoría Externa")&gt;0,"Externa",""),IF(COUNTIFS($E$5:$E$1000,E289,$C$5:$C$1000,"SSF")&gt;0,"SSF",""),IF(COUNTIFS($E$5:$E$1000,E289,$C$5:$C$1000,"Comité de Supervisión")&gt;0,"Comité Sup.",""),IF(COUNTIFS($E$5:$E$1000,E289,$C$5:$C$1000,"Consejo de Administración")&gt;0,"Consejo",""),IF(COUNTIFS($E$5:$E$1000,E289,$C$5:$C$1000,"Otros")&gt;0,"Otros","")))</f>
        <v/>
      </c>
      <c r="X289" s="24" t="str">
        <f aca="false">IF(E289="","",COUNTIFS($E$5:$E$1000,E289,$AB$5:$AB$1000,AB289,$C$5:$C$1000,"&lt;&gt;"&amp;C289))</f>
        <v/>
      </c>
      <c r="Y289" s="33"/>
      <c r="Z289" s="31"/>
      <c r="AA289" s="33"/>
      <c r="AB289" s="37" t="str">
        <f aca="false">IF(B289="","",YEAR(B289)*100+MONTH(B289))</f>
        <v/>
      </c>
      <c r="AC289" s="37" t="str">
        <f aca="false">IF(AND(E289&lt;&gt;"",E289=Cruce!$C$5),COUNTIF($E$5:E289,E289),"")</f>
        <v/>
      </c>
      <c r="AD289" s="37" t="str">
        <f aca="false">IF(E289="","",C289&amp;"|"&amp;Y289&amp;"|"&amp;IF(B289="","s/f",TEXT(B289,"yyyymmdd")))</f>
        <v/>
      </c>
      <c r="AE289" s="37" t="n">
        <f aca="false">IF(E289="",0,IF(COUNTIFS($E$5:E289,E289,$AD$5:AD289,AD289)=1,1,0))</f>
        <v>0</v>
      </c>
    </row>
    <row r="290" customFormat="false" ht="15" hidden="false" customHeight="true" outlineLevel="0" collapsed="false">
      <c r="A290" s="31"/>
      <c r="B290" s="30"/>
      <c r="C290" s="31"/>
      <c r="D290" s="31"/>
      <c r="E290" s="32"/>
      <c r="F290" s="32"/>
      <c r="G290" s="33"/>
      <c r="H290" s="31"/>
      <c r="I290" s="24" t="str">
        <f aca="false">IF(B290="","",YEAR(B290))</f>
        <v/>
      </c>
      <c r="J290" s="34" t="str">
        <f aca="false">IF(B290="","",IF(MONTH(B290)=1,"X",""))</f>
        <v/>
      </c>
      <c r="K290" s="34" t="str">
        <f aca="false">IF(B290="","",IF(MONTH(B290)=2,"X",""))</f>
        <v/>
      </c>
      <c r="L290" s="34" t="str">
        <f aca="false">IF(B290="","",IF(MONTH(B290)=3,"X",""))</f>
        <v/>
      </c>
      <c r="M290" s="34" t="str">
        <f aca="false">IF(B290="","",IF(MONTH(B290)=4,"X",""))</f>
        <v/>
      </c>
      <c r="N290" s="34" t="str">
        <f aca="false">IF(B290="","",IF(MONTH(B290)=5,"X",""))</f>
        <v/>
      </c>
      <c r="O290" s="34" t="str">
        <f aca="false">IF(B290="","",IF(MONTH(B290)=6,"X",""))</f>
        <v/>
      </c>
      <c r="P290" s="34" t="str">
        <f aca="false">IF(B290="","",IF(MONTH(B290)=7,"X",""))</f>
        <v/>
      </c>
      <c r="Q290" s="34" t="str">
        <f aca="false">IF(B290="","",IF(MONTH(B290)=8,"X",""))</f>
        <v/>
      </c>
      <c r="R290" s="34" t="str">
        <f aca="false">IF(B290="","",IF(MONTH(B290)=9,"X",""))</f>
        <v/>
      </c>
      <c r="S290" s="34" t="str">
        <f aca="false">IF(B290="","",IF(MONTH(B290)=10,"X",""))</f>
        <v/>
      </c>
      <c r="T290" s="34" t="str">
        <f aca="false">IF(B290="","",IF(MONTH(B290)=11,"X",""))</f>
        <v/>
      </c>
      <c r="U290" s="34" t="str">
        <f aca="false">IF(B290="","",IF(MONTH(B290)=12,"X",""))</f>
        <v/>
      </c>
      <c r="V290" s="24" t="str">
        <f aca="false">IF(E290="","",COUNTIF($E$5:$E$1000,E290))</f>
        <v/>
      </c>
      <c r="W290" s="35" t="str">
        <f aca="false">IF(E290="","",_xlfn.TEXTJOIN(" + ",TRUE(),IF(COUNTIFS($E$5:$E$1000,E290,$C$5:$C$1000,"Auditoría Interna")&gt;0,"Interna",""),IF(COUNTIFS($E$5:$E$1000,E290,$C$5:$C$1000,"Auditoría Externa")&gt;0,"Externa",""),IF(COUNTIFS($E$5:$E$1000,E290,$C$5:$C$1000,"SSF")&gt;0,"SSF",""),IF(COUNTIFS($E$5:$E$1000,E290,$C$5:$C$1000,"Comité de Supervisión")&gt;0,"Comité Sup.",""),IF(COUNTIFS($E$5:$E$1000,E290,$C$5:$C$1000,"Consejo de Administración")&gt;0,"Consejo",""),IF(COUNTIFS($E$5:$E$1000,E290,$C$5:$C$1000,"Otros")&gt;0,"Otros","")))</f>
        <v/>
      </c>
      <c r="X290" s="24" t="str">
        <f aca="false">IF(E290="","",COUNTIFS($E$5:$E$1000,E290,$AB$5:$AB$1000,AB290,$C$5:$C$1000,"&lt;&gt;"&amp;C290))</f>
        <v/>
      </c>
      <c r="Y290" s="33"/>
      <c r="Z290" s="31"/>
      <c r="AA290" s="33"/>
      <c r="AB290" s="37" t="str">
        <f aca="false">IF(B290="","",YEAR(B290)*100+MONTH(B290))</f>
        <v/>
      </c>
      <c r="AC290" s="37" t="str">
        <f aca="false">IF(AND(E290&lt;&gt;"",E290=Cruce!$C$5),COUNTIF($E$5:E290,E290),"")</f>
        <v/>
      </c>
      <c r="AD290" s="37" t="str">
        <f aca="false">IF(E290="","",C290&amp;"|"&amp;Y290&amp;"|"&amp;IF(B290="","s/f",TEXT(B290,"yyyymmdd")))</f>
        <v/>
      </c>
      <c r="AE290" s="37" t="n">
        <f aca="false">IF(E290="",0,IF(COUNTIFS($E$5:E290,E290,$AD$5:AD290,AD290)=1,1,0))</f>
        <v>0</v>
      </c>
    </row>
    <row r="291" customFormat="false" ht="15" hidden="false" customHeight="true" outlineLevel="0" collapsed="false">
      <c r="A291" s="31"/>
      <c r="B291" s="30"/>
      <c r="C291" s="31"/>
      <c r="D291" s="31"/>
      <c r="E291" s="32"/>
      <c r="F291" s="32"/>
      <c r="G291" s="33"/>
      <c r="H291" s="31"/>
      <c r="I291" s="24" t="str">
        <f aca="false">IF(B291="","",YEAR(B291))</f>
        <v/>
      </c>
      <c r="J291" s="34" t="str">
        <f aca="false">IF(B291="","",IF(MONTH(B291)=1,"X",""))</f>
        <v/>
      </c>
      <c r="K291" s="34" t="str">
        <f aca="false">IF(B291="","",IF(MONTH(B291)=2,"X",""))</f>
        <v/>
      </c>
      <c r="L291" s="34" t="str">
        <f aca="false">IF(B291="","",IF(MONTH(B291)=3,"X",""))</f>
        <v/>
      </c>
      <c r="M291" s="34" t="str">
        <f aca="false">IF(B291="","",IF(MONTH(B291)=4,"X",""))</f>
        <v/>
      </c>
      <c r="N291" s="34" t="str">
        <f aca="false">IF(B291="","",IF(MONTH(B291)=5,"X",""))</f>
        <v/>
      </c>
      <c r="O291" s="34" t="str">
        <f aca="false">IF(B291="","",IF(MONTH(B291)=6,"X",""))</f>
        <v/>
      </c>
      <c r="P291" s="34" t="str">
        <f aca="false">IF(B291="","",IF(MONTH(B291)=7,"X",""))</f>
        <v/>
      </c>
      <c r="Q291" s="34" t="str">
        <f aca="false">IF(B291="","",IF(MONTH(B291)=8,"X",""))</f>
        <v/>
      </c>
      <c r="R291" s="34" t="str">
        <f aca="false">IF(B291="","",IF(MONTH(B291)=9,"X",""))</f>
        <v/>
      </c>
      <c r="S291" s="34" t="str">
        <f aca="false">IF(B291="","",IF(MONTH(B291)=10,"X",""))</f>
        <v/>
      </c>
      <c r="T291" s="34" t="str">
        <f aca="false">IF(B291="","",IF(MONTH(B291)=11,"X",""))</f>
        <v/>
      </c>
      <c r="U291" s="34" t="str">
        <f aca="false">IF(B291="","",IF(MONTH(B291)=12,"X",""))</f>
        <v/>
      </c>
      <c r="V291" s="24" t="str">
        <f aca="false">IF(E291="","",COUNTIF($E$5:$E$1000,E291))</f>
        <v/>
      </c>
      <c r="W291" s="35" t="str">
        <f aca="false">IF(E291="","",_xlfn.TEXTJOIN(" + ",TRUE(),IF(COUNTIFS($E$5:$E$1000,E291,$C$5:$C$1000,"Auditoría Interna")&gt;0,"Interna",""),IF(COUNTIFS($E$5:$E$1000,E291,$C$5:$C$1000,"Auditoría Externa")&gt;0,"Externa",""),IF(COUNTIFS($E$5:$E$1000,E291,$C$5:$C$1000,"SSF")&gt;0,"SSF",""),IF(COUNTIFS($E$5:$E$1000,E291,$C$5:$C$1000,"Comité de Supervisión")&gt;0,"Comité Sup.",""),IF(COUNTIFS($E$5:$E$1000,E291,$C$5:$C$1000,"Consejo de Administración")&gt;0,"Consejo",""),IF(COUNTIFS($E$5:$E$1000,E291,$C$5:$C$1000,"Otros")&gt;0,"Otros","")))</f>
        <v/>
      </c>
      <c r="X291" s="24" t="str">
        <f aca="false">IF(E291="","",COUNTIFS($E$5:$E$1000,E291,$AB$5:$AB$1000,AB291,$C$5:$C$1000,"&lt;&gt;"&amp;C291))</f>
        <v/>
      </c>
      <c r="Y291" s="33"/>
      <c r="Z291" s="31"/>
      <c r="AA291" s="33"/>
      <c r="AB291" s="37" t="str">
        <f aca="false">IF(B291="","",YEAR(B291)*100+MONTH(B291))</f>
        <v/>
      </c>
      <c r="AC291" s="37" t="str">
        <f aca="false">IF(AND(E291&lt;&gt;"",E291=Cruce!$C$5),COUNTIF($E$5:E291,E291),"")</f>
        <v/>
      </c>
      <c r="AD291" s="37" t="str">
        <f aca="false">IF(E291="","",C291&amp;"|"&amp;Y291&amp;"|"&amp;IF(B291="","s/f",TEXT(B291,"yyyymmdd")))</f>
        <v/>
      </c>
      <c r="AE291" s="37" t="n">
        <f aca="false">IF(E291="",0,IF(COUNTIFS($E$5:E291,E291,$AD$5:AD291,AD291)=1,1,0))</f>
        <v>0</v>
      </c>
    </row>
    <row r="292" customFormat="false" ht="15" hidden="false" customHeight="true" outlineLevel="0" collapsed="false">
      <c r="A292" s="31"/>
      <c r="B292" s="30"/>
      <c r="C292" s="31"/>
      <c r="D292" s="31"/>
      <c r="E292" s="32"/>
      <c r="F292" s="32"/>
      <c r="G292" s="33"/>
      <c r="H292" s="31"/>
      <c r="I292" s="24" t="str">
        <f aca="false">IF(B292="","",YEAR(B292))</f>
        <v/>
      </c>
      <c r="J292" s="34" t="str">
        <f aca="false">IF(B292="","",IF(MONTH(B292)=1,"X",""))</f>
        <v/>
      </c>
      <c r="K292" s="34" t="str">
        <f aca="false">IF(B292="","",IF(MONTH(B292)=2,"X",""))</f>
        <v/>
      </c>
      <c r="L292" s="34" t="str">
        <f aca="false">IF(B292="","",IF(MONTH(B292)=3,"X",""))</f>
        <v/>
      </c>
      <c r="M292" s="34" t="str">
        <f aca="false">IF(B292="","",IF(MONTH(B292)=4,"X",""))</f>
        <v/>
      </c>
      <c r="N292" s="34" t="str">
        <f aca="false">IF(B292="","",IF(MONTH(B292)=5,"X",""))</f>
        <v/>
      </c>
      <c r="O292" s="34" t="str">
        <f aca="false">IF(B292="","",IF(MONTH(B292)=6,"X",""))</f>
        <v/>
      </c>
      <c r="P292" s="34" t="str">
        <f aca="false">IF(B292="","",IF(MONTH(B292)=7,"X",""))</f>
        <v/>
      </c>
      <c r="Q292" s="34" t="str">
        <f aca="false">IF(B292="","",IF(MONTH(B292)=8,"X",""))</f>
        <v/>
      </c>
      <c r="R292" s="34" t="str">
        <f aca="false">IF(B292="","",IF(MONTH(B292)=9,"X",""))</f>
        <v/>
      </c>
      <c r="S292" s="34" t="str">
        <f aca="false">IF(B292="","",IF(MONTH(B292)=10,"X",""))</f>
        <v/>
      </c>
      <c r="T292" s="34" t="str">
        <f aca="false">IF(B292="","",IF(MONTH(B292)=11,"X",""))</f>
        <v/>
      </c>
      <c r="U292" s="34" t="str">
        <f aca="false">IF(B292="","",IF(MONTH(B292)=12,"X",""))</f>
        <v/>
      </c>
      <c r="V292" s="24" t="str">
        <f aca="false">IF(E292="","",COUNTIF($E$5:$E$1000,E292))</f>
        <v/>
      </c>
      <c r="W292" s="35" t="str">
        <f aca="false">IF(E292="","",_xlfn.TEXTJOIN(" + ",TRUE(),IF(COUNTIFS($E$5:$E$1000,E292,$C$5:$C$1000,"Auditoría Interna")&gt;0,"Interna",""),IF(COUNTIFS($E$5:$E$1000,E292,$C$5:$C$1000,"Auditoría Externa")&gt;0,"Externa",""),IF(COUNTIFS($E$5:$E$1000,E292,$C$5:$C$1000,"SSF")&gt;0,"SSF",""),IF(COUNTIFS($E$5:$E$1000,E292,$C$5:$C$1000,"Comité de Supervisión")&gt;0,"Comité Sup.",""),IF(COUNTIFS($E$5:$E$1000,E292,$C$5:$C$1000,"Consejo de Administración")&gt;0,"Consejo",""),IF(COUNTIFS($E$5:$E$1000,E292,$C$5:$C$1000,"Otros")&gt;0,"Otros","")))</f>
        <v/>
      </c>
      <c r="X292" s="24" t="str">
        <f aca="false">IF(E292="","",COUNTIFS($E$5:$E$1000,E292,$AB$5:$AB$1000,AB292,$C$5:$C$1000,"&lt;&gt;"&amp;C292))</f>
        <v/>
      </c>
      <c r="Y292" s="33"/>
      <c r="Z292" s="31"/>
      <c r="AA292" s="33"/>
      <c r="AB292" s="37" t="str">
        <f aca="false">IF(B292="","",YEAR(B292)*100+MONTH(B292))</f>
        <v/>
      </c>
      <c r="AC292" s="37" t="str">
        <f aca="false">IF(AND(E292&lt;&gt;"",E292=Cruce!$C$5),COUNTIF($E$5:E292,E292),"")</f>
        <v/>
      </c>
      <c r="AD292" s="37" t="str">
        <f aca="false">IF(E292="","",C292&amp;"|"&amp;Y292&amp;"|"&amp;IF(B292="","s/f",TEXT(B292,"yyyymmdd")))</f>
        <v/>
      </c>
      <c r="AE292" s="37" t="n">
        <f aca="false">IF(E292="",0,IF(COUNTIFS($E$5:E292,E292,$AD$5:AD292,AD292)=1,1,0))</f>
        <v>0</v>
      </c>
    </row>
    <row r="293" customFormat="false" ht="15" hidden="false" customHeight="true" outlineLevel="0" collapsed="false">
      <c r="A293" s="31"/>
      <c r="B293" s="30"/>
      <c r="C293" s="31"/>
      <c r="D293" s="31"/>
      <c r="E293" s="32"/>
      <c r="F293" s="32"/>
      <c r="G293" s="33"/>
      <c r="H293" s="31"/>
      <c r="I293" s="24" t="str">
        <f aca="false">IF(B293="","",YEAR(B293))</f>
        <v/>
      </c>
      <c r="J293" s="34" t="str">
        <f aca="false">IF(B293="","",IF(MONTH(B293)=1,"X",""))</f>
        <v/>
      </c>
      <c r="K293" s="34" t="str">
        <f aca="false">IF(B293="","",IF(MONTH(B293)=2,"X",""))</f>
        <v/>
      </c>
      <c r="L293" s="34" t="str">
        <f aca="false">IF(B293="","",IF(MONTH(B293)=3,"X",""))</f>
        <v/>
      </c>
      <c r="M293" s="34" t="str">
        <f aca="false">IF(B293="","",IF(MONTH(B293)=4,"X",""))</f>
        <v/>
      </c>
      <c r="N293" s="34" t="str">
        <f aca="false">IF(B293="","",IF(MONTH(B293)=5,"X",""))</f>
        <v/>
      </c>
      <c r="O293" s="34" t="str">
        <f aca="false">IF(B293="","",IF(MONTH(B293)=6,"X",""))</f>
        <v/>
      </c>
      <c r="P293" s="34" t="str">
        <f aca="false">IF(B293="","",IF(MONTH(B293)=7,"X",""))</f>
        <v/>
      </c>
      <c r="Q293" s="34" t="str">
        <f aca="false">IF(B293="","",IF(MONTH(B293)=8,"X",""))</f>
        <v/>
      </c>
      <c r="R293" s="34" t="str">
        <f aca="false">IF(B293="","",IF(MONTH(B293)=9,"X",""))</f>
        <v/>
      </c>
      <c r="S293" s="34" t="str">
        <f aca="false">IF(B293="","",IF(MONTH(B293)=10,"X",""))</f>
        <v/>
      </c>
      <c r="T293" s="34" t="str">
        <f aca="false">IF(B293="","",IF(MONTH(B293)=11,"X",""))</f>
        <v/>
      </c>
      <c r="U293" s="34" t="str">
        <f aca="false">IF(B293="","",IF(MONTH(B293)=12,"X",""))</f>
        <v/>
      </c>
      <c r="V293" s="24" t="str">
        <f aca="false">IF(E293="","",COUNTIF($E$5:$E$1000,E293))</f>
        <v/>
      </c>
      <c r="W293" s="35" t="str">
        <f aca="false">IF(E293="","",_xlfn.TEXTJOIN(" + ",TRUE(),IF(COUNTIFS($E$5:$E$1000,E293,$C$5:$C$1000,"Auditoría Interna")&gt;0,"Interna",""),IF(COUNTIFS($E$5:$E$1000,E293,$C$5:$C$1000,"Auditoría Externa")&gt;0,"Externa",""),IF(COUNTIFS($E$5:$E$1000,E293,$C$5:$C$1000,"SSF")&gt;0,"SSF",""),IF(COUNTIFS($E$5:$E$1000,E293,$C$5:$C$1000,"Comité de Supervisión")&gt;0,"Comité Sup.",""),IF(COUNTIFS($E$5:$E$1000,E293,$C$5:$C$1000,"Consejo de Administración")&gt;0,"Consejo",""),IF(COUNTIFS($E$5:$E$1000,E293,$C$5:$C$1000,"Otros")&gt;0,"Otros","")))</f>
        <v/>
      </c>
      <c r="X293" s="24" t="str">
        <f aca="false">IF(E293="","",COUNTIFS($E$5:$E$1000,E293,$AB$5:$AB$1000,AB293,$C$5:$C$1000,"&lt;&gt;"&amp;C293))</f>
        <v/>
      </c>
      <c r="Y293" s="33"/>
      <c r="Z293" s="31"/>
      <c r="AA293" s="33"/>
      <c r="AB293" s="37" t="str">
        <f aca="false">IF(B293="","",YEAR(B293)*100+MONTH(B293))</f>
        <v/>
      </c>
      <c r="AC293" s="37" t="str">
        <f aca="false">IF(AND(E293&lt;&gt;"",E293=Cruce!$C$5),COUNTIF($E$5:E293,E293),"")</f>
        <v/>
      </c>
      <c r="AD293" s="37" t="str">
        <f aca="false">IF(E293="","",C293&amp;"|"&amp;Y293&amp;"|"&amp;IF(B293="","s/f",TEXT(B293,"yyyymmdd")))</f>
        <v/>
      </c>
      <c r="AE293" s="37" t="n">
        <f aca="false">IF(E293="",0,IF(COUNTIFS($E$5:E293,E293,$AD$5:AD293,AD293)=1,1,0))</f>
        <v>0</v>
      </c>
    </row>
    <row r="294" customFormat="false" ht="15" hidden="false" customHeight="true" outlineLevel="0" collapsed="false">
      <c r="A294" s="31"/>
      <c r="B294" s="30"/>
      <c r="C294" s="31"/>
      <c r="D294" s="31"/>
      <c r="E294" s="32"/>
      <c r="F294" s="32"/>
      <c r="G294" s="33"/>
      <c r="H294" s="31"/>
      <c r="I294" s="24" t="str">
        <f aca="false">IF(B294="","",YEAR(B294))</f>
        <v/>
      </c>
      <c r="J294" s="34" t="str">
        <f aca="false">IF(B294="","",IF(MONTH(B294)=1,"X",""))</f>
        <v/>
      </c>
      <c r="K294" s="34" t="str">
        <f aca="false">IF(B294="","",IF(MONTH(B294)=2,"X",""))</f>
        <v/>
      </c>
      <c r="L294" s="34" t="str">
        <f aca="false">IF(B294="","",IF(MONTH(B294)=3,"X",""))</f>
        <v/>
      </c>
      <c r="M294" s="34" t="str">
        <f aca="false">IF(B294="","",IF(MONTH(B294)=4,"X",""))</f>
        <v/>
      </c>
      <c r="N294" s="34" t="str">
        <f aca="false">IF(B294="","",IF(MONTH(B294)=5,"X",""))</f>
        <v/>
      </c>
      <c r="O294" s="34" t="str">
        <f aca="false">IF(B294="","",IF(MONTH(B294)=6,"X",""))</f>
        <v/>
      </c>
      <c r="P294" s="34" t="str">
        <f aca="false">IF(B294="","",IF(MONTH(B294)=7,"X",""))</f>
        <v/>
      </c>
      <c r="Q294" s="34" t="str">
        <f aca="false">IF(B294="","",IF(MONTH(B294)=8,"X",""))</f>
        <v/>
      </c>
      <c r="R294" s="34" t="str">
        <f aca="false">IF(B294="","",IF(MONTH(B294)=9,"X",""))</f>
        <v/>
      </c>
      <c r="S294" s="34" t="str">
        <f aca="false">IF(B294="","",IF(MONTH(B294)=10,"X",""))</f>
        <v/>
      </c>
      <c r="T294" s="34" t="str">
        <f aca="false">IF(B294="","",IF(MONTH(B294)=11,"X",""))</f>
        <v/>
      </c>
      <c r="U294" s="34" t="str">
        <f aca="false">IF(B294="","",IF(MONTH(B294)=12,"X",""))</f>
        <v/>
      </c>
      <c r="V294" s="24" t="str">
        <f aca="false">IF(E294="","",COUNTIF($E$5:$E$1000,E294))</f>
        <v/>
      </c>
      <c r="W294" s="35" t="str">
        <f aca="false">IF(E294="","",_xlfn.TEXTJOIN(" + ",TRUE(),IF(COUNTIFS($E$5:$E$1000,E294,$C$5:$C$1000,"Auditoría Interna")&gt;0,"Interna",""),IF(COUNTIFS($E$5:$E$1000,E294,$C$5:$C$1000,"Auditoría Externa")&gt;0,"Externa",""),IF(COUNTIFS($E$5:$E$1000,E294,$C$5:$C$1000,"SSF")&gt;0,"SSF",""),IF(COUNTIFS($E$5:$E$1000,E294,$C$5:$C$1000,"Comité de Supervisión")&gt;0,"Comité Sup.",""),IF(COUNTIFS($E$5:$E$1000,E294,$C$5:$C$1000,"Consejo de Administración")&gt;0,"Consejo",""),IF(COUNTIFS($E$5:$E$1000,E294,$C$5:$C$1000,"Otros")&gt;0,"Otros","")))</f>
        <v/>
      </c>
      <c r="X294" s="24" t="str">
        <f aca="false">IF(E294="","",COUNTIFS($E$5:$E$1000,E294,$AB$5:$AB$1000,AB294,$C$5:$C$1000,"&lt;&gt;"&amp;C294))</f>
        <v/>
      </c>
      <c r="Y294" s="33"/>
      <c r="Z294" s="31"/>
      <c r="AA294" s="33"/>
      <c r="AB294" s="37" t="str">
        <f aca="false">IF(B294="","",YEAR(B294)*100+MONTH(B294))</f>
        <v/>
      </c>
      <c r="AC294" s="37" t="str">
        <f aca="false">IF(AND(E294&lt;&gt;"",E294=Cruce!$C$5),COUNTIF($E$5:E294,E294),"")</f>
        <v/>
      </c>
      <c r="AD294" s="37" t="str">
        <f aca="false">IF(E294="","",C294&amp;"|"&amp;Y294&amp;"|"&amp;IF(B294="","s/f",TEXT(B294,"yyyymmdd")))</f>
        <v/>
      </c>
      <c r="AE294" s="37" t="n">
        <f aca="false">IF(E294="",0,IF(COUNTIFS($E$5:E294,E294,$AD$5:AD294,AD294)=1,1,0))</f>
        <v>0</v>
      </c>
    </row>
    <row r="295" customFormat="false" ht="15" hidden="false" customHeight="true" outlineLevel="0" collapsed="false">
      <c r="A295" s="31"/>
      <c r="B295" s="30"/>
      <c r="C295" s="31"/>
      <c r="D295" s="31"/>
      <c r="E295" s="32"/>
      <c r="F295" s="32"/>
      <c r="G295" s="33"/>
      <c r="H295" s="31"/>
      <c r="I295" s="24" t="str">
        <f aca="false">IF(B295="","",YEAR(B295))</f>
        <v/>
      </c>
      <c r="J295" s="34" t="str">
        <f aca="false">IF(B295="","",IF(MONTH(B295)=1,"X",""))</f>
        <v/>
      </c>
      <c r="K295" s="34" t="str">
        <f aca="false">IF(B295="","",IF(MONTH(B295)=2,"X",""))</f>
        <v/>
      </c>
      <c r="L295" s="34" t="str">
        <f aca="false">IF(B295="","",IF(MONTH(B295)=3,"X",""))</f>
        <v/>
      </c>
      <c r="M295" s="34" t="str">
        <f aca="false">IF(B295="","",IF(MONTH(B295)=4,"X",""))</f>
        <v/>
      </c>
      <c r="N295" s="34" t="str">
        <f aca="false">IF(B295="","",IF(MONTH(B295)=5,"X",""))</f>
        <v/>
      </c>
      <c r="O295" s="34" t="str">
        <f aca="false">IF(B295="","",IF(MONTH(B295)=6,"X",""))</f>
        <v/>
      </c>
      <c r="P295" s="34" t="str">
        <f aca="false">IF(B295="","",IF(MONTH(B295)=7,"X",""))</f>
        <v/>
      </c>
      <c r="Q295" s="34" t="str">
        <f aca="false">IF(B295="","",IF(MONTH(B295)=8,"X",""))</f>
        <v/>
      </c>
      <c r="R295" s="34" t="str">
        <f aca="false">IF(B295="","",IF(MONTH(B295)=9,"X",""))</f>
        <v/>
      </c>
      <c r="S295" s="34" t="str">
        <f aca="false">IF(B295="","",IF(MONTH(B295)=10,"X",""))</f>
        <v/>
      </c>
      <c r="T295" s="34" t="str">
        <f aca="false">IF(B295="","",IF(MONTH(B295)=11,"X",""))</f>
        <v/>
      </c>
      <c r="U295" s="34" t="str">
        <f aca="false">IF(B295="","",IF(MONTH(B295)=12,"X",""))</f>
        <v/>
      </c>
      <c r="V295" s="24" t="str">
        <f aca="false">IF(E295="","",COUNTIF($E$5:$E$1000,E295))</f>
        <v/>
      </c>
      <c r="W295" s="35" t="str">
        <f aca="false">IF(E295="","",_xlfn.TEXTJOIN(" + ",TRUE(),IF(COUNTIFS($E$5:$E$1000,E295,$C$5:$C$1000,"Auditoría Interna")&gt;0,"Interna",""),IF(COUNTIFS($E$5:$E$1000,E295,$C$5:$C$1000,"Auditoría Externa")&gt;0,"Externa",""),IF(COUNTIFS($E$5:$E$1000,E295,$C$5:$C$1000,"SSF")&gt;0,"SSF",""),IF(COUNTIFS($E$5:$E$1000,E295,$C$5:$C$1000,"Comité de Supervisión")&gt;0,"Comité Sup.",""),IF(COUNTIFS($E$5:$E$1000,E295,$C$5:$C$1000,"Consejo de Administración")&gt;0,"Consejo",""),IF(COUNTIFS($E$5:$E$1000,E295,$C$5:$C$1000,"Otros")&gt;0,"Otros","")))</f>
        <v/>
      </c>
      <c r="X295" s="24" t="str">
        <f aca="false">IF(E295="","",COUNTIFS($E$5:$E$1000,E295,$AB$5:$AB$1000,AB295,$C$5:$C$1000,"&lt;&gt;"&amp;C295))</f>
        <v/>
      </c>
      <c r="Y295" s="33"/>
      <c r="Z295" s="31"/>
      <c r="AA295" s="33"/>
      <c r="AB295" s="37" t="str">
        <f aca="false">IF(B295="","",YEAR(B295)*100+MONTH(B295))</f>
        <v/>
      </c>
      <c r="AC295" s="37" t="str">
        <f aca="false">IF(AND(E295&lt;&gt;"",E295=Cruce!$C$5),COUNTIF($E$5:E295,E295),"")</f>
        <v/>
      </c>
      <c r="AD295" s="37" t="str">
        <f aca="false">IF(E295="","",C295&amp;"|"&amp;Y295&amp;"|"&amp;IF(B295="","s/f",TEXT(B295,"yyyymmdd")))</f>
        <v/>
      </c>
      <c r="AE295" s="37" t="n">
        <f aca="false">IF(E295="",0,IF(COUNTIFS($E$5:E295,E295,$AD$5:AD295,AD295)=1,1,0))</f>
        <v>0</v>
      </c>
    </row>
    <row r="296" customFormat="false" ht="15" hidden="false" customHeight="true" outlineLevel="0" collapsed="false">
      <c r="A296" s="31"/>
      <c r="B296" s="30"/>
      <c r="C296" s="31"/>
      <c r="D296" s="31"/>
      <c r="E296" s="32"/>
      <c r="F296" s="32"/>
      <c r="G296" s="33"/>
      <c r="H296" s="31"/>
      <c r="I296" s="24" t="str">
        <f aca="false">IF(B296="","",YEAR(B296))</f>
        <v/>
      </c>
      <c r="J296" s="34" t="str">
        <f aca="false">IF(B296="","",IF(MONTH(B296)=1,"X",""))</f>
        <v/>
      </c>
      <c r="K296" s="34" t="str">
        <f aca="false">IF(B296="","",IF(MONTH(B296)=2,"X",""))</f>
        <v/>
      </c>
      <c r="L296" s="34" t="str">
        <f aca="false">IF(B296="","",IF(MONTH(B296)=3,"X",""))</f>
        <v/>
      </c>
      <c r="M296" s="34" t="str">
        <f aca="false">IF(B296="","",IF(MONTH(B296)=4,"X",""))</f>
        <v/>
      </c>
      <c r="N296" s="34" t="str">
        <f aca="false">IF(B296="","",IF(MONTH(B296)=5,"X",""))</f>
        <v/>
      </c>
      <c r="O296" s="34" t="str">
        <f aca="false">IF(B296="","",IF(MONTH(B296)=6,"X",""))</f>
        <v/>
      </c>
      <c r="P296" s="34" t="str">
        <f aca="false">IF(B296="","",IF(MONTH(B296)=7,"X",""))</f>
        <v/>
      </c>
      <c r="Q296" s="34" t="str">
        <f aca="false">IF(B296="","",IF(MONTH(B296)=8,"X",""))</f>
        <v/>
      </c>
      <c r="R296" s="34" t="str">
        <f aca="false">IF(B296="","",IF(MONTH(B296)=9,"X",""))</f>
        <v/>
      </c>
      <c r="S296" s="34" t="str">
        <f aca="false">IF(B296="","",IF(MONTH(B296)=10,"X",""))</f>
        <v/>
      </c>
      <c r="T296" s="34" t="str">
        <f aca="false">IF(B296="","",IF(MONTH(B296)=11,"X",""))</f>
        <v/>
      </c>
      <c r="U296" s="34" t="str">
        <f aca="false">IF(B296="","",IF(MONTH(B296)=12,"X",""))</f>
        <v/>
      </c>
      <c r="V296" s="24" t="str">
        <f aca="false">IF(E296="","",COUNTIF($E$5:$E$1000,E296))</f>
        <v/>
      </c>
      <c r="W296" s="35" t="str">
        <f aca="false">IF(E296="","",_xlfn.TEXTJOIN(" + ",TRUE(),IF(COUNTIFS($E$5:$E$1000,E296,$C$5:$C$1000,"Auditoría Interna")&gt;0,"Interna",""),IF(COUNTIFS($E$5:$E$1000,E296,$C$5:$C$1000,"Auditoría Externa")&gt;0,"Externa",""),IF(COUNTIFS($E$5:$E$1000,E296,$C$5:$C$1000,"SSF")&gt;0,"SSF",""),IF(COUNTIFS($E$5:$E$1000,E296,$C$5:$C$1000,"Comité de Supervisión")&gt;0,"Comité Sup.",""),IF(COUNTIFS($E$5:$E$1000,E296,$C$5:$C$1000,"Consejo de Administración")&gt;0,"Consejo",""),IF(COUNTIFS($E$5:$E$1000,E296,$C$5:$C$1000,"Otros")&gt;0,"Otros","")))</f>
        <v/>
      </c>
      <c r="X296" s="24" t="str">
        <f aca="false">IF(E296="","",COUNTIFS($E$5:$E$1000,E296,$AB$5:$AB$1000,AB296,$C$5:$C$1000,"&lt;&gt;"&amp;C296))</f>
        <v/>
      </c>
      <c r="Y296" s="33"/>
      <c r="Z296" s="31"/>
      <c r="AA296" s="33"/>
      <c r="AB296" s="37" t="str">
        <f aca="false">IF(B296="","",YEAR(B296)*100+MONTH(B296))</f>
        <v/>
      </c>
      <c r="AC296" s="37" t="str">
        <f aca="false">IF(AND(E296&lt;&gt;"",E296=Cruce!$C$5),COUNTIF($E$5:E296,E296),"")</f>
        <v/>
      </c>
      <c r="AD296" s="37" t="str">
        <f aca="false">IF(E296="","",C296&amp;"|"&amp;Y296&amp;"|"&amp;IF(B296="","s/f",TEXT(B296,"yyyymmdd")))</f>
        <v/>
      </c>
      <c r="AE296" s="37" t="n">
        <f aca="false">IF(E296="",0,IF(COUNTIFS($E$5:E296,E296,$AD$5:AD296,AD296)=1,1,0))</f>
        <v>0</v>
      </c>
    </row>
    <row r="297" customFormat="false" ht="15" hidden="false" customHeight="true" outlineLevel="0" collapsed="false">
      <c r="A297" s="31"/>
      <c r="B297" s="30"/>
      <c r="C297" s="31"/>
      <c r="D297" s="31"/>
      <c r="E297" s="32"/>
      <c r="F297" s="32"/>
      <c r="G297" s="33"/>
      <c r="H297" s="31"/>
      <c r="I297" s="24" t="str">
        <f aca="false">IF(B297="","",YEAR(B297))</f>
        <v/>
      </c>
      <c r="J297" s="34" t="str">
        <f aca="false">IF(B297="","",IF(MONTH(B297)=1,"X",""))</f>
        <v/>
      </c>
      <c r="K297" s="34" t="str">
        <f aca="false">IF(B297="","",IF(MONTH(B297)=2,"X",""))</f>
        <v/>
      </c>
      <c r="L297" s="34" t="str">
        <f aca="false">IF(B297="","",IF(MONTH(B297)=3,"X",""))</f>
        <v/>
      </c>
      <c r="M297" s="34" t="str">
        <f aca="false">IF(B297="","",IF(MONTH(B297)=4,"X",""))</f>
        <v/>
      </c>
      <c r="N297" s="34" t="str">
        <f aca="false">IF(B297="","",IF(MONTH(B297)=5,"X",""))</f>
        <v/>
      </c>
      <c r="O297" s="34" t="str">
        <f aca="false">IF(B297="","",IF(MONTH(B297)=6,"X",""))</f>
        <v/>
      </c>
      <c r="P297" s="34" t="str">
        <f aca="false">IF(B297="","",IF(MONTH(B297)=7,"X",""))</f>
        <v/>
      </c>
      <c r="Q297" s="34" t="str">
        <f aca="false">IF(B297="","",IF(MONTH(B297)=8,"X",""))</f>
        <v/>
      </c>
      <c r="R297" s="34" t="str">
        <f aca="false">IF(B297="","",IF(MONTH(B297)=9,"X",""))</f>
        <v/>
      </c>
      <c r="S297" s="34" t="str">
        <f aca="false">IF(B297="","",IF(MONTH(B297)=10,"X",""))</f>
        <v/>
      </c>
      <c r="T297" s="34" t="str">
        <f aca="false">IF(B297="","",IF(MONTH(B297)=11,"X",""))</f>
        <v/>
      </c>
      <c r="U297" s="34" t="str">
        <f aca="false">IF(B297="","",IF(MONTH(B297)=12,"X",""))</f>
        <v/>
      </c>
      <c r="V297" s="24" t="str">
        <f aca="false">IF(E297="","",COUNTIF($E$5:$E$1000,E297))</f>
        <v/>
      </c>
      <c r="W297" s="35" t="str">
        <f aca="false">IF(E297="","",_xlfn.TEXTJOIN(" + ",TRUE(),IF(COUNTIFS($E$5:$E$1000,E297,$C$5:$C$1000,"Auditoría Interna")&gt;0,"Interna",""),IF(COUNTIFS($E$5:$E$1000,E297,$C$5:$C$1000,"Auditoría Externa")&gt;0,"Externa",""),IF(COUNTIFS($E$5:$E$1000,E297,$C$5:$C$1000,"SSF")&gt;0,"SSF",""),IF(COUNTIFS($E$5:$E$1000,E297,$C$5:$C$1000,"Comité de Supervisión")&gt;0,"Comité Sup.",""),IF(COUNTIFS($E$5:$E$1000,E297,$C$5:$C$1000,"Consejo de Administración")&gt;0,"Consejo",""),IF(COUNTIFS($E$5:$E$1000,E297,$C$5:$C$1000,"Otros")&gt;0,"Otros","")))</f>
        <v/>
      </c>
      <c r="X297" s="24" t="str">
        <f aca="false">IF(E297="","",COUNTIFS($E$5:$E$1000,E297,$AB$5:$AB$1000,AB297,$C$5:$C$1000,"&lt;&gt;"&amp;C297))</f>
        <v/>
      </c>
      <c r="Y297" s="33"/>
      <c r="Z297" s="31"/>
      <c r="AA297" s="33"/>
      <c r="AB297" s="37" t="str">
        <f aca="false">IF(B297="","",YEAR(B297)*100+MONTH(B297))</f>
        <v/>
      </c>
      <c r="AC297" s="37" t="str">
        <f aca="false">IF(AND(E297&lt;&gt;"",E297=Cruce!$C$5),COUNTIF($E$5:E297,E297),"")</f>
        <v/>
      </c>
      <c r="AD297" s="37" t="str">
        <f aca="false">IF(E297="","",C297&amp;"|"&amp;Y297&amp;"|"&amp;IF(B297="","s/f",TEXT(B297,"yyyymmdd")))</f>
        <v/>
      </c>
      <c r="AE297" s="37" t="n">
        <f aca="false">IF(E297="",0,IF(COUNTIFS($E$5:E297,E297,$AD$5:AD297,AD297)=1,1,0))</f>
        <v>0</v>
      </c>
    </row>
    <row r="298" customFormat="false" ht="15" hidden="false" customHeight="true" outlineLevel="0" collapsed="false">
      <c r="A298" s="31"/>
      <c r="B298" s="30"/>
      <c r="C298" s="31"/>
      <c r="D298" s="31"/>
      <c r="E298" s="32"/>
      <c r="F298" s="32"/>
      <c r="G298" s="33"/>
      <c r="H298" s="31"/>
      <c r="I298" s="24" t="str">
        <f aca="false">IF(B298="","",YEAR(B298))</f>
        <v/>
      </c>
      <c r="J298" s="34" t="str">
        <f aca="false">IF(B298="","",IF(MONTH(B298)=1,"X",""))</f>
        <v/>
      </c>
      <c r="K298" s="34" t="str">
        <f aca="false">IF(B298="","",IF(MONTH(B298)=2,"X",""))</f>
        <v/>
      </c>
      <c r="L298" s="34" t="str">
        <f aca="false">IF(B298="","",IF(MONTH(B298)=3,"X",""))</f>
        <v/>
      </c>
      <c r="M298" s="34" t="str">
        <f aca="false">IF(B298="","",IF(MONTH(B298)=4,"X",""))</f>
        <v/>
      </c>
      <c r="N298" s="34" t="str">
        <f aca="false">IF(B298="","",IF(MONTH(B298)=5,"X",""))</f>
        <v/>
      </c>
      <c r="O298" s="34" t="str">
        <f aca="false">IF(B298="","",IF(MONTH(B298)=6,"X",""))</f>
        <v/>
      </c>
      <c r="P298" s="34" t="str">
        <f aca="false">IF(B298="","",IF(MONTH(B298)=7,"X",""))</f>
        <v/>
      </c>
      <c r="Q298" s="34" t="str">
        <f aca="false">IF(B298="","",IF(MONTH(B298)=8,"X",""))</f>
        <v/>
      </c>
      <c r="R298" s="34" t="str">
        <f aca="false">IF(B298="","",IF(MONTH(B298)=9,"X",""))</f>
        <v/>
      </c>
      <c r="S298" s="34" t="str">
        <f aca="false">IF(B298="","",IF(MONTH(B298)=10,"X",""))</f>
        <v/>
      </c>
      <c r="T298" s="34" t="str">
        <f aca="false">IF(B298="","",IF(MONTH(B298)=11,"X",""))</f>
        <v/>
      </c>
      <c r="U298" s="34" t="str">
        <f aca="false">IF(B298="","",IF(MONTH(B298)=12,"X",""))</f>
        <v/>
      </c>
      <c r="V298" s="24" t="str">
        <f aca="false">IF(E298="","",COUNTIF($E$5:$E$1000,E298))</f>
        <v/>
      </c>
      <c r="W298" s="35" t="str">
        <f aca="false">IF(E298="","",_xlfn.TEXTJOIN(" + ",TRUE(),IF(COUNTIFS($E$5:$E$1000,E298,$C$5:$C$1000,"Auditoría Interna")&gt;0,"Interna",""),IF(COUNTIFS($E$5:$E$1000,E298,$C$5:$C$1000,"Auditoría Externa")&gt;0,"Externa",""),IF(COUNTIFS($E$5:$E$1000,E298,$C$5:$C$1000,"SSF")&gt;0,"SSF",""),IF(COUNTIFS($E$5:$E$1000,E298,$C$5:$C$1000,"Comité de Supervisión")&gt;0,"Comité Sup.",""),IF(COUNTIFS($E$5:$E$1000,E298,$C$5:$C$1000,"Consejo de Administración")&gt;0,"Consejo",""),IF(COUNTIFS($E$5:$E$1000,E298,$C$5:$C$1000,"Otros")&gt;0,"Otros","")))</f>
        <v/>
      </c>
      <c r="X298" s="24" t="str">
        <f aca="false">IF(E298="","",COUNTIFS($E$5:$E$1000,E298,$AB$5:$AB$1000,AB298,$C$5:$C$1000,"&lt;&gt;"&amp;C298))</f>
        <v/>
      </c>
      <c r="Y298" s="33"/>
      <c r="Z298" s="31"/>
      <c r="AA298" s="33"/>
      <c r="AB298" s="37" t="str">
        <f aca="false">IF(B298="","",YEAR(B298)*100+MONTH(B298))</f>
        <v/>
      </c>
      <c r="AC298" s="37" t="str">
        <f aca="false">IF(AND(E298&lt;&gt;"",E298=Cruce!$C$5),COUNTIF($E$5:E298,E298),"")</f>
        <v/>
      </c>
      <c r="AD298" s="37" t="str">
        <f aca="false">IF(E298="","",C298&amp;"|"&amp;Y298&amp;"|"&amp;IF(B298="","s/f",TEXT(B298,"yyyymmdd")))</f>
        <v/>
      </c>
      <c r="AE298" s="37" t="n">
        <f aca="false">IF(E298="",0,IF(COUNTIFS($E$5:E298,E298,$AD$5:AD298,AD298)=1,1,0))</f>
        <v>0</v>
      </c>
    </row>
    <row r="299" customFormat="false" ht="15" hidden="false" customHeight="true" outlineLevel="0" collapsed="false">
      <c r="A299" s="31"/>
      <c r="B299" s="30"/>
      <c r="C299" s="31"/>
      <c r="D299" s="31"/>
      <c r="E299" s="32"/>
      <c r="F299" s="32"/>
      <c r="G299" s="33"/>
      <c r="H299" s="31"/>
      <c r="I299" s="24" t="str">
        <f aca="false">IF(B299="","",YEAR(B299))</f>
        <v/>
      </c>
      <c r="J299" s="34" t="str">
        <f aca="false">IF(B299="","",IF(MONTH(B299)=1,"X",""))</f>
        <v/>
      </c>
      <c r="K299" s="34" t="str">
        <f aca="false">IF(B299="","",IF(MONTH(B299)=2,"X",""))</f>
        <v/>
      </c>
      <c r="L299" s="34" t="str">
        <f aca="false">IF(B299="","",IF(MONTH(B299)=3,"X",""))</f>
        <v/>
      </c>
      <c r="M299" s="34" t="str">
        <f aca="false">IF(B299="","",IF(MONTH(B299)=4,"X",""))</f>
        <v/>
      </c>
      <c r="N299" s="34" t="str">
        <f aca="false">IF(B299="","",IF(MONTH(B299)=5,"X",""))</f>
        <v/>
      </c>
      <c r="O299" s="34" t="str">
        <f aca="false">IF(B299="","",IF(MONTH(B299)=6,"X",""))</f>
        <v/>
      </c>
      <c r="P299" s="34" t="str">
        <f aca="false">IF(B299="","",IF(MONTH(B299)=7,"X",""))</f>
        <v/>
      </c>
      <c r="Q299" s="34" t="str">
        <f aca="false">IF(B299="","",IF(MONTH(B299)=8,"X",""))</f>
        <v/>
      </c>
      <c r="R299" s="34" t="str">
        <f aca="false">IF(B299="","",IF(MONTH(B299)=9,"X",""))</f>
        <v/>
      </c>
      <c r="S299" s="34" t="str">
        <f aca="false">IF(B299="","",IF(MONTH(B299)=10,"X",""))</f>
        <v/>
      </c>
      <c r="T299" s="34" t="str">
        <f aca="false">IF(B299="","",IF(MONTH(B299)=11,"X",""))</f>
        <v/>
      </c>
      <c r="U299" s="34" t="str">
        <f aca="false">IF(B299="","",IF(MONTH(B299)=12,"X",""))</f>
        <v/>
      </c>
      <c r="V299" s="24" t="str">
        <f aca="false">IF(E299="","",COUNTIF($E$5:$E$1000,E299))</f>
        <v/>
      </c>
      <c r="W299" s="35" t="str">
        <f aca="false">IF(E299="","",_xlfn.TEXTJOIN(" + ",TRUE(),IF(COUNTIFS($E$5:$E$1000,E299,$C$5:$C$1000,"Auditoría Interna")&gt;0,"Interna",""),IF(COUNTIFS($E$5:$E$1000,E299,$C$5:$C$1000,"Auditoría Externa")&gt;0,"Externa",""),IF(COUNTIFS($E$5:$E$1000,E299,$C$5:$C$1000,"SSF")&gt;0,"SSF",""),IF(COUNTIFS($E$5:$E$1000,E299,$C$5:$C$1000,"Comité de Supervisión")&gt;0,"Comité Sup.",""),IF(COUNTIFS($E$5:$E$1000,E299,$C$5:$C$1000,"Consejo de Administración")&gt;0,"Consejo",""),IF(COUNTIFS($E$5:$E$1000,E299,$C$5:$C$1000,"Otros")&gt;0,"Otros","")))</f>
        <v/>
      </c>
      <c r="X299" s="24" t="str">
        <f aca="false">IF(E299="","",COUNTIFS($E$5:$E$1000,E299,$AB$5:$AB$1000,AB299,$C$5:$C$1000,"&lt;&gt;"&amp;C299))</f>
        <v/>
      </c>
      <c r="Y299" s="33"/>
      <c r="Z299" s="31"/>
      <c r="AA299" s="33"/>
      <c r="AB299" s="37" t="str">
        <f aca="false">IF(B299="","",YEAR(B299)*100+MONTH(B299))</f>
        <v/>
      </c>
      <c r="AC299" s="37" t="str">
        <f aca="false">IF(AND(E299&lt;&gt;"",E299=Cruce!$C$5),COUNTIF($E$5:E299,E299),"")</f>
        <v/>
      </c>
      <c r="AD299" s="37" t="str">
        <f aca="false">IF(E299="","",C299&amp;"|"&amp;Y299&amp;"|"&amp;IF(B299="","s/f",TEXT(B299,"yyyymmdd")))</f>
        <v/>
      </c>
      <c r="AE299" s="37" t="n">
        <f aca="false">IF(E299="",0,IF(COUNTIFS($E$5:E299,E299,$AD$5:AD299,AD299)=1,1,0))</f>
        <v>0</v>
      </c>
    </row>
    <row r="300" customFormat="false" ht="15" hidden="false" customHeight="true" outlineLevel="0" collapsed="false">
      <c r="A300" s="31"/>
      <c r="B300" s="30"/>
      <c r="C300" s="31"/>
      <c r="D300" s="31"/>
      <c r="E300" s="32"/>
      <c r="F300" s="32"/>
      <c r="G300" s="33"/>
      <c r="H300" s="31"/>
      <c r="I300" s="24" t="str">
        <f aca="false">IF(B300="","",YEAR(B300))</f>
        <v/>
      </c>
      <c r="J300" s="34" t="str">
        <f aca="false">IF(B300="","",IF(MONTH(B300)=1,"X",""))</f>
        <v/>
      </c>
      <c r="K300" s="34" t="str">
        <f aca="false">IF(B300="","",IF(MONTH(B300)=2,"X",""))</f>
        <v/>
      </c>
      <c r="L300" s="34" t="str">
        <f aca="false">IF(B300="","",IF(MONTH(B300)=3,"X",""))</f>
        <v/>
      </c>
      <c r="M300" s="34" t="str">
        <f aca="false">IF(B300="","",IF(MONTH(B300)=4,"X",""))</f>
        <v/>
      </c>
      <c r="N300" s="34" t="str">
        <f aca="false">IF(B300="","",IF(MONTH(B300)=5,"X",""))</f>
        <v/>
      </c>
      <c r="O300" s="34" t="str">
        <f aca="false">IF(B300="","",IF(MONTH(B300)=6,"X",""))</f>
        <v/>
      </c>
      <c r="P300" s="34" t="str">
        <f aca="false">IF(B300="","",IF(MONTH(B300)=7,"X",""))</f>
        <v/>
      </c>
      <c r="Q300" s="34" t="str">
        <f aca="false">IF(B300="","",IF(MONTH(B300)=8,"X",""))</f>
        <v/>
      </c>
      <c r="R300" s="34" t="str">
        <f aca="false">IF(B300="","",IF(MONTH(B300)=9,"X",""))</f>
        <v/>
      </c>
      <c r="S300" s="34" t="str">
        <f aca="false">IF(B300="","",IF(MONTH(B300)=10,"X",""))</f>
        <v/>
      </c>
      <c r="T300" s="34" t="str">
        <f aca="false">IF(B300="","",IF(MONTH(B300)=11,"X",""))</f>
        <v/>
      </c>
      <c r="U300" s="34" t="str">
        <f aca="false">IF(B300="","",IF(MONTH(B300)=12,"X",""))</f>
        <v/>
      </c>
      <c r="V300" s="24" t="str">
        <f aca="false">IF(E300="","",COUNTIF($E$5:$E$1000,E300))</f>
        <v/>
      </c>
      <c r="W300" s="35" t="str">
        <f aca="false">IF(E300="","",_xlfn.TEXTJOIN(" + ",TRUE(),IF(COUNTIFS($E$5:$E$1000,E300,$C$5:$C$1000,"Auditoría Interna")&gt;0,"Interna",""),IF(COUNTIFS($E$5:$E$1000,E300,$C$5:$C$1000,"Auditoría Externa")&gt;0,"Externa",""),IF(COUNTIFS($E$5:$E$1000,E300,$C$5:$C$1000,"SSF")&gt;0,"SSF",""),IF(COUNTIFS($E$5:$E$1000,E300,$C$5:$C$1000,"Comité de Supervisión")&gt;0,"Comité Sup.",""),IF(COUNTIFS($E$5:$E$1000,E300,$C$5:$C$1000,"Consejo de Administración")&gt;0,"Consejo",""),IF(COUNTIFS($E$5:$E$1000,E300,$C$5:$C$1000,"Otros")&gt;0,"Otros","")))</f>
        <v/>
      </c>
      <c r="X300" s="24" t="str">
        <f aca="false">IF(E300="","",COUNTIFS($E$5:$E$1000,E300,$AB$5:$AB$1000,AB300,$C$5:$C$1000,"&lt;&gt;"&amp;C300))</f>
        <v/>
      </c>
      <c r="Y300" s="33"/>
      <c r="Z300" s="31"/>
      <c r="AA300" s="33"/>
      <c r="AB300" s="37" t="str">
        <f aca="false">IF(B300="","",YEAR(B300)*100+MONTH(B300))</f>
        <v/>
      </c>
      <c r="AC300" s="37" t="str">
        <f aca="false">IF(AND(E300&lt;&gt;"",E300=Cruce!$C$5),COUNTIF($E$5:E300,E300),"")</f>
        <v/>
      </c>
      <c r="AD300" s="37" t="str">
        <f aca="false">IF(E300="","",C300&amp;"|"&amp;Y300&amp;"|"&amp;IF(B300="","s/f",TEXT(B300,"yyyymmdd")))</f>
        <v/>
      </c>
      <c r="AE300" s="37" t="n">
        <f aca="false">IF(E300="",0,IF(COUNTIFS($E$5:E300,E300,$AD$5:AD300,AD300)=1,1,0))</f>
        <v>0</v>
      </c>
    </row>
    <row r="301" customFormat="false" ht="15" hidden="false" customHeight="true" outlineLevel="0" collapsed="false">
      <c r="A301" s="31"/>
      <c r="B301" s="30"/>
      <c r="C301" s="31"/>
      <c r="D301" s="31"/>
      <c r="E301" s="32"/>
      <c r="F301" s="32"/>
      <c r="G301" s="33"/>
      <c r="H301" s="31"/>
      <c r="I301" s="24" t="str">
        <f aca="false">IF(B301="","",YEAR(B301))</f>
        <v/>
      </c>
      <c r="J301" s="34" t="str">
        <f aca="false">IF(B301="","",IF(MONTH(B301)=1,"X",""))</f>
        <v/>
      </c>
      <c r="K301" s="34" t="str">
        <f aca="false">IF(B301="","",IF(MONTH(B301)=2,"X",""))</f>
        <v/>
      </c>
      <c r="L301" s="34" t="str">
        <f aca="false">IF(B301="","",IF(MONTH(B301)=3,"X",""))</f>
        <v/>
      </c>
      <c r="M301" s="34" t="str">
        <f aca="false">IF(B301="","",IF(MONTH(B301)=4,"X",""))</f>
        <v/>
      </c>
      <c r="N301" s="34" t="str">
        <f aca="false">IF(B301="","",IF(MONTH(B301)=5,"X",""))</f>
        <v/>
      </c>
      <c r="O301" s="34" t="str">
        <f aca="false">IF(B301="","",IF(MONTH(B301)=6,"X",""))</f>
        <v/>
      </c>
      <c r="P301" s="34" t="str">
        <f aca="false">IF(B301="","",IF(MONTH(B301)=7,"X",""))</f>
        <v/>
      </c>
      <c r="Q301" s="34" t="str">
        <f aca="false">IF(B301="","",IF(MONTH(B301)=8,"X",""))</f>
        <v/>
      </c>
      <c r="R301" s="34" t="str">
        <f aca="false">IF(B301="","",IF(MONTH(B301)=9,"X",""))</f>
        <v/>
      </c>
      <c r="S301" s="34" t="str">
        <f aca="false">IF(B301="","",IF(MONTH(B301)=10,"X",""))</f>
        <v/>
      </c>
      <c r="T301" s="34" t="str">
        <f aca="false">IF(B301="","",IF(MONTH(B301)=11,"X",""))</f>
        <v/>
      </c>
      <c r="U301" s="34" t="str">
        <f aca="false">IF(B301="","",IF(MONTH(B301)=12,"X",""))</f>
        <v/>
      </c>
      <c r="V301" s="24" t="str">
        <f aca="false">IF(E301="","",COUNTIF($E$5:$E$1000,E301))</f>
        <v/>
      </c>
      <c r="W301" s="35" t="str">
        <f aca="false">IF(E301="","",_xlfn.TEXTJOIN(" + ",TRUE(),IF(COUNTIFS($E$5:$E$1000,E301,$C$5:$C$1000,"Auditoría Interna")&gt;0,"Interna",""),IF(COUNTIFS($E$5:$E$1000,E301,$C$5:$C$1000,"Auditoría Externa")&gt;0,"Externa",""),IF(COUNTIFS($E$5:$E$1000,E301,$C$5:$C$1000,"SSF")&gt;0,"SSF",""),IF(COUNTIFS($E$5:$E$1000,E301,$C$5:$C$1000,"Comité de Supervisión")&gt;0,"Comité Sup.",""),IF(COUNTIFS($E$5:$E$1000,E301,$C$5:$C$1000,"Consejo de Administración")&gt;0,"Consejo",""),IF(COUNTIFS($E$5:$E$1000,E301,$C$5:$C$1000,"Otros")&gt;0,"Otros","")))</f>
        <v/>
      </c>
      <c r="X301" s="24" t="str">
        <f aca="false">IF(E301="","",COUNTIFS($E$5:$E$1000,E301,$AB$5:$AB$1000,AB301,$C$5:$C$1000,"&lt;&gt;"&amp;C301))</f>
        <v/>
      </c>
      <c r="Y301" s="33"/>
      <c r="Z301" s="31"/>
      <c r="AA301" s="33"/>
      <c r="AB301" s="37" t="str">
        <f aca="false">IF(B301="","",YEAR(B301)*100+MONTH(B301))</f>
        <v/>
      </c>
      <c r="AC301" s="37" t="str">
        <f aca="false">IF(AND(E301&lt;&gt;"",E301=Cruce!$C$5),COUNTIF($E$5:E301,E301),"")</f>
        <v/>
      </c>
      <c r="AD301" s="37" t="str">
        <f aca="false">IF(E301="","",C301&amp;"|"&amp;Y301&amp;"|"&amp;IF(B301="","s/f",TEXT(B301,"yyyymmdd")))</f>
        <v/>
      </c>
      <c r="AE301" s="37" t="n">
        <f aca="false">IF(E301="",0,IF(COUNTIFS($E$5:E301,E301,$AD$5:AD301,AD301)=1,1,0))</f>
        <v>0</v>
      </c>
    </row>
    <row r="302" customFormat="false" ht="15" hidden="false" customHeight="true" outlineLevel="0" collapsed="false">
      <c r="A302" s="31"/>
      <c r="B302" s="30"/>
      <c r="C302" s="31"/>
      <c r="D302" s="31"/>
      <c r="E302" s="32"/>
      <c r="F302" s="32"/>
      <c r="G302" s="33"/>
      <c r="H302" s="31"/>
      <c r="I302" s="24" t="str">
        <f aca="false">IF(B302="","",YEAR(B302))</f>
        <v/>
      </c>
      <c r="J302" s="34" t="str">
        <f aca="false">IF(B302="","",IF(MONTH(B302)=1,"X",""))</f>
        <v/>
      </c>
      <c r="K302" s="34" t="str">
        <f aca="false">IF(B302="","",IF(MONTH(B302)=2,"X",""))</f>
        <v/>
      </c>
      <c r="L302" s="34" t="str">
        <f aca="false">IF(B302="","",IF(MONTH(B302)=3,"X",""))</f>
        <v/>
      </c>
      <c r="M302" s="34" t="str">
        <f aca="false">IF(B302="","",IF(MONTH(B302)=4,"X",""))</f>
        <v/>
      </c>
      <c r="N302" s="34" t="str">
        <f aca="false">IF(B302="","",IF(MONTH(B302)=5,"X",""))</f>
        <v/>
      </c>
      <c r="O302" s="34" t="str">
        <f aca="false">IF(B302="","",IF(MONTH(B302)=6,"X",""))</f>
        <v/>
      </c>
      <c r="P302" s="34" t="str">
        <f aca="false">IF(B302="","",IF(MONTH(B302)=7,"X",""))</f>
        <v/>
      </c>
      <c r="Q302" s="34" t="str">
        <f aca="false">IF(B302="","",IF(MONTH(B302)=8,"X",""))</f>
        <v/>
      </c>
      <c r="R302" s="34" t="str">
        <f aca="false">IF(B302="","",IF(MONTH(B302)=9,"X",""))</f>
        <v/>
      </c>
      <c r="S302" s="34" t="str">
        <f aca="false">IF(B302="","",IF(MONTH(B302)=10,"X",""))</f>
        <v/>
      </c>
      <c r="T302" s="34" t="str">
        <f aca="false">IF(B302="","",IF(MONTH(B302)=11,"X",""))</f>
        <v/>
      </c>
      <c r="U302" s="34" t="str">
        <f aca="false">IF(B302="","",IF(MONTH(B302)=12,"X",""))</f>
        <v/>
      </c>
      <c r="V302" s="24" t="str">
        <f aca="false">IF(E302="","",COUNTIF($E$5:$E$1000,E302))</f>
        <v/>
      </c>
      <c r="W302" s="35" t="str">
        <f aca="false">IF(E302="","",_xlfn.TEXTJOIN(" + ",TRUE(),IF(COUNTIFS($E$5:$E$1000,E302,$C$5:$C$1000,"Auditoría Interna")&gt;0,"Interna",""),IF(COUNTIFS($E$5:$E$1000,E302,$C$5:$C$1000,"Auditoría Externa")&gt;0,"Externa",""),IF(COUNTIFS($E$5:$E$1000,E302,$C$5:$C$1000,"SSF")&gt;0,"SSF",""),IF(COUNTIFS($E$5:$E$1000,E302,$C$5:$C$1000,"Comité de Supervisión")&gt;0,"Comité Sup.",""),IF(COUNTIFS($E$5:$E$1000,E302,$C$5:$C$1000,"Consejo de Administración")&gt;0,"Consejo",""),IF(COUNTIFS($E$5:$E$1000,E302,$C$5:$C$1000,"Otros")&gt;0,"Otros","")))</f>
        <v/>
      </c>
      <c r="X302" s="24" t="str">
        <f aca="false">IF(E302="","",COUNTIFS($E$5:$E$1000,E302,$AB$5:$AB$1000,AB302,$C$5:$C$1000,"&lt;&gt;"&amp;C302))</f>
        <v/>
      </c>
      <c r="Y302" s="33"/>
      <c r="Z302" s="31"/>
      <c r="AA302" s="33"/>
      <c r="AB302" s="37" t="str">
        <f aca="false">IF(B302="","",YEAR(B302)*100+MONTH(B302))</f>
        <v/>
      </c>
      <c r="AC302" s="37" t="str">
        <f aca="false">IF(AND(E302&lt;&gt;"",E302=Cruce!$C$5),COUNTIF($E$5:E302,E302),"")</f>
        <v/>
      </c>
      <c r="AD302" s="37" t="str">
        <f aca="false">IF(E302="","",C302&amp;"|"&amp;Y302&amp;"|"&amp;IF(B302="","s/f",TEXT(B302,"yyyymmdd")))</f>
        <v/>
      </c>
      <c r="AE302" s="37" t="n">
        <f aca="false">IF(E302="",0,IF(COUNTIFS($E$5:E302,E302,$AD$5:AD302,AD302)=1,1,0))</f>
        <v>0</v>
      </c>
    </row>
    <row r="303" customFormat="false" ht="15" hidden="false" customHeight="true" outlineLevel="0" collapsed="false">
      <c r="A303" s="31"/>
      <c r="B303" s="30"/>
      <c r="C303" s="31"/>
      <c r="D303" s="31"/>
      <c r="E303" s="32"/>
      <c r="F303" s="32"/>
      <c r="G303" s="33"/>
      <c r="H303" s="31"/>
      <c r="I303" s="24" t="str">
        <f aca="false">IF(B303="","",YEAR(B303))</f>
        <v/>
      </c>
      <c r="J303" s="34" t="str">
        <f aca="false">IF(B303="","",IF(MONTH(B303)=1,"X",""))</f>
        <v/>
      </c>
      <c r="K303" s="34" t="str">
        <f aca="false">IF(B303="","",IF(MONTH(B303)=2,"X",""))</f>
        <v/>
      </c>
      <c r="L303" s="34" t="str">
        <f aca="false">IF(B303="","",IF(MONTH(B303)=3,"X",""))</f>
        <v/>
      </c>
      <c r="M303" s="34" t="str">
        <f aca="false">IF(B303="","",IF(MONTH(B303)=4,"X",""))</f>
        <v/>
      </c>
      <c r="N303" s="34" t="str">
        <f aca="false">IF(B303="","",IF(MONTH(B303)=5,"X",""))</f>
        <v/>
      </c>
      <c r="O303" s="34" t="str">
        <f aca="false">IF(B303="","",IF(MONTH(B303)=6,"X",""))</f>
        <v/>
      </c>
      <c r="P303" s="34" t="str">
        <f aca="false">IF(B303="","",IF(MONTH(B303)=7,"X",""))</f>
        <v/>
      </c>
      <c r="Q303" s="34" t="str">
        <f aca="false">IF(B303="","",IF(MONTH(B303)=8,"X",""))</f>
        <v/>
      </c>
      <c r="R303" s="34" t="str">
        <f aca="false">IF(B303="","",IF(MONTH(B303)=9,"X",""))</f>
        <v/>
      </c>
      <c r="S303" s="34" t="str">
        <f aca="false">IF(B303="","",IF(MONTH(B303)=10,"X",""))</f>
        <v/>
      </c>
      <c r="T303" s="34" t="str">
        <f aca="false">IF(B303="","",IF(MONTH(B303)=11,"X",""))</f>
        <v/>
      </c>
      <c r="U303" s="34" t="str">
        <f aca="false">IF(B303="","",IF(MONTH(B303)=12,"X",""))</f>
        <v/>
      </c>
      <c r="V303" s="24" t="str">
        <f aca="false">IF(E303="","",COUNTIF($E$5:$E$1000,E303))</f>
        <v/>
      </c>
      <c r="W303" s="35" t="str">
        <f aca="false">IF(E303="","",_xlfn.TEXTJOIN(" + ",TRUE(),IF(COUNTIFS($E$5:$E$1000,E303,$C$5:$C$1000,"Auditoría Interna")&gt;0,"Interna",""),IF(COUNTIFS($E$5:$E$1000,E303,$C$5:$C$1000,"Auditoría Externa")&gt;0,"Externa",""),IF(COUNTIFS($E$5:$E$1000,E303,$C$5:$C$1000,"SSF")&gt;0,"SSF",""),IF(COUNTIFS($E$5:$E$1000,E303,$C$5:$C$1000,"Comité de Supervisión")&gt;0,"Comité Sup.",""),IF(COUNTIFS($E$5:$E$1000,E303,$C$5:$C$1000,"Consejo de Administración")&gt;0,"Consejo",""),IF(COUNTIFS($E$5:$E$1000,E303,$C$5:$C$1000,"Otros")&gt;0,"Otros","")))</f>
        <v/>
      </c>
      <c r="X303" s="24" t="str">
        <f aca="false">IF(E303="","",COUNTIFS($E$5:$E$1000,E303,$AB$5:$AB$1000,AB303,$C$5:$C$1000,"&lt;&gt;"&amp;C303))</f>
        <v/>
      </c>
      <c r="Y303" s="33"/>
      <c r="Z303" s="31"/>
      <c r="AA303" s="33"/>
      <c r="AB303" s="37" t="str">
        <f aca="false">IF(B303="","",YEAR(B303)*100+MONTH(B303))</f>
        <v/>
      </c>
      <c r="AC303" s="37" t="str">
        <f aca="false">IF(AND(E303&lt;&gt;"",E303=Cruce!$C$5),COUNTIF($E$5:E303,E303),"")</f>
        <v/>
      </c>
      <c r="AD303" s="37" t="str">
        <f aca="false">IF(E303="","",C303&amp;"|"&amp;Y303&amp;"|"&amp;IF(B303="","s/f",TEXT(B303,"yyyymmdd")))</f>
        <v/>
      </c>
      <c r="AE303" s="37" t="n">
        <f aca="false">IF(E303="",0,IF(COUNTIFS($E$5:E303,E303,$AD$5:AD303,AD303)=1,1,0))</f>
        <v>0</v>
      </c>
    </row>
    <row r="304" customFormat="false" ht="15" hidden="false" customHeight="true" outlineLevel="0" collapsed="false">
      <c r="A304" s="31"/>
      <c r="B304" s="30"/>
      <c r="C304" s="31"/>
      <c r="D304" s="31"/>
      <c r="E304" s="32"/>
      <c r="F304" s="32"/>
      <c r="G304" s="33"/>
      <c r="H304" s="31"/>
      <c r="I304" s="24" t="str">
        <f aca="false">IF(B304="","",YEAR(B304))</f>
        <v/>
      </c>
      <c r="J304" s="34" t="str">
        <f aca="false">IF(B304="","",IF(MONTH(B304)=1,"X",""))</f>
        <v/>
      </c>
      <c r="K304" s="34" t="str">
        <f aca="false">IF(B304="","",IF(MONTH(B304)=2,"X",""))</f>
        <v/>
      </c>
      <c r="L304" s="34" t="str">
        <f aca="false">IF(B304="","",IF(MONTH(B304)=3,"X",""))</f>
        <v/>
      </c>
      <c r="M304" s="34" t="str">
        <f aca="false">IF(B304="","",IF(MONTH(B304)=4,"X",""))</f>
        <v/>
      </c>
      <c r="N304" s="34" t="str">
        <f aca="false">IF(B304="","",IF(MONTH(B304)=5,"X",""))</f>
        <v/>
      </c>
      <c r="O304" s="34" t="str">
        <f aca="false">IF(B304="","",IF(MONTH(B304)=6,"X",""))</f>
        <v/>
      </c>
      <c r="P304" s="34" t="str">
        <f aca="false">IF(B304="","",IF(MONTH(B304)=7,"X",""))</f>
        <v/>
      </c>
      <c r="Q304" s="34" t="str">
        <f aca="false">IF(B304="","",IF(MONTH(B304)=8,"X",""))</f>
        <v/>
      </c>
      <c r="R304" s="34" t="str">
        <f aca="false">IF(B304="","",IF(MONTH(B304)=9,"X",""))</f>
        <v/>
      </c>
      <c r="S304" s="34" t="str">
        <f aca="false">IF(B304="","",IF(MONTH(B304)=10,"X",""))</f>
        <v/>
      </c>
      <c r="T304" s="34" t="str">
        <f aca="false">IF(B304="","",IF(MONTH(B304)=11,"X",""))</f>
        <v/>
      </c>
      <c r="U304" s="34" t="str">
        <f aca="false">IF(B304="","",IF(MONTH(B304)=12,"X",""))</f>
        <v/>
      </c>
      <c r="V304" s="24" t="str">
        <f aca="false">IF(E304="","",COUNTIF($E$5:$E$1000,E304))</f>
        <v/>
      </c>
      <c r="W304" s="35" t="str">
        <f aca="false">IF(E304="","",_xlfn.TEXTJOIN(" + ",TRUE(),IF(COUNTIFS($E$5:$E$1000,E304,$C$5:$C$1000,"Auditoría Interna")&gt;0,"Interna",""),IF(COUNTIFS($E$5:$E$1000,E304,$C$5:$C$1000,"Auditoría Externa")&gt;0,"Externa",""),IF(COUNTIFS($E$5:$E$1000,E304,$C$5:$C$1000,"SSF")&gt;0,"SSF",""),IF(COUNTIFS($E$5:$E$1000,E304,$C$5:$C$1000,"Comité de Supervisión")&gt;0,"Comité Sup.",""),IF(COUNTIFS($E$5:$E$1000,E304,$C$5:$C$1000,"Consejo de Administración")&gt;0,"Consejo",""),IF(COUNTIFS($E$5:$E$1000,E304,$C$5:$C$1000,"Otros")&gt;0,"Otros","")))</f>
        <v/>
      </c>
      <c r="X304" s="24" t="str">
        <f aca="false">IF(E304="","",COUNTIFS($E$5:$E$1000,E304,$AB$5:$AB$1000,AB304,$C$5:$C$1000,"&lt;&gt;"&amp;C304))</f>
        <v/>
      </c>
      <c r="Y304" s="33"/>
      <c r="Z304" s="31"/>
      <c r="AA304" s="33"/>
      <c r="AB304" s="37" t="str">
        <f aca="false">IF(B304="","",YEAR(B304)*100+MONTH(B304))</f>
        <v/>
      </c>
      <c r="AC304" s="37" t="str">
        <f aca="false">IF(AND(E304&lt;&gt;"",E304=Cruce!$C$5),COUNTIF($E$5:E304,E304),"")</f>
        <v/>
      </c>
      <c r="AD304" s="37" t="str">
        <f aca="false">IF(E304="","",C304&amp;"|"&amp;Y304&amp;"|"&amp;IF(B304="","s/f",TEXT(B304,"yyyymmdd")))</f>
        <v/>
      </c>
      <c r="AE304" s="37" t="n">
        <f aca="false">IF(E304="",0,IF(COUNTIFS($E$5:E304,E304,$AD$5:AD304,AD304)=1,1,0))</f>
        <v>0</v>
      </c>
    </row>
    <row r="305" customFormat="false" ht="15" hidden="false" customHeight="true" outlineLevel="0" collapsed="false">
      <c r="A305" s="31"/>
      <c r="B305" s="30"/>
      <c r="C305" s="31"/>
      <c r="D305" s="31"/>
      <c r="E305" s="32"/>
      <c r="F305" s="32"/>
      <c r="G305" s="33"/>
      <c r="H305" s="31"/>
      <c r="I305" s="24" t="str">
        <f aca="false">IF(B305="","",YEAR(B305))</f>
        <v/>
      </c>
      <c r="J305" s="34" t="str">
        <f aca="false">IF(B305="","",IF(MONTH(B305)=1,"X",""))</f>
        <v/>
      </c>
      <c r="K305" s="34" t="str">
        <f aca="false">IF(B305="","",IF(MONTH(B305)=2,"X",""))</f>
        <v/>
      </c>
      <c r="L305" s="34" t="str">
        <f aca="false">IF(B305="","",IF(MONTH(B305)=3,"X",""))</f>
        <v/>
      </c>
      <c r="M305" s="34" t="str">
        <f aca="false">IF(B305="","",IF(MONTH(B305)=4,"X",""))</f>
        <v/>
      </c>
      <c r="N305" s="34" t="str">
        <f aca="false">IF(B305="","",IF(MONTH(B305)=5,"X",""))</f>
        <v/>
      </c>
      <c r="O305" s="34" t="str">
        <f aca="false">IF(B305="","",IF(MONTH(B305)=6,"X",""))</f>
        <v/>
      </c>
      <c r="P305" s="34" t="str">
        <f aca="false">IF(B305="","",IF(MONTH(B305)=7,"X",""))</f>
        <v/>
      </c>
      <c r="Q305" s="34" t="str">
        <f aca="false">IF(B305="","",IF(MONTH(B305)=8,"X",""))</f>
        <v/>
      </c>
      <c r="R305" s="34" t="str">
        <f aca="false">IF(B305="","",IF(MONTH(B305)=9,"X",""))</f>
        <v/>
      </c>
      <c r="S305" s="34" t="str">
        <f aca="false">IF(B305="","",IF(MONTH(B305)=10,"X",""))</f>
        <v/>
      </c>
      <c r="T305" s="34" t="str">
        <f aca="false">IF(B305="","",IF(MONTH(B305)=11,"X",""))</f>
        <v/>
      </c>
      <c r="U305" s="34" t="str">
        <f aca="false">IF(B305="","",IF(MONTH(B305)=12,"X",""))</f>
        <v/>
      </c>
      <c r="V305" s="24" t="str">
        <f aca="false">IF(E305="","",COUNTIF($E$5:$E$1000,E305))</f>
        <v/>
      </c>
      <c r="W305" s="35" t="str">
        <f aca="false">IF(E305="","",_xlfn.TEXTJOIN(" + ",TRUE(),IF(COUNTIFS($E$5:$E$1000,E305,$C$5:$C$1000,"Auditoría Interna")&gt;0,"Interna",""),IF(COUNTIFS($E$5:$E$1000,E305,$C$5:$C$1000,"Auditoría Externa")&gt;0,"Externa",""),IF(COUNTIFS($E$5:$E$1000,E305,$C$5:$C$1000,"SSF")&gt;0,"SSF",""),IF(COUNTIFS($E$5:$E$1000,E305,$C$5:$C$1000,"Comité de Supervisión")&gt;0,"Comité Sup.",""),IF(COUNTIFS($E$5:$E$1000,E305,$C$5:$C$1000,"Consejo de Administración")&gt;0,"Consejo",""),IF(COUNTIFS($E$5:$E$1000,E305,$C$5:$C$1000,"Otros")&gt;0,"Otros","")))</f>
        <v/>
      </c>
      <c r="X305" s="24" t="str">
        <f aca="false">IF(E305="","",COUNTIFS($E$5:$E$1000,E305,$AB$5:$AB$1000,AB305,$C$5:$C$1000,"&lt;&gt;"&amp;C305))</f>
        <v/>
      </c>
      <c r="Y305" s="33"/>
      <c r="Z305" s="31"/>
      <c r="AA305" s="33"/>
      <c r="AB305" s="37" t="str">
        <f aca="false">IF(B305="","",YEAR(B305)*100+MONTH(B305))</f>
        <v/>
      </c>
      <c r="AC305" s="37" t="str">
        <f aca="false">IF(AND(E305&lt;&gt;"",E305=Cruce!$C$5),COUNTIF($E$5:E305,E305),"")</f>
        <v/>
      </c>
      <c r="AD305" s="37" t="str">
        <f aca="false">IF(E305="","",C305&amp;"|"&amp;Y305&amp;"|"&amp;IF(B305="","s/f",TEXT(B305,"yyyymmdd")))</f>
        <v/>
      </c>
      <c r="AE305" s="37" t="n">
        <f aca="false">IF(E305="",0,IF(COUNTIFS($E$5:E305,E305,$AD$5:AD305,AD305)=1,1,0))</f>
        <v>0</v>
      </c>
    </row>
    <row r="306" customFormat="false" ht="15" hidden="false" customHeight="true" outlineLevel="0" collapsed="false">
      <c r="A306" s="31"/>
      <c r="B306" s="30"/>
      <c r="C306" s="31"/>
      <c r="D306" s="31"/>
      <c r="E306" s="32"/>
      <c r="F306" s="32"/>
      <c r="G306" s="33"/>
      <c r="H306" s="31"/>
      <c r="I306" s="24" t="str">
        <f aca="false">IF(B306="","",YEAR(B306))</f>
        <v/>
      </c>
      <c r="J306" s="34" t="str">
        <f aca="false">IF(B306="","",IF(MONTH(B306)=1,"X",""))</f>
        <v/>
      </c>
      <c r="K306" s="34" t="str">
        <f aca="false">IF(B306="","",IF(MONTH(B306)=2,"X",""))</f>
        <v/>
      </c>
      <c r="L306" s="34" t="str">
        <f aca="false">IF(B306="","",IF(MONTH(B306)=3,"X",""))</f>
        <v/>
      </c>
      <c r="M306" s="34" t="str">
        <f aca="false">IF(B306="","",IF(MONTH(B306)=4,"X",""))</f>
        <v/>
      </c>
      <c r="N306" s="34" t="str">
        <f aca="false">IF(B306="","",IF(MONTH(B306)=5,"X",""))</f>
        <v/>
      </c>
      <c r="O306" s="34" t="str">
        <f aca="false">IF(B306="","",IF(MONTH(B306)=6,"X",""))</f>
        <v/>
      </c>
      <c r="P306" s="34" t="str">
        <f aca="false">IF(B306="","",IF(MONTH(B306)=7,"X",""))</f>
        <v/>
      </c>
      <c r="Q306" s="34" t="str">
        <f aca="false">IF(B306="","",IF(MONTH(B306)=8,"X",""))</f>
        <v/>
      </c>
      <c r="R306" s="34" t="str">
        <f aca="false">IF(B306="","",IF(MONTH(B306)=9,"X",""))</f>
        <v/>
      </c>
      <c r="S306" s="34" t="str">
        <f aca="false">IF(B306="","",IF(MONTH(B306)=10,"X",""))</f>
        <v/>
      </c>
      <c r="T306" s="34" t="str">
        <f aca="false">IF(B306="","",IF(MONTH(B306)=11,"X",""))</f>
        <v/>
      </c>
      <c r="U306" s="34" t="str">
        <f aca="false">IF(B306="","",IF(MONTH(B306)=12,"X",""))</f>
        <v/>
      </c>
      <c r="V306" s="24" t="str">
        <f aca="false">IF(E306="","",COUNTIF($E$5:$E$1000,E306))</f>
        <v/>
      </c>
      <c r="W306" s="35" t="str">
        <f aca="false">IF(E306="","",_xlfn.TEXTJOIN(" + ",TRUE(),IF(COUNTIFS($E$5:$E$1000,E306,$C$5:$C$1000,"Auditoría Interna")&gt;0,"Interna",""),IF(COUNTIFS($E$5:$E$1000,E306,$C$5:$C$1000,"Auditoría Externa")&gt;0,"Externa",""),IF(COUNTIFS($E$5:$E$1000,E306,$C$5:$C$1000,"SSF")&gt;0,"SSF",""),IF(COUNTIFS($E$5:$E$1000,E306,$C$5:$C$1000,"Comité de Supervisión")&gt;0,"Comité Sup.",""),IF(COUNTIFS($E$5:$E$1000,E306,$C$5:$C$1000,"Consejo de Administración")&gt;0,"Consejo",""),IF(COUNTIFS($E$5:$E$1000,E306,$C$5:$C$1000,"Otros")&gt;0,"Otros","")))</f>
        <v/>
      </c>
      <c r="X306" s="24" t="str">
        <f aca="false">IF(E306="","",COUNTIFS($E$5:$E$1000,E306,$AB$5:$AB$1000,AB306,$C$5:$C$1000,"&lt;&gt;"&amp;C306))</f>
        <v/>
      </c>
      <c r="Y306" s="33"/>
      <c r="Z306" s="31"/>
      <c r="AA306" s="33"/>
      <c r="AB306" s="37" t="str">
        <f aca="false">IF(B306="","",YEAR(B306)*100+MONTH(B306))</f>
        <v/>
      </c>
      <c r="AC306" s="37" t="str">
        <f aca="false">IF(AND(E306&lt;&gt;"",E306=Cruce!$C$5),COUNTIF($E$5:E306,E306),"")</f>
        <v/>
      </c>
      <c r="AD306" s="37" t="str">
        <f aca="false">IF(E306="","",C306&amp;"|"&amp;Y306&amp;"|"&amp;IF(B306="","s/f",TEXT(B306,"yyyymmdd")))</f>
        <v/>
      </c>
      <c r="AE306" s="37" t="n">
        <f aca="false">IF(E306="",0,IF(COUNTIFS($E$5:E306,E306,$AD$5:AD306,AD306)=1,1,0))</f>
        <v>0</v>
      </c>
    </row>
    <row r="307" customFormat="false" ht="15" hidden="false" customHeight="true" outlineLevel="0" collapsed="false">
      <c r="A307" s="31"/>
      <c r="B307" s="30"/>
      <c r="C307" s="31"/>
      <c r="D307" s="31"/>
      <c r="E307" s="32"/>
      <c r="F307" s="32"/>
      <c r="G307" s="33"/>
      <c r="H307" s="31"/>
      <c r="I307" s="24" t="str">
        <f aca="false">IF(B307="","",YEAR(B307))</f>
        <v/>
      </c>
      <c r="J307" s="34" t="str">
        <f aca="false">IF(B307="","",IF(MONTH(B307)=1,"X",""))</f>
        <v/>
      </c>
      <c r="K307" s="34" t="str">
        <f aca="false">IF(B307="","",IF(MONTH(B307)=2,"X",""))</f>
        <v/>
      </c>
      <c r="L307" s="34" t="str">
        <f aca="false">IF(B307="","",IF(MONTH(B307)=3,"X",""))</f>
        <v/>
      </c>
      <c r="M307" s="34" t="str">
        <f aca="false">IF(B307="","",IF(MONTH(B307)=4,"X",""))</f>
        <v/>
      </c>
      <c r="N307" s="34" t="str">
        <f aca="false">IF(B307="","",IF(MONTH(B307)=5,"X",""))</f>
        <v/>
      </c>
      <c r="O307" s="34" t="str">
        <f aca="false">IF(B307="","",IF(MONTH(B307)=6,"X",""))</f>
        <v/>
      </c>
      <c r="P307" s="34" t="str">
        <f aca="false">IF(B307="","",IF(MONTH(B307)=7,"X",""))</f>
        <v/>
      </c>
      <c r="Q307" s="34" t="str">
        <f aca="false">IF(B307="","",IF(MONTH(B307)=8,"X",""))</f>
        <v/>
      </c>
      <c r="R307" s="34" t="str">
        <f aca="false">IF(B307="","",IF(MONTH(B307)=9,"X",""))</f>
        <v/>
      </c>
      <c r="S307" s="34" t="str">
        <f aca="false">IF(B307="","",IF(MONTH(B307)=10,"X",""))</f>
        <v/>
      </c>
      <c r="T307" s="34" t="str">
        <f aca="false">IF(B307="","",IF(MONTH(B307)=11,"X",""))</f>
        <v/>
      </c>
      <c r="U307" s="34" t="str">
        <f aca="false">IF(B307="","",IF(MONTH(B307)=12,"X",""))</f>
        <v/>
      </c>
      <c r="V307" s="24" t="str">
        <f aca="false">IF(E307="","",COUNTIF($E$5:$E$1000,E307))</f>
        <v/>
      </c>
      <c r="W307" s="35" t="str">
        <f aca="false">IF(E307="","",_xlfn.TEXTJOIN(" + ",TRUE(),IF(COUNTIFS($E$5:$E$1000,E307,$C$5:$C$1000,"Auditoría Interna")&gt;0,"Interna",""),IF(COUNTIFS($E$5:$E$1000,E307,$C$5:$C$1000,"Auditoría Externa")&gt;0,"Externa",""),IF(COUNTIFS($E$5:$E$1000,E307,$C$5:$C$1000,"SSF")&gt;0,"SSF",""),IF(COUNTIFS($E$5:$E$1000,E307,$C$5:$C$1000,"Comité de Supervisión")&gt;0,"Comité Sup.",""),IF(COUNTIFS($E$5:$E$1000,E307,$C$5:$C$1000,"Consejo de Administración")&gt;0,"Consejo",""),IF(COUNTIFS($E$5:$E$1000,E307,$C$5:$C$1000,"Otros")&gt;0,"Otros","")))</f>
        <v/>
      </c>
      <c r="X307" s="24" t="str">
        <f aca="false">IF(E307="","",COUNTIFS($E$5:$E$1000,E307,$AB$5:$AB$1000,AB307,$C$5:$C$1000,"&lt;&gt;"&amp;C307))</f>
        <v/>
      </c>
      <c r="Y307" s="33"/>
      <c r="Z307" s="31"/>
      <c r="AA307" s="33"/>
      <c r="AB307" s="37" t="str">
        <f aca="false">IF(B307="","",YEAR(B307)*100+MONTH(B307))</f>
        <v/>
      </c>
      <c r="AC307" s="37" t="str">
        <f aca="false">IF(AND(E307&lt;&gt;"",E307=Cruce!$C$5),COUNTIF($E$5:E307,E307),"")</f>
        <v/>
      </c>
      <c r="AD307" s="37" t="str">
        <f aca="false">IF(E307="","",C307&amp;"|"&amp;Y307&amp;"|"&amp;IF(B307="","s/f",TEXT(B307,"yyyymmdd")))</f>
        <v/>
      </c>
      <c r="AE307" s="37" t="n">
        <f aca="false">IF(E307="",0,IF(COUNTIFS($E$5:E307,E307,$AD$5:AD307,AD307)=1,1,0))</f>
        <v>0</v>
      </c>
    </row>
    <row r="308" customFormat="false" ht="15" hidden="false" customHeight="true" outlineLevel="0" collapsed="false">
      <c r="A308" s="31"/>
      <c r="B308" s="30"/>
      <c r="C308" s="31"/>
      <c r="D308" s="31"/>
      <c r="E308" s="32"/>
      <c r="F308" s="32"/>
      <c r="G308" s="33"/>
      <c r="H308" s="31"/>
      <c r="I308" s="24" t="str">
        <f aca="false">IF(B308="","",YEAR(B308))</f>
        <v/>
      </c>
      <c r="J308" s="34" t="str">
        <f aca="false">IF(B308="","",IF(MONTH(B308)=1,"X",""))</f>
        <v/>
      </c>
      <c r="K308" s="34" t="str">
        <f aca="false">IF(B308="","",IF(MONTH(B308)=2,"X",""))</f>
        <v/>
      </c>
      <c r="L308" s="34" t="str">
        <f aca="false">IF(B308="","",IF(MONTH(B308)=3,"X",""))</f>
        <v/>
      </c>
      <c r="M308" s="34" t="str">
        <f aca="false">IF(B308="","",IF(MONTH(B308)=4,"X",""))</f>
        <v/>
      </c>
      <c r="N308" s="34" t="str">
        <f aca="false">IF(B308="","",IF(MONTH(B308)=5,"X",""))</f>
        <v/>
      </c>
      <c r="O308" s="34" t="str">
        <f aca="false">IF(B308="","",IF(MONTH(B308)=6,"X",""))</f>
        <v/>
      </c>
      <c r="P308" s="34" t="str">
        <f aca="false">IF(B308="","",IF(MONTH(B308)=7,"X",""))</f>
        <v/>
      </c>
      <c r="Q308" s="34" t="str">
        <f aca="false">IF(B308="","",IF(MONTH(B308)=8,"X",""))</f>
        <v/>
      </c>
      <c r="R308" s="34" t="str">
        <f aca="false">IF(B308="","",IF(MONTH(B308)=9,"X",""))</f>
        <v/>
      </c>
      <c r="S308" s="34" t="str">
        <f aca="false">IF(B308="","",IF(MONTH(B308)=10,"X",""))</f>
        <v/>
      </c>
      <c r="T308" s="34" t="str">
        <f aca="false">IF(B308="","",IF(MONTH(B308)=11,"X",""))</f>
        <v/>
      </c>
      <c r="U308" s="34" t="str">
        <f aca="false">IF(B308="","",IF(MONTH(B308)=12,"X",""))</f>
        <v/>
      </c>
      <c r="V308" s="24" t="str">
        <f aca="false">IF(E308="","",COUNTIF($E$5:$E$1000,E308))</f>
        <v/>
      </c>
      <c r="W308" s="35" t="str">
        <f aca="false">IF(E308="","",_xlfn.TEXTJOIN(" + ",TRUE(),IF(COUNTIFS($E$5:$E$1000,E308,$C$5:$C$1000,"Auditoría Interna")&gt;0,"Interna",""),IF(COUNTIFS($E$5:$E$1000,E308,$C$5:$C$1000,"Auditoría Externa")&gt;0,"Externa",""),IF(COUNTIFS($E$5:$E$1000,E308,$C$5:$C$1000,"SSF")&gt;0,"SSF",""),IF(COUNTIFS($E$5:$E$1000,E308,$C$5:$C$1000,"Comité de Supervisión")&gt;0,"Comité Sup.",""),IF(COUNTIFS($E$5:$E$1000,E308,$C$5:$C$1000,"Consejo de Administración")&gt;0,"Consejo",""),IF(COUNTIFS($E$5:$E$1000,E308,$C$5:$C$1000,"Otros")&gt;0,"Otros","")))</f>
        <v/>
      </c>
      <c r="X308" s="24" t="str">
        <f aca="false">IF(E308="","",COUNTIFS($E$5:$E$1000,E308,$AB$5:$AB$1000,AB308,$C$5:$C$1000,"&lt;&gt;"&amp;C308))</f>
        <v/>
      </c>
      <c r="Y308" s="33"/>
      <c r="Z308" s="31"/>
      <c r="AA308" s="33"/>
      <c r="AB308" s="37" t="str">
        <f aca="false">IF(B308="","",YEAR(B308)*100+MONTH(B308))</f>
        <v/>
      </c>
      <c r="AC308" s="37" t="str">
        <f aca="false">IF(AND(E308&lt;&gt;"",E308=Cruce!$C$5),COUNTIF($E$5:E308,E308),"")</f>
        <v/>
      </c>
      <c r="AD308" s="37" t="str">
        <f aca="false">IF(E308="","",C308&amp;"|"&amp;Y308&amp;"|"&amp;IF(B308="","s/f",TEXT(B308,"yyyymmdd")))</f>
        <v/>
      </c>
      <c r="AE308" s="37" t="n">
        <f aca="false">IF(E308="",0,IF(COUNTIFS($E$5:E308,E308,$AD$5:AD308,AD308)=1,1,0))</f>
        <v>0</v>
      </c>
    </row>
    <row r="309" customFormat="false" ht="15" hidden="false" customHeight="true" outlineLevel="0" collapsed="false">
      <c r="A309" s="31"/>
      <c r="B309" s="30"/>
      <c r="C309" s="31"/>
      <c r="D309" s="31"/>
      <c r="E309" s="32"/>
      <c r="F309" s="32"/>
      <c r="G309" s="33"/>
      <c r="H309" s="31"/>
      <c r="I309" s="24" t="str">
        <f aca="false">IF(B309="","",YEAR(B309))</f>
        <v/>
      </c>
      <c r="J309" s="34" t="str">
        <f aca="false">IF(B309="","",IF(MONTH(B309)=1,"X",""))</f>
        <v/>
      </c>
      <c r="K309" s="34" t="str">
        <f aca="false">IF(B309="","",IF(MONTH(B309)=2,"X",""))</f>
        <v/>
      </c>
      <c r="L309" s="34" t="str">
        <f aca="false">IF(B309="","",IF(MONTH(B309)=3,"X",""))</f>
        <v/>
      </c>
      <c r="M309" s="34" t="str">
        <f aca="false">IF(B309="","",IF(MONTH(B309)=4,"X",""))</f>
        <v/>
      </c>
      <c r="N309" s="34" t="str">
        <f aca="false">IF(B309="","",IF(MONTH(B309)=5,"X",""))</f>
        <v/>
      </c>
      <c r="O309" s="34" t="str">
        <f aca="false">IF(B309="","",IF(MONTH(B309)=6,"X",""))</f>
        <v/>
      </c>
      <c r="P309" s="34" t="str">
        <f aca="false">IF(B309="","",IF(MONTH(B309)=7,"X",""))</f>
        <v/>
      </c>
      <c r="Q309" s="34" t="str">
        <f aca="false">IF(B309="","",IF(MONTH(B309)=8,"X",""))</f>
        <v/>
      </c>
      <c r="R309" s="34" t="str">
        <f aca="false">IF(B309="","",IF(MONTH(B309)=9,"X",""))</f>
        <v/>
      </c>
      <c r="S309" s="34" t="str">
        <f aca="false">IF(B309="","",IF(MONTH(B309)=10,"X",""))</f>
        <v/>
      </c>
      <c r="T309" s="34" t="str">
        <f aca="false">IF(B309="","",IF(MONTH(B309)=11,"X",""))</f>
        <v/>
      </c>
      <c r="U309" s="34" t="str">
        <f aca="false">IF(B309="","",IF(MONTH(B309)=12,"X",""))</f>
        <v/>
      </c>
      <c r="V309" s="24" t="str">
        <f aca="false">IF(E309="","",COUNTIF($E$5:$E$1000,E309))</f>
        <v/>
      </c>
      <c r="W309" s="35" t="str">
        <f aca="false">IF(E309="","",_xlfn.TEXTJOIN(" + ",TRUE(),IF(COUNTIFS($E$5:$E$1000,E309,$C$5:$C$1000,"Auditoría Interna")&gt;0,"Interna",""),IF(COUNTIFS($E$5:$E$1000,E309,$C$5:$C$1000,"Auditoría Externa")&gt;0,"Externa",""),IF(COUNTIFS($E$5:$E$1000,E309,$C$5:$C$1000,"SSF")&gt;0,"SSF",""),IF(COUNTIFS($E$5:$E$1000,E309,$C$5:$C$1000,"Comité de Supervisión")&gt;0,"Comité Sup.",""),IF(COUNTIFS($E$5:$E$1000,E309,$C$5:$C$1000,"Consejo de Administración")&gt;0,"Consejo",""),IF(COUNTIFS($E$5:$E$1000,E309,$C$5:$C$1000,"Otros")&gt;0,"Otros","")))</f>
        <v/>
      </c>
      <c r="X309" s="24" t="str">
        <f aca="false">IF(E309="","",COUNTIFS($E$5:$E$1000,E309,$AB$5:$AB$1000,AB309,$C$5:$C$1000,"&lt;&gt;"&amp;C309))</f>
        <v/>
      </c>
      <c r="Y309" s="33"/>
      <c r="Z309" s="31"/>
      <c r="AA309" s="33"/>
      <c r="AB309" s="37" t="str">
        <f aca="false">IF(B309="","",YEAR(B309)*100+MONTH(B309))</f>
        <v/>
      </c>
      <c r="AC309" s="37" t="str">
        <f aca="false">IF(AND(E309&lt;&gt;"",E309=Cruce!$C$5),COUNTIF($E$5:E309,E309),"")</f>
        <v/>
      </c>
      <c r="AD309" s="37" t="str">
        <f aca="false">IF(E309="","",C309&amp;"|"&amp;Y309&amp;"|"&amp;IF(B309="","s/f",TEXT(B309,"yyyymmdd")))</f>
        <v/>
      </c>
      <c r="AE309" s="37" t="n">
        <f aca="false">IF(E309="",0,IF(COUNTIFS($E$5:E309,E309,$AD$5:AD309,AD309)=1,1,0))</f>
        <v>0</v>
      </c>
    </row>
    <row r="310" customFormat="false" ht="15" hidden="false" customHeight="true" outlineLevel="0" collapsed="false">
      <c r="A310" s="31"/>
      <c r="B310" s="30"/>
      <c r="C310" s="31"/>
      <c r="D310" s="31"/>
      <c r="E310" s="32"/>
      <c r="F310" s="32"/>
      <c r="G310" s="33"/>
      <c r="H310" s="31"/>
      <c r="I310" s="24" t="str">
        <f aca="false">IF(B310="","",YEAR(B310))</f>
        <v/>
      </c>
      <c r="J310" s="34" t="str">
        <f aca="false">IF(B310="","",IF(MONTH(B310)=1,"X",""))</f>
        <v/>
      </c>
      <c r="K310" s="34" t="str">
        <f aca="false">IF(B310="","",IF(MONTH(B310)=2,"X",""))</f>
        <v/>
      </c>
      <c r="L310" s="34" t="str">
        <f aca="false">IF(B310="","",IF(MONTH(B310)=3,"X",""))</f>
        <v/>
      </c>
      <c r="M310" s="34" t="str">
        <f aca="false">IF(B310="","",IF(MONTH(B310)=4,"X",""))</f>
        <v/>
      </c>
      <c r="N310" s="34" t="str">
        <f aca="false">IF(B310="","",IF(MONTH(B310)=5,"X",""))</f>
        <v/>
      </c>
      <c r="O310" s="34" t="str">
        <f aca="false">IF(B310="","",IF(MONTH(B310)=6,"X",""))</f>
        <v/>
      </c>
      <c r="P310" s="34" t="str">
        <f aca="false">IF(B310="","",IF(MONTH(B310)=7,"X",""))</f>
        <v/>
      </c>
      <c r="Q310" s="34" t="str">
        <f aca="false">IF(B310="","",IF(MONTH(B310)=8,"X",""))</f>
        <v/>
      </c>
      <c r="R310" s="34" t="str">
        <f aca="false">IF(B310="","",IF(MONTH(B310)=9,"X",""))</f>
        <v/>
      </c>
      <c r="S310" s="34" t="str">
        <f aca="false">IF(B310="","",IF(MONTH(B310)=10,"X",""))</f>
        <v/>
      </c>
      <c r="T310" s="34" t="str">
        <f aca="false">IF(B310="","",IF(MONTH(B310)=11,"X",""))</f>
        <v/>
      </c>
      <c r="U310" s="34" t="str">
        <f aca="false">IF(B310="","",IF(MONTH(B310)=12,"X",""))</f>
        <v/>
      </c>
      <c r="V310" s="24" t="str">
        <f aca="false">IF(E310="","",COUNTIF($E$5:$E$1000,E310))</f>
        <v/>
      </c>
      <c r="W310" s="35" t="str">
        <f aca="false">IF(E310="","",_xlfn.TEXTJOIN(" + ",TRUE(),IF(COUNTIFS($E$5:$E$1000,E310,$C$5:$C$1000,"Auditoría Interna")&gt;0,"Interna",""),IF(COUNTIFS($E$5:$E$1000,E310,$C$5:$C$1000,"Auditoría Externa")&gt;0,"Externa",""),IF(COUNTIFS($E$5:$E$1000,E310,$C$5:$C$1000,"SSF")&gt;0,"SSF",""),IF(COUNTIFS($E$5:$E$1000,E310,$C$5:$C$1000,"Comité de Supervisión")&gt;0,"Comité Sup.",""),IF(COUNTIFS($E$5:$E$1000,E310,$C$5:$C$1000,"Consejo de Administración")&gt;0,"Consejo",""),IF(COUNTIFS($E$5:$E$1000,E310,$C$5:$C$1000,"Otros")&gt;0,"Otros","")))</f>
        <v/>
      </c>
      <c r="X310" s="24" t="str">
        <f aca="false">IF(E310="","",COUNTIFS($E$5:$E$1000,E310,$AB$5:$AB$1000,AB310,$C$5:$C$1000,"&lt;&gt;"&amp;C310))</f>
        <v/>
      </c>
      <c r="Y310" s="33"/>
      <c r="Z310" s="31"/>
      <c r="AA310" s="33"/>
      <c r="AB310" s="37" t="str">
        <f aca="false">IF(B310="","",YEAR(B310)*100+MONTH(B310))</f>
        <v/>
      </c>
      <c r="AC310" s="37" t="str">
        <f aca="false">IF(AND(E310&lt;&gt;"",E310=Cruce!$C$5),COUNTIF($E$5:E310,E310),"")</f>
        <v/>
      </c>
      <c r="AD310" s="37" t="str">
        <f aca="false">IF(E310="","",C310&amp;"|"&amp;Y310&amp;"|"&amp;IF(B310="","s/f",TEXT(B310,"yyyymmdd")))</f>
        <v/>
      </c>
      <c r="AE310" s="37" t="n">
        <f aca="false">IF(E310="",0,IF(COUNTIFS($E$5:E310,E310,$AD$5:AD310,AD310)=1,1,0))</f>
        <v>0</v>
      </c>
    </row>
    <row r="311" customFormat="false" ht="15" hidden="false" customHeight="true" outlineLevel="0" collapsed="false">
      <c r="A311" s="31"/>
      <c r="B311" s="30"/>
      <c r="C311" s="31"/>
      <c r="D311" s="31"/>
      <c r="E311" s="32"/>
      <c r="F311" s="32"/>
      <c r="G311" s="33"/>
      <c r="H311" s="31"/>
      <c r="I311" s="24" t="str">
        <f aca="false">IF(B311="","",YEAR(B311))</f>
        <v/>
      </c>
      <c r="J311" s="34" t="str">
        <f aca="false">IF(B311="","",IF(MONTH(B311)=1,"X",""))</f>
        <v/>
      </c>
      <c r="K311" s="34" t="str">
        <f aca="false">IF(B311="","",IF(MONTH(B311)=2,"X",""))</f>
        <v/>
      </c>
      <c r="L311" s="34" t="str">
        <f aca="false">IF(B311="","",IF(MONTH(B311)=3,"X",""))</f>
        <v/>
      </c>
      <c r="M311" s="34" t="str">
        <f aca="false">IF(B311="","",IF(MONTH(B311)=4,"X",""))</f>
        <v/>
      </c>
      <c r="N311" s="34" t="str">
        <f aca="false">IF(B311="","",IF(MONTH(B311)=5,"X",""))</f>
        <v/>
      </c>
      <c r="O311" s="34" t="str">
        <f aca="false">IF(B311="","",IF(MONTH(B311)=6,"X",""))</f>
        <v/>
      </c>
      <c r="P311" s="34" t="str">
        <f aca="false">IF(B311="","",IF(MONTH(B311)=7,"X",""))</f>
        <v/>
      </c>
      <c r="Q311" s="34" t="str">
        <f aca="false">IF(B311="","",IF(MONTH(B311)=8,"X",""))</f>
        <v/>
      </c>
      <c r="R311" s="34" t="str">
        <f aca="false">IF(B311="","",IF(MONTH(B311)=9,"X",""))</f>
        <v/>
      </c>
      <c r="S311" s="34" t="str">
        <f aca="false">IF(B311="","",IF(MONTH(B311)=10,"X",""))</f>
        <v/>
      </c>
      <c r="T311" s="34" t="str">
        <f aca="false">IF(B311="","",IF(MONTH(B311)=11,"X",""))</f>
        <v/>
      </c>
      <c r="U311" s="34" t="str">
        <f aca="false">IF(B311="","",IF(MONTH(B311)=12,"X",""))</f>
        <v/>
      </c>
      <c r="V311" s="24" t="str">
        <f aca="false">IF(E311="","",COUNTIF($E$5:$E$1000,E311))</f>
        <v/>
      </c>
      <c r="W311" s="35" t="str">
        <f aca="false">IF(E311="","",_xlfn.TEXTJOIN(" + ",TRUE(),IF(COUNTIFS($E$5:$E$1000,E311,$C$5:$C$1000,"Auditoría Interna")&gt;0,"Interna",""),IF(COUNTIFS($E$5:$E$1000,E311,$C$5:$C$1000,"Auditoría Externa")&gt;0,"Externa",""),IF(COUNTIFS($E$5:$E$1000,E311,$C$5:$C$1000,"SSF")&gt;0,"SSF",""),IF(COUNTIFS($E$5:$E$1000,E311,$C$5:$C$1000,"Comité de Supervisión")&gt;0,"Comité Sup.",""),IF(COUNTIFS($E$5:$E$1000,E311,$C$5:$C$1000,"Consejo de Administración")&gt;0,"Consejo",""),IF(COUNTIFS($E$5:$E$1000,E311,$C$5:$C$1000,"Otros")&gt;0,"Otros","")))</f>
        <v/>
      </c>
      <c r="X311" s="24" t="str">
        <f aca="false">IF(E311="","",COUNTIFS($E$5:$E$1000,E311,$AB$5:$AB$1000,AB311,$C$5:$C$1000,"&lt;&gt;"&amp;C311))</f>
        <v/>
      </c>
      <c r="Y311" s="33"/>
      <c r="Z311" s="31"/>
      <c r="AA311" s="33"/>
      <c r="AB311" s="37" t="str">
        <f aca="false">IF(B311="","",YEAR(B311)*100+MONTH(B311))</f>
        <v/>
      </c>
      <c r="AC311" s="37" t="str">
        <f aca="false">IF(AND(E311&lt;&gt;"",E311=Cruce!$C$5),COUNTIF($E$5:E311,E311),"")</f>
        <v/>
      </c>
      <c r="AD311" s="37" t="str">
        <f aca="false">IF(E311="","",C311&amp;"|"&amp;Y311&amp;"|"&amp;IF(B311="","s/f",TEXT(B311,"yyyymmdd")))</f>
        <v/>
      </c>
      <c r="AE311" s="37" t="n">
        <f aca="false">IF(E311="",0,IF(COUNTIFS($E$5:E311,E311,$AD$5:AD311,AD311)=1,1,0))</f>
        <v>0</v>
      </c>
    </row>
    <row r="312" customFormat="false" ht="15" hidden="false" customHeight="true" outlineLevel="0" collapsed="false">
      <c r="A312" s="31"/>
      <c r="B312" s="30"/>
      <c r="C312" s="31"/>
      <c r="D312" s="31"/>
      <c r="E312" s="32"/>
      <c r="F312" s="32"/>
      <c r="G312" s="33"/>
      <c r="H312" s="31"/>
      <c r="I312" s="24" t="str">
        <f aca="false">IF(B312="","",YEAR(B312))</f>
        <v/>
      </c>
      <c r="J312" s="34" t="str">
        <f aca="false">IF(B312="","",IF(MONTH(B312)=1,"X",""))</f>
        <v/>
      </c>
      <c r="K312" s="34" t="str">
        <f aca="false">IF(B312="","",IF(MONTH(B312)=2,"X",""))</f>
        <v/>
      </c>
      <c r="L312" s="34" t="str">
        <f aca="false">IF(B312="","",IF(MONTH(B312)=3,"X",""))</f>
        <v/>
      </c>
      <c r="M312" s="34" t="str">
        <f aca="false">IF(B312="","",IF(MONTH(B312)=4,"X",""))</f>
        <v/>
      </c>
      <c r="N312" s="34" t="str">
        <f aca="false">IF(B312="","",IF(MONTH(B312)=5,"X",""))</f>
        <v/>
      </c>
      <c r="O312" s="34" t="str">
        <f aca="false">IF(B312="","",IF(MONTH(B312)=6,"X",""))</f>
        <v/>
      </c>
      <c r="P312" s="34" t="str">
        <f aca="false">IF(B312="","",IF(MONTH(B312)=7,"X",""))</f>
        <v/>
      </c>
      <c r="Q312" s="34" t="str">
        <f aca="false">IF(B312="","",IF(MONTH(B312)=8,"X",""))</f>
        <v/>
      </c>
      <c r="R312" s="34" t="str">
        <f aca="false">IF(B312="","",IF(MONTH(B312)=9,"X",""))</f>
        <v/>
      </c>
      <c r="S312" s="34" t="str">
        <f aca="false">IF(B312="","",IF(MONTH(B312)=10,"X",""))</f>
        <v/>
      </c>
      <c r="T312" s="34" t="str">
        <f aca="false">IF(B312="","",IF(MONTH(B312)=11,"X",""))</f>
        <v/>
      </c>
      <c r="U312" s="34" t="str">
        <f aca="false">IF(B312="","",IF(MONTH(B312)=12,"X",""))</f>
        <v/>
      </c>
      <c r="V312" s="24" t="str">
        <f aca="false">IF(E312="","",COUNTIF($E$5:$E$1000,E312))</f>
        <v/>
      </c>
      <c r="W312" s="35" t="str">
        <f aca="false">IF(E312="","",_xlfn.TEXTJOIN(" + ",TRUE(),IF(COUNTIFS($E$5:$E$1000,E312,$C$5:$C$1000,"Auditoría Interna")&gt;0,"Interna",""),IF(COUNTIFS($E$5:$E$1000,E312,$C$5:$C$1000,"Auditoría Externa")&gt;0,"Externa",""),IF(COUNTIFS($E$5:$E$1000,E312,$C$5:$C$1000,"SSF")&gt;0,"SSF",""),IF(COUNTIFS($E$5:$E$1000,E312,$C$5:$C$1000,"Comité de Supervisión")&gt;0,"Comité Sup.",""),IF(COUNTIFS($E$5:$E$1000,E312,$C$5:$C$1000,"Consejo de Administración")&gt;0,"Consejo",""),IF(COUNTIFS($E$5:$E$1000,E312,$C$5:$C$1000,"Otros")&gt;0,"Otros","")))</f>
        <v/>
      </c>
      <c r="X312" s="24" t="str">
        <f aca="false">IF(E312="","",COUNTIFS($E$5:$E$1000,E312,$AB$5:$AB$1000,AB312,$C$5:$C$1000,"&lt;&gt;"&amp;C312))</f>
        <v/>
      </c>
      <c r="Y312" s="33"/>
      <c r="Z312" s="31"/>
      <c r="AA312" s="33"/>
      <c r="AB312" s="37" t="str">
        <f aca="false">IF(B312="","",YEAR(B312)*100+MONTH(B312))</f>
        <v/>
      </c>
      <c r="AC312" s="37" t="str">
        <f aca="false">IF(AND(E312&lt;&gt;"",E312=Cruce!$C$5),COUNTIF($E$5:E312,E312),"")</f>
        <v/>
      </c>
      <c r="AD312" s="37" t="str">
        <f aca="false">IF(E312="","",C312&amp;"|"&amp;Y312&amp;"|"&amp;IF(B312="","s/f",TEXT(B312,"yyyymmdd")))</f>
        <v/>
      </c>
      <c r="AE312" s="37" t="n">
        <f aca="false">IF(E312="",0,IF(COUNTIFS($E$5:E312,E312,$AD$5:AD312,AD312)=1,1,0))</f>
        <v>0</v>
      </c>
    </row>
    <row r="313" customFormat="false" ht="15" hidden="false" customHeight="true" outlineLevel="0" collapsed="false">
      <c r="A313" s="31"/>
      <c r="B313" s="30"/>
      <c r="C313" s="31"/>
      <c r="D313" s="31"/>
      <c r="E313" s="32"/>
      <c r="F313" s="32"/>
      <c r="G313" s="33"/>
      <c r="H313" s="31"/>
      <c r="I313" s="24" t="str">
        <f aca="false">IF(B313="","",YEAR(B313))</f>
        <v/>
      </c>
      <c r="J313" s="34" t="str">
        <f aca="false">IF(B313="","",IF(MONTH(B313)=1,"X",""))</f>
        <v/>
      </c>
      <c r="K313" s="34" t="str">
        <f aca="false">IF(B313="","",IF(MONTH(B313)=2,"X",""))</f>
        <v/>
      </c>
      <c r="L313" s="34" t="str">
        <f aca="false">IF(B313="","",IF(MONTH(B313)=3,"X",""))</f>
        <v/>
      </c>
      <c r="M313" s="34" t="str">
        <f aca="false">IF(B313="","",IF(MONTH(B313)=4,"X",""))</f>
        <v/>
      </c>
      <c r="N313" s="34" t="str">
        <f aca="false">IF(B313="","",IF(MONTH(B313)=5,"X",""))</f>
        <v/>
      </c>
      <c r="O313" s="34" t="str">
        <f aca="false">IF(B313="","",IF(MONTH(B313)=6,"X",""))</f>
        <v/>
      </c>
      <c r="P313" s="34" t="str">
        <f aca="false">IF(B313="","",IF(MONTH(B313)=7,"X",""))</f>
        <v/>
      </c>
      <c r="Q313" s="34" t="str">
        <f aca="false">IF(B313="","",IF(MONTH(B313)=8,"X",""))</f>
        <v/>
      </c>
      <c r="R313" s="34" t="str">
        <f aca="false">IF(B313="","",IF(MONTH(B313)=9,"X",""))</f>
        <v/>
      </c>
      <c r="S313" s="34" t="str">
        <f aca="false">IF(B313="","",IF(MONTH(B313)=10,"X",""))</f>
        <v/>
      </c>
      <c r="T313" s="34" t="str">
        <f aca="false">IF(B313="","",IF(MONTH(B313)=11,"X",""))</f>
        <v/>
      </c>
      <c r="U313" s="34" t="str">
        <f aca="false">IF(B313="","",IF(MONTH(B313)=12,"X",""))</f>
        <v/>
      </c>
      <c r="V313" s="24" t="str">
        <f aca="false">IF(E313="","",COUNTIF($E$5:$E$1000,E313))</f>
        <v/>
      </c>
      <c r="W313" s="35" t="str">
        <f aca="false">IF(E313="","",_xlfn.TEXTJOIN(" + ",TRUE(),IF(COUNTIFS($E$5:$E$1000,E313,$C$5:$C$1000,"Auditoría Interna")&gt;0,"Interna",""),IF(COUNTIFS($E$5:$E$1000,E313,$C$5:$C$1000,"Auditoría Externa")&gt;0,"Externa",""),IF(COUNTIFS($E$5:$E$1000,E313,$C$5:$C$1000,"SSF")&gt;0,"SSF",""),IF(COUNTIFS($E$5:$E$1000,E313,$C$5:$C$1000,"Comité de Supervisión")&gt;0,"Comité Sup.",""),IF(COUNTIFS($E$5:$E$1000,E313,$C$5:$C$1000,"Consejo de Administración")&gt;0,"Consejo",""),IF(COUNTIFS($E$5:$E$1000,E313,$C$5:$C$1000,"Otros")&gt;0,"Otros","")))</f>
        <v/>
      </c>
      <c r="X313" s="24" t="str">
        <f aca="false">IF(E313="","",COUNTIFS($E$5:$E$1000,E313,$AB$5:$AB$1000,AB313,$C$5:$C$1000,"&lt;&gt;"&amp;C313))</f>
        <v/>
      </c>
      <c r="Y313" s="33"/>
      <c r="Z313" s="31"/>
      <c r="AA313" s="33"/>
      <c r="AB313" s="37" t="str">
        <f aca="false">IF(B313="","",YEAR(B313)*100+MONTH(B313))</f>
        <v/>
      </c>
      <c r="AC313" s="37" t="str">
        <f aca="false">IF(AND(E313&lt;&gt;"",E313=Cruce!$C$5),COUNTIF($E$5:E313,E313),"")</f>
        <v/>
      </c>
      <c r="AD313" s="37" t="str">
        <f aca="false">IF(E313="","",C313&amp;"|"&amp;Y313&amp;"|"&amp;IF(B313="","s/f",TEXT(B313,"yyyymmdd")))</f>
        <v/>
      </c>
      <c r="AE313" s="37" t="n">
        <f aca="false">IF(E313="",0,IF(COUNTIFS($E$5:E313,E313,$AD$5:AD313,AD313)=1,1,0))</f>
        <v>0</v>
      </c>
    </row>
    <row r="314" customFormat="false" ht="15" hidden="false" customHeight="true" outlineLevel="0" collapsed="false">
      <c r="A314" s="31"/>
      <c r="B314" s="30"/>
      <c r="C314" s="31"/>
      <c r="D314" s="31"/>
      <c r="E314" s="32"/>
      <c r="F314" s="32"/>
      <c r="G314" s="33"/>
      <c r="H314" s="31"/>
      <c r="I314" s="24" t="str">
        <f aca="false">IF(B314="","",YEAR(B314))</f>
        <v/>
      </c>
      <c r="J314" s="34" t="str">
        <f aca="false">IF(B314="","",IF(MONTH(B314)=1,"X",""))</f>
        <v/>
      </c>
      <c r="K314" s="34" t="str">
        <f aca="false">IF(B314="","",IF(MONTH(B314)=2,"X",""))</f>
        <v/>
      </c>
      <c r="L314" s="34" t="str">
        <f aca="false">IF(B314="","",IF(MONTH(B314)=3,"X",""))</f>
        <v/>
      </c>
      <c r="M314" s="34" t="str">
        <f aca="false">IF(B314="","",IF(MONTH(B314)=4,"X",""))</f>
        <v/>
      </c>
      <c r="N314" s="34" t="str">
        <f aca="false">IF(B314="","",IF(MONTH(B314)=5,"X",""))</f>
        <v/>
      </c>
      <c r="O314" s="34" t="str">
        <f aca="false">IF(B314="","",IF(MONTH(B314)=6,"X",""))</f>
        <v/>
      </c>
      <c r="P314" s="34" t="str">
        <f aca="false">IF(B314="","",IF(MONTH(B314)=7,"X",""))</f>
        <v/>
      </c>
      <c r="Q314" s="34" t="str">
        <f aca="false">IF(B314="","",IF(MONTH(B314)=8,"X",""))</f>
        <v/>
      </c>
      <c r="R314" s="34" t="str">
        <f aca="false">IF(B314="","",IF(MONTH(B314)=9,"X",""))</f>
        <v/>
      </c>
      <c r="S314" s="34" t="str">
        <f aca="false">IF(B314="","",IF(MONTH(B314)=10,"X",""))</f>
        <v/>
      </c>
      <c r="T314" s="34" t="str">
        <f aca="false">IF(B314="","",IF(MONTH(B314)=11,"X",""))</f>
        <v/>
      </c>
      <c r="U314" s="34" t="str">
        <f aca="false">IF(B314="","",IF(MONTH(B314)=12,"X",""))</f>
        <v/>
      </c>
      <c r="V314" s="24" t="str">
        <f aca="false">IF(E314="","",COUNTIF($E$5:$E$1000,E314))</f>
        <v/>
      </c>
      <c r="W314" s="35" t="str">
        <f aca="false">IF(E314="","",_xlfn.TEXTJOIN(" + ",TRUE(),IF(COUNTIFS($E$5:$E$1000,E314,$C$5:$C$1000,"Auditoría Interna")&gt;0,"Interna",""),IF(COUNTIFS($E$5:$E$1000,E314,$C$5:$C$1000,"Auditoría Externa")&gt;0,"Externa",""),IF(COUNTIFS($E$5:$E$1000,E314,$C$5:$C$1000,"SSF")&gt;0,"SSF",""),IF(COUNTIFS($E$5:$E$1000,E314,$C$5:$C$1000,"Comité de Supervisión")&gt;0,"Comité Sup.",""),IF(COUNTIFS($E$5:$E$1000,E314,$C$5:$C$1000,"Consejo de Administración")&gt;0,"Consejo",""),IF(COUNTIFS($E$5:$E$1000,E314,$C$5:$C$1000,"Otros")&gt;0,"Otros","")))</f>
        <v/>
      </c>
      <c r="X314" s="24" t="str">
        <f aca="false">IF(E314="","",COUNTIFS($E$5:$E$1000,E314,$AB$5:$AB$1000,AB314,$C$5:$C$1000,"&lt;&gt;"&amp;C314))</f>
        <v/>
      </c>
      <c r="Y314" s="33"/>
      <c r="Z314" s="31"/>
      <c r="AA314" s="33"/>
      <c r="AB314" s="37" t="str">
        <f aca="false">IF(B314="","",YEAR(B314)*100+MONTH(B314))</f>
        <v/>
      </c>
      <c r="AC314" s="37" t="str">
        <f aca="false">IF(AND(E314&lt;&gt;"",E314=Cruce!$C$5),COUNTIF($E$5:E314,E314),"")</f>
        <v/>
      </c>
      <c r="AD314" s="37" t="str">
        <f aca="false">IF(E314="","",C314&amp;"|"&amp;Y314&amp;"|"&amp;IF(B314="","s/f",TEXT(B314,"yyyymmdd")))</f>
        <v/>
      </c>
      <c r="AE314" s="37" t="n">
        <f aca="false">IF(E314="",0,IF(COUNTIFS($E$5:E314,E314,$AD$5:AD314,AD314)=1,1,0))</f>
        <v>0</v>
      </c>
    </row>
    <row r="315" customFormat="false" ht="15" hidden="false" customHeight="true" outlineLevel="0" collapsed="false">
      <c r="A315" s="31"/>
      <c r="B315" s="30"/>
      <c r="C315" s="31"/>
      <c r="D315" s="31"/>
      <c r="E315" s="32"/>
      <c r="F315" s="32"/>
      <c r="G315" s="33"/>
      <c r="H315" s="31"/>
      <c r="I315" s="24" t="str">
        <f aca="false">IF(B315="","",YEAR(B315))</f>
        <v/>
      </c>
      <c r="J315" s="34" t="str">
        <f aca="false">IF(B315="","",IF(MONTH(B315)=1,"X",""))</f>
        <v/>
      </c>
      <c r="K315" s="34" t="str">
        <f aca="false">IF(B315="","",IF(MONTH(B315)=2,"X",""))</f>
        <v/>
      </c>
      <c r="L315" s="34" t="str">
        <f aca="false">IF(B315="","",IF(MONTH(B315)=3,"X",""))</f>
        <v/>
      </c>
      <c r="M315" s="34" t="str">
        <f aca="false">IF(B315="","",IF(MONTH(B315)=4,"X",""))</f>
        <v/>
      </c>
      <c r="N315" s="34" t="str">
        <f aca="false">IF(B315="","",IF(MONTH(B315)=5,"X",""))</f>
        <v/>
      </c>
      <c r="O315" s="34" t="str">
        <f aca="false">IF(B315="","",IF(MONTH(B315)=6,"X",""))</f>
        <v/>
      </c>
      <c r="P315" s="34" t="str">
        <f aca="false">IF(B315="","",IF(MONTH(B315)=7,"X",""))</f>
        <v/>
      </c>
      <c r="Q315" s="34" t="str">
        <f aca="false">IF(B315="","",IF(MONTH(B315)=8,"X",""))</f>
        <v/>
      </c>
      <c r="R315" s="34" t="str">
        <f aca="false">IF(B315="","",IF(MONTH(B315)=9,"X",""))</f>
        <v/>
      </c>
      <c r="S315" s="34" t="str">
        <f aca="false">IF(B315="","",IF(MONTH(B315)=10,"X",""))</f>
        <v/>
      </c>
      <c r="T315" s="34" t="str">
        <f aca="false">IF(B315="","",IF(MONTH(B315)=11,"X",""))</f>
        <v/>
      </c>
      <c r="U315" s="34" t="str">
        <f aca="false">IF(B315="","",IF(MONTH(B315)=12,"X",""))</f>
        <v/>
      </c>
      <c r="V315" s="24" t="str">
        <f aca="false">IF(E315="","",COUNTIF($E$5:$E$1000,E315))</f>
        <v/>
      </c>
      <c r="W315" s="35" t="str">
        <f aca="false">IF(E315="","",_xlfn.TEXTJOIN(" + ",TRUE(),IF(COUNTIFS($E$5:$E$1000,E315,$C$5:$C$1000,"Auditoría Interna")&gt;0,"Interna",""),IF(COUNTIFS($E$5:$E$1000,E315,$C$5:$C$1000,"Auditoría Externa")&gt;0,"Externa",""),IF(COUNTIFS($E$5:$E$1000,E315,$C$5:$C$1000,"SSF")&gt;0,"SSF",""),IF(COUNTIFS($E$5:$E$1000,E315,$C$5:$C$1000,"Comité de Supervisión")&gt;0,"Comité Sup.",""),IF(COUNTIFS($E$5:$E$1000,E315,$C$5:$C$1000,"Consejo de Administración")&gt;0,"Consejo",""),IF(COUNTIFS($E$5:$E$1000,E315,$C$5:$C$1000,"Otros")&gt;0,"Otros","")))</f>
        <v/>
      </c>
      <c r="X315" s="24" t="str">
        <f aca="false">IF(E315="","",COUNTIFS($E$5:$E$1000,E315,$AB$5:$AB$1000,AB315,$C$5:$C$1000,"&lt;&gt;"&amp;C315))</f>
        <v/>
      </c>
      <c r="Y315" s="33"/>
      <c r="Z315" s="31"/>
      <c r="AA315" s="33"/>
      <c r="AB315" s="37" t="str">
        <f aca="false">IF(B315="","",YEAR(B315)*100+MONTH(B315))</f>
        <v/>
      </c>
      <c r="AC315" s="37" t="str">
        <f aca="false">IF(AND(E315&lt;&gt;"",E315=Cruce!$C$5),COUNTIF($E$5:E315,E315),"")</f>
        <v/>
      </c>
      <c r="AD315" s="37" t="str">
        <f aca="false">IF(E315="","",C315&amp;"|"&amp;Y315&amp;"|"&amp;IF(B315="","s/f",TEXT(B315,"yyyymmdd")))</f>
        <v/>
      </c>
      <c r="AE315" s="37" t="n">
        <f aca="false">IF(E315="",0,IF(COUNTIFS($E$5:E315,E315,$AD$5:AD315,AD315)=1,1,0))</f>
        <v>0</v>
      </c>
    </row>
    <row r="316" customFormat="false" ht="15" hidden="false" customHeight="true" outlineLevel="0" collapsed="false">
      <c r="A316" s="31"/>
      <c r="B316" s="30"/>
      <c r="C316" s="31"/>
      <c r="D316" s="31"/>
      <c r="E316" s="32"/>
      <c r="F316" s="32"/>
      <c r="G316" s="33"/>
      <c r="H316" s="31"/>
      <c r="I316" s="24" t="str">
        <f aca="false">IF(B316="","",YEAR(B316))</f>
        <v/>
      </c>
      <c r="J316" s="34" t="str">
        <f aca="false">IF(B316="","",IF(MONTH(B316)=1,"X",""))</f>
        <v/>
      </c>
      <c r="K316" s="34" t="str">
        <f aca="false">IF(B316="","",IF(MONTH(B316)=2,"X",""))</f>
        <v/>
      </c>
      <c r="L316" s="34" t="str">
        <f aca="false">IF(B316="","",IF(MONTH(B316)=3,"X",""))</f>
        <v/>
      </c>
      <c r="M316" s="34" t="str">
        <f aca="false">IF(B316="","",IF(MONTH(B316)=4,"X",""))</f>
        <v/>
      </c>
      <c r="N316" s="34" t="str">
        <f aca="false">IF(B316="","",IF(MONTH(B316)=5,"X",""))</f>
        <v/>
      </c>
      <c r="O316" s="34" t="str">
        <f aca="false">IF(B316="","",IF(MONTH(B316)=6,"X",""))</f>
        <v/>
      </c>
      <c r="P316" s="34" t="str">
        <f aca="false">IF(B316="","",IF(MONTH(B316)=7,"X",""))</f>
        <v/>
      </c>
      <c r="Q316" s="34" t="str">
        <f aca="false">IF(B316="","",IF(MONTH(B316)=8,"X",""))</f>
        <v/>
      </c>
      <c r="R316" s="34" t="str">
        <f aca="false">IF(B316="","",IF(MONTH(B316)=9,"X",""))</f>
        <v/>
      </c>
      <c r="S316" s="34" t="str">
        <f aca="false">IF(B316="","",IF(MONTH(B316)=10,"X",""))</f>
        <v/>
      </c>
      <c r="T316" s="34" t="str">
        <f aca="false">IF(B316="","",IF(MONTH(B316)=11,"X",""))</f>
        <v/>
      </c>
      <c r="U316" s="34" t="str">
        <f aca="false">IF(B316="","",IF(MONTH(B316)=12,"X",""))</f>
        <v/>
      </c>
      <c r="V316" s="24" t="str">
        <f aca="false">IF(E316="","",COUNTIF($E$5:$E$1000,E316))</f>
        <v/>
      </c>
      <c r="W316" s="35" t="str">
        <f aca="false">IF(E316="","",_xlfn.TEXTJOIN(" + ",TRUE(),IF(COUNTIFS($E$5:$E$1000,E316,$C$5:$C$1000,"Auditoría Interna")&gt;0,"Interna",""),IF(COUNTIFS($E$5:$E$1000,E316,$C$5:$C$1000,"Auditoría Externa")&gt;0,"Externa",""),IF(COUNTIFS($E$5:$E$1000,E316,$C$5:$C$1000,"SSF")&gt;0,"SSF",""),IF(COUNTIFS($E$5:$E$1000,E316,$C$5:$C$1000,"Comité de Supervisión")&gt;0,"Comité Sup.",""),IF(COUNTIFS($E$5:$E$1000,E316,$C$5:$C$1000,"Consejo de Administración")&gt;0,"Consejo",""),IF(COUNTIFS($E$5:$E$1000,E316,$C$5:$C$1000,"Otros")&gt;0,"Otros","")))</f>
        <v/>
      </c>
      <c r="X316" s="24" t="str">
        <f aca="false">IF(E316="","",COUNTIFS($E$5:$E$1000,E316,$AB$5:$AB$1000,AB316,$C$5:$C$1000,"&lt;&gt;"&amp;C316))</f>
        <v/>
      </c>
      <c r="Y316" s="33"/>
      <c r="Z316" s="31"/>
      <c r="AA316" s="33"/>
      <c r="AB316" s="37" t="str">
        <f aca="false">IF(B316="","",YEAR(B316)*100+MONTH(B316))</f>
        <v/>
      </c>
      <c r="AC316" s="37" t="str">
        <f aca="false">IF(AND(E316&lt;&gt;"",E316=Cruce!$C$5),COUNTIF($E$5:E316,E316),"")</f>
        <v/>
      </c>
      <c r="AD316" s="37" t="str">
        <f aca="false">IF(E316="","",C316&amp;"|"&amp;Y316&amp;"|"&amp;IF(B316="","s/f",TEXT(B316,"yyyymmdd")))</f>
        <v/>
      </c>
      <c r="AE316" s="37" t="n">
        <f aca="false">IF(E316="",0,IF(COUNTIFS($E$5:E316,E316,$AD$5:AD316,AD316)=1,1,0))</f>
        <v>0</v>
      </c>
    </row>
    <row r="317" customFormat="false" ht="15" hidden="false" customHeight="true" outlineLevel="0" collapsed="false">
      <c r="A317" s="31"/>
      <c r="B317" s="30"/>
      <c r="C317" s="31"/>
      <c r="D317" s="31"/>
      <c r="E317" s="32"/>
      <c r="F317" s="32"/>
      <c r="G317" s="33"/>
      <c r="H317" s="31"/>
      <c r="I317" s="24" t="str">
        <f aca="false">IF(B317="","",YEAR(B317))</f>
        <v/>
      </c>
      <c r="J317" s="34" t="str">
        <f aca="false">IF(B317="","",IF(MONTH(B317)=1,"X",""))</f>
        <v/>
      </c>
      <c r="K317" s="34" t="str">
        <f aca="false">IF(B317="","",IF(MONTH(B317)=2,"X",""))</f>
        <v/>
      </c>
      <c r="L317" s="34" t="str">
        <f aca="false">IF(B317="","",IF(MONTH(B317)=3,"X",""))</f>
        <v/>
      </c>
      <c r="M317" s="34" t="str">
        <f aca="false">IF(B317="","",IF(MONTH(B317)=4,"X",""))</f>
        <v/>
      </c>
      <c r="N317" s="34" t="str">
        <f aca="false">IF(B317="","",IF(MONTH(B317)=5,"X",""))</f>
        <v/>
      </c>
      <c r="O317" s="34" t="str">
        <f aca="false">IF(B317="","",IF(MONTH(B317)=6,"X",""))</f>
        <v/>
      </c>
      <c r="P317" s="34" t="str">
        <f aca="false">IF(B317="","",IF(MONTH(B317)=7,"X",""))</f>
        <v/>
      </c>
      <c r="Q317" s="34" t="str">
        <f aca="false">IF(B317="","",IF(MONTH(B317)=8,"X",""))</f>
        <v/>
      </c>
      <c r="R317" s="34" t="str">
        <f aca="false">IF(B317="","",IF(MONTH(B317)=9,"X",""))</f>
        <v/>
      </c>
      <c r="S317" s="34" t="str">
        <f aca="false">IF(B317="","",IF(MONTH(B317)=10,"X",""))</f>
        <v/>
      </c>
      <c r="T317" s="34" t="str">
        <f aca="false">IF(B317="","",IF(MONTH(B317)=11,"X",""))</f>
        <v/>
      </c>
      <c r="U317" s="34" t="str">
        <f aca="false">IF(B317="","",IF(MONTH(B317)=12,"X",""))</f>
        <v/>
      </c>
      <c r="V317" s="24" t="str">
        <f aca="false">IF(E317="","",COUNTIF($E$5:$E$1000,E317))</f>
        <v/>
      </c>
      <c r="W317" s="35" t="str">
        <f aca="false">IF(E317="","",_xlfn.TEXTJOIN(" + ",TRUE(),IF(COUNTIFS($E$5:$E$1000,E317,$C$5:$C$1000,"Auditoría Interna")&gt;0,"Interna",""),IF(COUNTIFS($E$5:$E$1000,E317,$C$5:$C$1000,"Auditoría Externa")&gt;0,"Externa",""),IF(COUNTIFS($E$5:$E$1000,E317,$C$5:$C$1000,"SSF")&gt;0,"SSF",""),IF(COUNTIFS($E$5:$E$1000,E317,$C$5:$C$1000,"Comité de Supervisión")&gt;0,"Comité Sup.",""),IF(COUNTIFS($E$5:$E$1000,E317,$C$5:$C$1000,"Consejo de Administración")&gt;0,"Consejo",""),IF(COUNTIFS($E$5:$E$1000,E317,$C$5:$C$1000,"Otros")&gt;0,"Otros","")))</f>
        <v/>
      </c>
      <c r="X317" s="24" t="str">
        <f aca="false">IF(E317="","",COUNTIFS($E$5:$E$1000,E317,$AB$5:$AB$1000,AB317,$C$5:$C$1000,"&lt;&gt;"&amp;C317))</f>
        <v/>
      </c>
      <c r="Y317" s="33"/>
      <c r="Z317" s="31"/>
      <c r="AA317" s="33"/>
      <c r="AB317" s="37" t="str">
        <f aca="false">IF(B317="","",YEAR(B317)*100+MONTH(B317))</f>
        <v/>
      </c>
      <c r="AC317" s="37" t="str">
        <f aca="false">IF(AND(E317&lt;&gt;"",E317=Cruce!$C$5),COUNTIF($E$5:E317,E317),"")</f>
        <v/>
      </c>
      <c r="AD317" s="37" t="str">
        <f aca="false">IF(E317="","",C317&amp;"|"&amp;Y317&amp;"|"&amp;IF(B317="","s/f",TEXT(B317,"yyyymmdd")))</f>
        <v/>
      </c>
      <c r="AE317" s="37" t="n">
        <f aca="false">IF(E317="",0,IF(COUNTIFS($E$5:E317,E317,$AD$5:AD317,AD317)=1,1,0))</f>
        <v>0</v>
      </c>
    </row>
    <row r="318" customFormat="false" ht="15" hidden="false" customHeight="true" outlineLevel="0" collapsed="false">
      <c r="A318" s="31"/>
      <c r="B318" s="30"/>
      <c r="C318" s="31"/>
      <c r="D318" s="31"/>
      <c r="E318" s="32"/>
      <c r="F318" s="32"/>
      <c r="G318" s="33"/>
      <c r="H318" s="31"/>
      <c r="I318" s="24" t="str">
        <f aca="false">IF(B318="","",YEAR(B318))</f>
        <v/>
      </c>
      <c r="J318" s="34" t="str">
        <f aca="false">IF(B318="","",IF(MONTH(B318)=1,"X",""))</f>
        <v/>
      </c>
      <c r="K318" s="34" t="str">
        <f aca="false">IF(B318="","",IF(MONTH(B318)=2,"X",""))</f>
        <v/>
      </c>
      <c r="L318" s="34" t="str">
        <f aca="false">IF(B318="","",IF(MONTH(B318)=3,"X",""))</f>
        <v/>
      </c>
      <c r="M318" s="34" t="str">
        <f aca="false">IF(B318="","",IF(MONTH(B318)=4,"X",""))</f>
        <v/>
      </c>
      <c r="N318" s="34" t="str">
        <f aca="false">IF(B318="","",IF(MONTH(B318)=5,"X",""))</f>
        <v/>
      </c>
      <c r="O318" s="34" t="str">
        <f aca="false">IF(B318="","",IF(MONTH(B318)=6,"X",""))</f>
        <v/>
      </c>
      <c r="P318" s="34" t="str">
        <f aca="false">IF(B318="","",IF(MONTH(B318)=7,"X",""))</f>
        <v/>
      </c>
      <c r="Q318" s="34" t="str">
        <f aca="false">IF(B318="","",IF(MONTH(B318)=8,"X",""))</f>
        <v/>
      </c>
      <c r="R318" s="34" t="str">
        <f aca="false">IF(B318="","",IF(MONTH(B318)=9,"X",""))</f>
        <v/>
      </c>
      <c r="S318" s="34" t="str">
        <f aca="false">IF(B318="","",IF(MONTH(B318)=10,"X",""))</f>
        <v/>
      </c>
      <c r="T318" s="34" t="str">
        <f aca="false">IF(B318="","",IF(MONTH(B318)=11,"X",""))</f>
        <v/>
      </c>
      <c r="U318" s="34" t="str">
        <f aca="false">IF(B318="","",IF(MONTH(B318)=12,"X",""))</f>
        <v/>
      </c>
      <c r="V318" s="24" t="str">
        <f aca="false">IF(E318="","",COUNTIF($E$5:$E$1000,E318))</f>
        <v/>
      </c>
      <c r="W318" s="35" t="str">
        <f aca="false">IF(E318="","",_xlfn.TEXTJOIN(" + ",TRUE(),IF(COUNTIFS($E$5:$E$1000,E318,$C$5:$C$1000,"Auditoría Interna")&gt;0,"Interna",""),IF(COUNTIFS($E$5:$E$1000,E318,$C$5:$C$1000,"Auditoría Externa")&gt;0,"Externa",""),IF(COUNTIFS($E$5:$E$1000,E318,$C$5:$C$1000,"SSF")&gt;0,"SSF",""),IF(COUNTIFS($E$5:$E$1000,E318,$C$5:$C$1000,"Comité de Supervisión")&gt;0,"Comité Sup.",""),IF(COUNTIFS($E$5:$E$1000,E318,$C$5:$C$1000,"Consejo de Administración")&gt;0,"Consejo",""),IF(COUNTIFS($E$5:$E$1000,E318,$C$5:$C$1000,"Otros")&gt;0,"Otros","")))</f>
        <v/>
      </c>
      <c r="X318" s="24" t="str">
        <f aca="false">IF(E318="","",COUNTIFS($E$5:$E$1000,E318,$AB$5:$AB$1000,AB318,$C$5:$C$1000,"&lt;&gt;"&amp;C318))</f>
        <v/>
      </c>
      <c r="Y318" s="33"/>
      <c r="Z318" s="31"/>
      <c r="AA318" s="33"/>
      <c r="AB318" s="37" t="str">
        <f aca="false">IF(B318="","",YEAR(B318)*100+MONTH(B318))</f>
        <v/>
      </c>
      <c r="AC318" s="37" t="str">
        <f aca="false">IF(AND(E318&lt;&gt;"",E318=Cruce!$C$5),COUNTIF($E$5:E318,E318),"")</f>
        <v/>
      </c>
      <c r="AD318" s="37" t="str">
        <f aca="false">IF(E318="","",C318&amp;"|"&amp;Y318&amp;"|"&amp;IF(B318="","s/f",TEXT(B318,"yyyymmdd")))</f>
        <v/>
      </c>
      <c r="AE318" s="37" t="n">
        <f aca="false">IF(E318="",0,IF(COUNTIFS($E$5:E318,E318,$AD$5:AD318,AD318)=1,1,0))</f>
        <v>0</v>
      </c>
    </row>
    <row r="319" customFormat="false" ht="15" hidden="false" customHeight="true" outlineLevel="0" collapsed="false">
      <c r="A319" s="31"/>
      <c r="B319" s="30"/>
      <c r="C319" s="31"/>
      <c r="D319" s="31"/>
      <c r="E319" s="32"/>
      <c r="F319" s="32"/>
      <c r="G319" s="33"/>
      <c r="H319" s="31"/>
      <c r="I319" s="24" t="str">
        <f aca="false">IF(B319="","",YEAR(B319))</f>
        <v/>
      </c>
      <c r="J319" s="34" t="str">
        <f aca="false">IF(B319="","",IF(MONTH(B319)=1,"X",""))</f>
        <v/>
      </c>
      <c r="K319" s="34" t="str">
        <f aca="false">IF(B319="","",IF(MONTH(B319)=2,"X",""))</f>
        <v/>
      </c>
      <c r="L319" s="34" t="str">
        <f aca="false">IF(B319="","",IF(MONTH(B319)=3,"X",""))</f>
        <v/>
      </c>
      <c r="M319" s="34" t="str">
        <f aca="false">IF(B319="","",IF(MONTH(B319)=4,"X",""))</f>
        <v/>
      </c>
      <c r="N319" s="34" t="str">
        <f aca="false">IF(B319="","",IF(MONTH(B319)=5,"X",""))</f>
        <v/>
      </c>
      <c r="O319" s="34" t="str">
        <f aca="false">IF(B319="","",IF(MONTH(B319)=6,"X",""))</f>
        <v/>
      </c>
      <c r="P319" s="34" t="str">
        <f aca="false">IF(B319="","",IF(MONTH(B319)=7,"X",""))</f>
        <v/>
      </c>
      <c r="Q319" s="34" t="str">
        <f aca="false">IF(B319="","",IF(MONTH(B319)=8,"X",""))</f>
        <v/>
      </c>
      <c r="R319" s="34" t="str">
        <f aca="false">IF(B319="","",IF(MONTH(B319)=9,"X",""))</f>
        <v/>
      </c>
      <c r="S319" s="34" t="str">
        <f aca="false">IF(B319="","",IF(MONTH(B319)=10,"X",""))</f>
        <v/>
      </c>
      <c r="T319" s="34" t="str">
        <f aca="false">IF(B319="","",IF(MONTH(B319)=11,"X",""))</f>
        <v/>
      </c>
      <c r="U319" s="34" t="str">
        <f aca="false">IF(B319="","",IF(MONTH(B319)=12,"X",""))</f>
        <v/>
      </c>
      <c r="V319" s="24" t="str">
        <f aca="false">IF(E319="","",COUNTIF($E$5:$E$1000,E319))</f>
        <v/>
      </c>
      <c r="W319" s="35" t="str">
        <f aca="false">IF(E319="","",_xlfn.TEXTJOIN(" + ",TRUE(),IF(COUNTIFS($E$5:$E$1000,E319,$C$5:$C$1000,"Auditoría Interna")&gt;0,"Interna",""),IF(COUNTIFS($E$5:$E$1000,E319,$C$5:$C$1000,"Auditoría Externa")&gt;0,"Externa",""),IF(COUNTIFS($E$5:$E$1000,E319,$C$5:$C$1000,"SSF")&gt;0,"SSF",""),IF(COUNTIFS($E$5:$E$1000,E319,$C$5:$C$1000,"Comité de Supervisión")&gt;0,"Comité Sup.",""),IF(COUNTIFS($E$5:$E$1000,E319,$C$5:$C$1000,"Consejo de Administración")&gt;0,"Consejo",""),IF(COUNTIFS($E$5:$E$1000,E319,$C$5:$C$1000,"Otros")&gt;0,"Otros","")))</f>
        <v/>
      </c>
      <c r="X319" s="24" t="str">
        <f aca="false">IF(E319="","",COUNTIFS($E$5:$E$1000,E319,$AB$5:$AB$1000,AB319,$C$5:$C$1000,"&lt;&gt;"&amp;C319))</f>
        <v/>
      </c>
      <c r="Y319" s="33"/>
      <c r="Z319" s="31"/>
      <c r="AA319" s="33"/>
      <c r="AB319" s="37" t="str">
        <f aca="false">IF(B319="","",YEAR(B319)*100+MONTH(B319))</f>
        <v/>
      </c>
      <c r="AC319" s="37" t="str">
        <f aca="false">IF(AND(E319&lt;&gt;"",E319=Cruce!$C$5),COUNTIF($E$5:E319,E319),"")</f>
        <v/>
      </c>
      <c r="AD319" s="37" t="str">
        <f aca="false">IF(E319="","",C319&amp;"|"&amp;Y319&amp;"|"&amp;IF(B319="","s/f",TEXT(B319,"yyyymmdd")))</f>
        <v/>
      </c>
      <c r="AE319" s="37" t="n">
        <f aca="false">IF(E319="",0,IF(COUNTIFS($E$5:E319,E319,$AD$5:AD319,AD319)=1,1,0))</f>
        <v>0</v>
      </c>
    </row>
    <row r="320" customFormat="false" ht="15" hidden="false" customHeight="true" outlineLevel="0" collapsed="false">
      <c r="A320" s="31"/>
      <c r="B320" s="30"/>
      <c r="C320" s="31"/>
      <c r="D320" s="31"/>
      <c r="E320" s="32"/>
      <c r="F320" s="32"/>
      <c r="G320" s="33"/>
      <c r="H320" s="31"/>
      <c r="I320" s="24" t="str">
        <f aca="false">IF(B320="","",YEAR(B320))</f>
        <v/>
      </c>
      <c r="J320" s="34" t="str">
        <f aca="false">IF(B320="","",IF(MONTH(B320)=1,"X",""))</f>
        <v/>
      </c>
      <c r="K320" s="34" t="str">
        <f aca="false">IF(B320="","",IF(MONTH(B320)=2,"X",""))</f>
        <v/>
      </c>
      <c r="L320" s="34" t="str">
        <f aca="false">IF(B320="","",IF(MONTH(B320)=3,"X",""))</f>
        <v/>
      </c>
      <c r="M320" s="34" t="str">
        <f aca="false">IF(B320="","",IF(MONTH(B320)=4,"X",""))</f>
        <v/>
      </c>
      <c r="N320" s="34" t="str">
        <f aca="false">IF(B320="","",IF(MONTH(B320)=5,"X",""))</f>
        <v/>
      </c>
      <c r="O320" s="34" t="str">
        <f aca="false">IF(B320="","",IF(MONTH(B320)=6,"X",""))</f>
        <v/>
      </c>
      <c r="P320" s="34" t="str">
        <f aca="false">IF(B320="","",IF(MONTH(B320)=7,"X",""))</f>
        <v/>
      </c>
      <c r="Q320" s="34" t="str">
        <f aca="false">IF(B320="","",IF(MONTH(B320)=8,"X",""))</f>
        <v/>
      </c>
      <c r="R320" s="34" t="str">
        <f aca="false">IF(B320="","",IF(MONTH(B320)=9,"X",""))</f>
        <v/>
      </c>
      <c r="S320" s="34" t="str">
        <f aca="false">IF(B320="","",IF(MONTH(B320)=10,"X",""))</f>
        <v/>
      </c>
      <c r="T320" s="34" t="str">
        <f aca="false">IF(B320="","",IF(MONTH(B320)=11,"X",""))</f>
        <v/>
      </c>
      <c r="U320" s="34" t="str">
        <f aca="false">IF(B320="","",IF(MONTH(B320)=12,"X",""))</f>
        <v/>
      </c>
      <c r="V320" s="24" t="str">
        <f aca="false">IF(E320="","",COUNTIF($E$5:$E$1000,E320))</f>
        <v/>
      </c>
      <c r="W320" s="35" t="str">
        <f aca="false">IF(E320="","",_xlfn.TEXTJOIN(" + ",TRUE(),IF(COUNTIFS($E$5:$E$1000,E320,$C$5:$C$1000,"Auditoría Interna")&gt;0,"Interna",""),IF(COUNTIFS($E$5:$E$1000,E320,$C$5:$C$1000,"Auditoría Externa")&gt;0,"Externa",""),IF(COUNTIFS($E$5:$E$1000,E320,$C$5:$C$1000,"SSF")&gt;0,"SSF",""),IF(COUNTIFS($E$5:$E$1000,E320,$C$5:$C$1000,"Comité de Supervisión")&gt;0,"Comité Sup.",""),IF(COUNTIFS($E$5:$E$1000,E320,$C$5:$C$1000,"Consejo de Administración")&gt;0,"Consejo",""),IF(COUNTIFS($E$5:$E$1000,E320,$C$5:$C$1000,"Otros")&gt;0,"Otros","")))</f>
        <v/>
      </c>
      <c r="X320" s="24" t="str">
        <f aca="false">IF(E320="","",COUNTIFS($E$5:$E$1000,E320,$AB$5:$AB$1000,AB320,$C$5:$C$1000,"&lt;&gt;"&amp;C320))</f>
        <v/>
      </c>
      <c r="Y320" s="33"/>
      <c r="Z320" s="31"/>
      <c r="AA320" s="33"/>
      <c r="AB320" s="37" t="str">
        <f aca="false">IF(B320="","",YEAR(B320)*100+MONTH(B320))</f>
        <v/>
      </c>
      <c r="AC320" s="37" t="str">
        <f aca="false">IF(AND(E320&lt;&gt;"",E320=Cruce!$C$5),COUNTIF($E$5:E320,E320),"")</f>
        <v/>
      </c>
      <c r="AD320" s="37" t="str">
        <f aca="false">IF(E320="","",C320&amp;"|"&amp;Y320&amp;"|"&amp;IF(B320="","s/f",TEXT(B320,"yyyymmdd")))</f>
        <v/>
      </c>
      <c r="AE320" s="37" t="n">
        <f aca="false">IF(E320="",0,IF(COUNTIFS($E$5:E320,E320,$AD$5:AD320,AD320)=1,1,0))</f>
        <v>0</v>
      </c>
    </row>
    <row r="321" customFormat="false" ht="15" hidden="false" customHeight="true" outlineLevel="0" collapsed="false">
      <c r="A321" s="31"/>
      <c r="B321" s="30"/>
      <c r="C321" s="31"/>
      <c r="D321" s="31"/>
      <c r="E321" s="32"/>
      <c r="F321" s="32"/>
      <c r="G321" s="33"/>
      <c r="H321" s="31"/>
      <c r="I321" s="24" t="str">
        <f aca="false">IF(B321="","",YEAR(B321))</f>
        <v/>
      </c>
      <c r="J321" s="34" t="str">
        <f aca="false">IF(B321="","",IF(MONTH(B321)=1,"X",""))</f>
        <v/>
      </c>
      <c r="K321" s="34" t="str">
        <f aca="false">IF(B321="","",IF(MONTH(B321)=2,"X",""))</f>
        <v/>
      </c>
      <c r="L321" s="34" t="str">
        <f aca="false">IF(B321="","",IF(MONTH(B321)=3,"X",""))</f>
        <v/>
      </c>
      <c r="M321" s="34" t="str">
        <f aca="false">IF(B321="","",IF(MONTH(B321)=4,"X",""))</f>
        <v/>
      </c>
      <c r="N321" s="34" t="str">
        <f aca="false">IF(B321="","",IF(MONTH(B321)=5,"X",""))</f>
        <v/>
      </c>
      <c r="O321" s="34" t="str">
        <f aca="false">IF(B321="","",IF(MONTH(B321)=6,"X",""))</f>
        <v/>
      </c>
      <c r="P321" s="34" t="str">
        <f aca="false">IF(B321="","",IF(MONTH(B321)=7,"X",""))</f>
        <v/>
      </c>
      <c r="Q321" s="34" t="str">
        <f aca="false">IF(B321="","",IF(MONTH(B321)=8,"X",""))</f>
        <v/>
      </c>
      <c r="R321" s="34" t="str">
        <f aca="false">IF(B321="","",IF(MONTH(B321)=9,"X",""))</f>
        <v/>
      </c>
      <c r="S321" s="34" t="str">
        <f aca="false">IF(B321="","",IF(MONTH(B321)=10,"X",""))</f>
        <v/>
      </c>
      <c r="T321" s="34" t="str">
        <f aca="false">IF(B321="","",IF(MONTH(B321)=11,"X",""))</f>
        <v/>
      </c>
      <c r="U321" s="34" t="str">
        <f aca="false">IF(B321="","",IF(MONTH(B321)=12,"X",""))</f>
        <v/>
      </c>
      <c r="V321" s="24" t="str">
        <f aca="false">IF(E321="","",COUNTIF($E$5:$E$1000,E321))</f>
        <v/>
      </c>
      <c r="W321" s="35" t="str">
        <f aca="false">IF(E321="","",_xlfn.TEXTJOIN(" + ",TRUE(),IF(COUNTIFS($E$5:$E$1000,E321,$C$5:$C$1000,"Auditoría Interna")&gt;0,"Interna",""),IF(COUNTIFS($E$5:$E$1000,E321,$C$5:$C$1000,"Auditoría Externa")&gt;0,"Externa",""),IF(COUNTIFS($E$5:$E$1000,E321,$C$5:$C$1000,"SSF")&gt;0,"SSF",""),IF(COUNTIFS($E$5:$E$1000,E321,$C$5:$C$1000,"Comité de Supervisión")&gt;0,"Comité Sup.",""),IF(COUNTIFS($E$5:$E$1000,E321,$C$5:$C$1000,"Consejo de Administración")&gt;0,"Consejo",""),IF(COUNTIFS($E$5:$E$1000,E321,$C$5:$C$1000,"Otros")&gt;0,"Otros","")))</f>
        <v/>
      </c>
      <c r="X321" s="24" t="str">
        <f aca="false">IF(E321="","",COUNTIFS($E$5:$E$1000,E321,$AB$5:$AB$1000,AB321,$C$5:$C$1000,"&lt;&gt;"&amp;C321))</f>
        <v/>
      </c>
      <c r="Y321" s="33"/>
      <c r="Z321" s="31"/>
      <c r="AA321" s="33"/>
      <c r="AB321" s="37" t="str">
        <f aca="false">IF(B321="","",YEAR(B321)*100+MONTH(B321))</f>
        <v/>
      </c>
      <c r="AC321" s="37" t="str">
        <f aca="false">IF(AND(E321&lt;&gt;"",E321=Cruce!$C$5),COUNTIF($E$5:E321,E321),"")</f>
        <v/>
      </c>
      <c r="AD321" s="37" t="str">
        <f aca="false">IF(E321="","",C321&amp;"|"&amp;Y321&amp;"|"&amp;IF(B321="","s/f",TEXT(B321,"yyyymmdd")))</f>
        <v/>
      </c>
      <c r="AE321" s="37" t="n">
        <f aca="false">IF(E321="",0,IF(COUNTIFS($E$5:E321,E321,$AD$5:AD321,AD321)=1,1,0))</f>
        <v>0</v>
      </c>
    </row>
    <row r="322" customFormat="false" ht="15" hidden="false" customHeight="true" outlineLevel="0" collapsed="false">
      <c r="A322" s="31"/>
      <c r="B322" s="30"/>
      <c r="C322" s="31"/>
      <c r="D322" s="31"/>
      <c r="E322" s="32"/>
      <c r="F322" s="32"/>
      <c r="G322" s="33"/>
      <c r="H322" s="31"/>
      <c r="I322" s="24" t="str">
        <f aca="false">IF(B322="","",YEAR(B322))</f>
        <v/>
      </c>
      <c r="J322" s="34" t="str">
        <f aca="false">IF(B322="","",IF(MONTH(B322)=1,"X",""))</f>
        <v/>
      </c>
      <c r="K322" s="34" t="str">
        <f aca="false">IF(B322="","",IF(MONTH(B322)=2,"X",""))</f>
        <v/>
      </c>
      <c r="L322" s="34" t="str">
        <f aca="false">IF(B322="","",IF(MONTH(B322)=3,"X",""))</f>
        <v/>
      </c>
      <c r="M322" s="34" t="str">
        <f aca="false">IF(B322="","",IF(MONTH(B322)=4,"X",""))</f>
        <v/>
      </c>
      <c r="N322" s="34" t="str">
        <f aca="false">IF(B322="","",IF(MONTH(B322)=5,"X",""))</f>
        <v/>
      </c>
      <c r="O322" s="34" t="str">
        <f aca="false">IF(B322="","",IF(MONTH(B322)=6,"X",""))</f>
        <v/>
      </c>
      <c r="P322" s="34" t="str">
        <f aca="false">IF(B322="","",IF(MONTH(B322)=7,"X",""))</f>
        <v/>
      </c>
      <c r="Q322" s="34" t="str">
        <f aca="false">IF(B322="","",IF(MONTH(B322)=8,"X",""))</f>
        <v/>
      </c>
      <c r="R322" s="34" t="str">
        <f aca="false">IF(B322="","",IF(MONTH(B322)=9,"X",""))</f>
        <v/>
      </c>
      <c r="S322" s="34" t="str">
        <f aca="false">IF(B322="","",IF(MONTH(B322)=10,"X",""))</f>
        <v/>
      </c>
      <c r="T322" s="34" t="str">
        <f aca="false">IF(B322="","",IF(MONTH(B322)=11,"X",""))</f>
        <v/>
      </c>
      <c r="U322" s="34" t="str">
        <f aca="false">IF(B322="","",IF(MONTH(B322)=12,"X",""))</f>
        <v/>
      </c>
      <c r="V322" s="24" t="str">
        <f aca="false">IF(E322="","",COUNTIF($E$5:$E$1000,E322))</f>
        <v/>
      </c>
      <c r="W322" s="35" t="str">
        <f aca="false">IF(E322="","",_xlfn.TEXTJOIN(" + ",TRUE(),IF(COUNTIFS($E$5:$E$1000,E322,$C$5:$C$1000,"Auditoría Interna")&gt;0,"Interna",""),IF(COUNTIFS($E$5:$E$1000,E322,$C$5:$C$1000,"Auditoría Externa")&gt;0,"Externa",""),IF(COUNTIFS($E$5:$E$1000,E322,$C$5:$C$1000,"SSF")&gt;0,"SSF",""),IF(COUNTIFS($E$5:$E$1000,E322,$C$5:$C$1000,"Comité de Supervisión")&gt;0,"Comité Sup.",""),IF(COUNTIFS($E$5:$E$1000,E322,$C$5:$C$1000,"Consejo de Administración")&gt;0,"Consejo",""),IF(COUNTIFS($E$5:$E$1000,E322,$C$5:$C$1000,"Otros")&gt;0,"Otros","")))</f>
        <v/>
      </c>
      <c r="X322" s="24" t="str">
        <f aca="false">IF(E322="","",COUNTIFS($E$5:$E$1000,E322,$AB$5:$AB$1000,AB322,$C$5:$C$1000,"&lt;&gt;"&amp;C322))</f>
        <v/>
      </c>
      <c r="Y322" s="33"/>
      <c r="Z322" s="31"/>
      <c r="AA322" s="33"/>
      <c r="AB322" s="37" t="str">
        <f aca="false">IF(B322="","",YEAR(B322)*100+MONTH(B322))</f>
        <v/>
      </c>
      <c r="AC322" s="37" t="str">
        <f aca="false">IF(AND(E322&lt;&gt;"",E322=Cruce!$C$5),COUNTIF($E$5:E322,E322),"")</f>
        <v/>
      </c>
      <c r="AD322" s="37" t="str">
        <f aca="false">IF(E322="","",C322&amp;"|"&amp;Y322&amp;"|"&amp;IF(B322="","s/f",TEXT(B322,"yyyymmdd")))</f>
        <v/>
      </c>
      <c r="AE322" s="37" t="n">
        <f aca="false">IF(E322="",0,IF(COUNTIFS($E$5:E322,E322,$AD$5:AD322,AD322)=1,1,0))</f>
        <v>0</v>
      </c>
    </row>
    <row r="323" customFormat="false" ht="15" hidden="false" customHeight="true" outlineLevel="0" collapsed="false">
      <c r="A323" s="31"/>
      <c r="B323" s="30"/>
      <c r="C323" s="31"/>
      <c r="D323" s="31"/>
      <c r="E323" s="32"/>
      <c r="F323" s="32"/>
      <c r="G323" s="33"/>
      <c r="H323" s="31"/>
      <c r="I323" s="24" t="str">
        <f aca="false">IF(B323="","",YEAR(B323))</f>
        <v/>
      </c>
      <c r="J323" s="34" t="str">
        <f aca="false">IF(B323="","",IF(MONTH(B323)=1,"X",""))</f>
        <v/>
      </c>
      <c r="K323" s="34" t="str">
        <f aca="false">IF(B323="","",IF(MONTH(B323)=2,"X",""))</f>
        <v/>
      </c>
      <c r="L323" s="34" t="str">
        <f aca="false">IF(B323="","",IF(MONTH(B323)=3,"X",""))</f>
        <v/>
      </c>
      <c r="M323" s="34" t="str">
        <f aca="false">IF(B323="","",IF(MONTH(B323)=4,"X",""))</f>
        <v/>
      </c>
      <c r="N323" s="34" t="str">
        <f aca="false">IF(B323="","",IF(MONTH(B323)=5,"X",""))</f>
        <v/>
      </c>
      <c r="O323" s="34" t="str">
        <f aca="false">IF(B323="","",IF(MONTH(B323)=6,"X",""))</f>
        <v/>
      </c>
      <c r="P323" s="34" t="str">
        <f aca="false">IF(B323="","",IF(MONTH(B323)=7,"X",""))</f>
        <v/>
      </c>
      <c r="Q323" s="34" t="str">
        <f aca="false">IF(B323="","",IF(MONTH(B323)=8,"X",""))</f>
        <v/>
      </c>
      <c r="R323" s="34" t="str">
        <f aca="false">IF(B323="","",IF(MONTH(B323)=9,"X",""))</f>
        <v/>
      </c>
      <c r="S323" s="34" t="str">
        <f aca="false">IF(B323="","",IF(MONTH(B323)=10,"X",""))</f>
        <v/>
      </c>
      <c r="T323" s="34" t="str">
        <f aca="false">IF(B323="","",IF(MONTH(B323)=11,"X",""))</f>
        <v/>
      </c>
      <c r="U323" s="34" t="str">
        <f aca="false">IF(B323="","",IF(MONTH(B323)=12,"X",""))</f>
        <v/>
      </c>
      <c r="V323" s="24" t="str">
        <f aca="false">IF(E323="","",COUNTIF($E$5:$E$1000,E323))</f>
        <v/>
      </c>
      <c r="W323" s="35" t="str">
        <f aca="false">IF(E323="","",_xlfn.TEXTJOIN(" + ",TRUE(),IF(COUNTIFS($E$5:$E$1000,E323,$C$5:$C$1000,"Auditoría Interna")&gt;0,"Interna",""),IF(COUNTIFS($E$5:$E$1000,E323,$C$5:$C$1000,"Auditoría Externa")&gt;0,"Externa",""),IF(COUNTIFS($E$5:$E$1000,E323,$C$5:$C$1000,"SSF")&gt;0,"SSF",""),IF(COUNTIFS($E$5:$E$1000,E323,$C$5:$C$1000,"Comité de Supervisión")&gt;0,"Comité Sup.",""),IF(COUNTIFS($E$5:$E$1000,E323,$C$5:$C$1000,"Consejo de Administración")&gt;0,"Consejo",""),IF(COUNTIFS($E$5:$E$1000,E323,$C$5:$C$1000,"Otros")&gt;0,"Otros","")))</f>
        <v/>
      </c>
      <c r="X323" s="24" t="str">
        <f aca="false">IF(E323="","",COUNTIFS($E$5:$E$1000,E323,$AB$5:$AB$1000,AB323,$C$5:$C$1000,"&lt;&gt;"&amp;C323))</f>
        <v/>
      </c>
      <c r="Y323" s="33"/>
      <c r="Z323" s="31"/>
      <c r="AA323" s="33"/>
      <c r="AB323" s="37" t="str">
        <f aca="false">IF(B323="","",YEAR(B323)*100+MONTH(B323))</f>
        <v/>
      </c>
      <c r="AC323" s="37" t="str">
        <f aca="false">IF(AND(E323&lt;&gt;"",E323=Cruce!$C$5),COUNTIF($E$5:E323,E323),"")</f>
        <v/>
      </c>
      <c r="AD323" s="37" t="str">
        <f aca="false">IF(E323="","",C323&amp;"|"&amp;Y323&amp;"|"&amp;IF(B323="","s/f",TEXT(B323,"yyyymmdd")))</f>
        <v/>
      </c>
      <c r="AE323" s="37" t="n">
        <f aca="false">IF(E323="",0,IF(COUNTIFS($E$5:E323,E323,$AD$5:AD323,AD323)=1,1,0))</f>
        <v>0</v>
      </c>
    </row>
    <row r="324" customFormat="false" ht="15" hidden="false" customHeight="true" outlineLevel="0" collapsed="false">
      <c r="A324" s="31"/>
      <c r="B324" s="30"/>
      <c r="C324" s="31"/>
      <c r="D324" s="31"/>
      <c r="E324" s="32"/>
      <c r="F324" s="32"/>
      <c r="G324" s="33"/>
      <c r="H324" s="31"/>
      <c r="I324" s="24" t="str">
        <f aca="false">IF(B324="","",YEAR(B324))</f>
        <v/>
      </c>
      <c r="J324" s="34" t="str">
        <f aca="false">IF(B324="","",IF(MONTH(B324)=1,"X",""))</f>
        <v/>
      </c>
      <c r="K324" s="34" t="str">
        <f aca="false">IF(B324="","",IF(MONTH(B324)=2,"X",""))</f>
        <v/>
      </c>
      <c r="L324" s="34" t="str">
        <f aca="false">IF(B324="","",IF(MONTH(B324)=3,"X",""))</f>
        <v/>
      </c>
      <c r="M324" s="34" t="str">
        <f aca="false">IF(B324="","",IF(MONTH(B324)=4,"X",""))</f>
        <v/>
      </c>
      <c r="N324" s="34" t="str">
        <f aca="false">IF(B324="","",IF(MONTH(B324)=5,"X",""))</f>
        <v/>
      </c>
      <c r="O324" s="34" t="str">
        <f aca="false">IF(B324="","",IF(MONTH(B324)=6,"X",""))</f>
        <v/>
      </c>
      <c r="P324" s="34" t="str">
        <f aca="false">IF(B324="","",IF(MONTH(B324)=7,"X",""))</f>
        <v/>
      </c>
      <c r="Q324" s="34" t="str">
        <f aca="false">IF(B324="","",IF(MONTH(B324)=8,"X",""))</f>
        <v/>
      </c>
      <c r="R324" s="34" t="str">
        <f aca="false">IF(B324="","",IF(MONTH(B324)=9,"X",""))</f>
        <v/>
      </c>
      <c r="S324" s="34" t="str">
        <f aca="false">IF(B324="","",IF(MONTH(B324)=10,"X",""))</f>
        <v/>
      </c>
      <c r="T324" s="34" t="str">
        <f aca="false">IF(B324="","",IF(MONTH(B324)=11,"X",""))</f>
        <v/>
      </c>
      <c r="U324" s="34" t="str">
        <f aca="false">IF(B324="","",IF(MONTH(B324)=12,"X",""))</f>
        <v/>
      </c>
      <c r="V324" s="24" t="str">
        <f aca="false">IF(E324="","",COUNTIF($E$5:$E$1000,E324))</f>
        <v/>
      </c>
      <c r="W324" s="35" t="str">
        <f aca="false">IF(E324="","",_xlfn.TEXTJOIN(" + ",TRUE(),IF(COUNTIFS($E$5:$E$1000,E324,$C$5:$C$1000,"Auditoría Interna")&gt;0,"Interna",""),IF(COUNTIFS($E$5:$E$1000,E324,$C$5:$C$1000,"Auditoría Externa")&gt;0,"Externa",""),IF(COUNTIFS($E$5:$E$1000,E324,$C$5:$C$1000,"SSF")&gt;0,"SSF",""),IF(COUNTIFS($E$5:$E$1000,E324,$C$5:$C$1000,"Comité de Supervisión")&gt;0,"Comité Sup.",""),IF(COUNTIFS($E$5:$E$1000,E324,$C$5:$C$1000,"Consejo de Administración")&gt;0,"Consejo",""),IF(COUNTIFS($E$5:$E$1000,E324,$C$5:$C$1000,"Otros")&gt;0,"Otros","")))</f>
        <v/>
      </c>
      <c r="X324" s="24" t="str">
        <f aca="false">IF(E324="","",COUNTIFS($E$5:$E$1000,E324,$AB$5:$AB$1000,AB324,$C$5:$C$1000,"&lt;&gt;"&amp;C324))</f>
        <v/>
      </c>
      <c r="Y324" s="33"/>
      <c r="Z324" s="31"/>
      <c r="AA324" s="33"/>
      <c r="AB324" s="37" t="str">
        <f aca="false">IF(B324="","",YEAR(B324)*100+MONTH(B324))</f>
        <v/>
      </c>
      <c r="AC324" s="37" t="str">
        <f aca="false">IF(AND(E324&lt;&gt;"",E324=Cruce!$C$5),COUNTIF($E$5:E324,E324),"")</f>
        <v/>
      </c>
      <c r="AD324" s="37" t="str">
        <f aca="false">IF(E324="","",C324&amp;"|"&amp;Y324&amp;"|"&amp;IF(B324="","s/f",TEXT(B324,"yyyymmdd")))</f>
        <v/>
      </c>
      <c r="AE324" s="37" t="n">
        <f aca="false">IF(E324="",0,IF(COUNTIFS($E$5:E324,E324,$AD$5:AD324,AD324)=1,1,0))</f>
        <v>0</v>
      </c>
    </row>
    <row r="325" customFormat="false" ht="15" hidden="false" customHeight="true" outlineLevel="0" collapsed="false">
      <c r="A325" s="31"/>
      <c r="B325" s="30"/>
      <c r="C325" s="31"/>
      <c r="D325" s="31"/>
      <c r="E325" s="32"/>
      <c r="F325" s="32"/>
      <c r="G325" s="33"/>
      <c r="H325" s="31"/>
      <c r="I325" s="24" t="str">
        <f aca="false">IF(B325="","",YEAR(B325))</f>
        <v/>
      </c>
      <c r="J325" s="34" t="str">
        <f aca="false">IF(B325="","",IF(MONTH(B325)=1,"X",""))</f>
        <v/>
      </c>
      <c r="K325" s="34" t="str">
        <f aca="false">IF(B325="","",IF(MONTH(B325)=2,"X",""))</f>
        <v/>
      </c>
      <c r="L325" s="34" t="str">
        <f aca="false">IF(B325="","",IF(MONTH(B325)=3,"X",""))</f>
        <v/>
      </c>
      <c r="M325" s="34" t="str">
        <f aca="false">IF(B325="","",IF(MONTH(B325)=4,"X",""))</f>
        <v/>
      </c>
      <c r="N325" s="34" t="str">
        <f aca="false">IF(B325="","",IF(MONTH(B325)=5,"X",""))</f>
        <v/>
      </c>
      <c r="O325" s="34" t="str">
        <f aca="false">IF(B325="","",IF(MONTH(B325)=6,"X",""))</f>
        <v/>
      </c>
      <c r="P325" s="34" t="str">
        <f aca="false">IF(B325="","",IF(MONTH(B325)=7,"X",""))</f>
        <v/>
      </c>
      <c r="Q325" s="34" t="str">
        <f aca="false">IF(B325="","",IF(MONTH(B325)=8,"X",""))</f>
        <v/>
      </c>
      <c r="R325" s="34" t="str">
        <f aca="false">IF(B325="","",IF(MONTH(B325)=9,"X",""))</f>
        <v/>
      </c>
      <c r="S325" s="34" t="str">
        <f aca="false">IF(B325="","",IF(MONTH(B325)=10,"X",""))</f>
        <v/>
      </c>
      <c r="T325" s="34" t="str">
        <f aca="false">IF(B325="","",IF(MONTH(B325)=11,"X",""))</f>
        <v/>
      </c>
      <c r="U325" s="34" t="str">
        <f aca="false">IF(B325="","",IF(MONTH(B325)=12,"X",""))</f>
        <v/>
      </c>
      <c r="V325" s="24" t="str">
        <f aca="false">IF(E325="","",COUNTIF($E$5:$E$1000,E325))</f>
        <v/>
      </c>
      <c r="W325" s="35" t="str">
        <f aca="false">IF(E325="","",_xlfn.TEXTJOIN(" + ",TRUE(),IF(COUNTIFS($E$5:$E$1000,E325,$C$5:$C$1000,"Auditoría Interna")&gt;0,"Interna",""),IF(COUNTIFS($E$5:$E$1000,E325,$C$5:$C$1000,"Auditoría Externa")&gt;0,"Externa",""),IF(COUNTIFS($E$5:$E$1000,E325,$C$5:$C$1000,"SSF")&gt;0,"SSF",""),IF(COUNTIFS($E$5:$E$1000,E325,$C$5:$C$1000,"Comité de Supervisión")&gt;0,"Comité Sup.",""),IF(COUNTIFS($E$5:$E$1000,E325,$C$5:$C$1000,"Consejo de Administración")&gt;0,"Consejo",""),IF(COUNTIFS($E$5:$E$1000,E325,$C$5:$C$1000,"Otros")&gt;0,"Otros","")))</f>
        <v/>
      </c>
      <c r="X325" s="24" t="str">
        <f aca="false">IF(E325="","",COUNTIFS($E$5:$E$1000,E325,$AB$5:$AB$1000,AB325,$C$5:$C$1000,"&lt;&gt;"&amp;C325))</f>
        <v/>
      </c>
      <c r="Y325" s="33"/>
      <c r="Z325" s="31"/>
      <c r="AA325" s="33"/>
      <c r="AB325" s="37" t="str">
        <f aca="false">IF(B325="","",YEAR(B325)*100+MONTH(B325))</f>
        <v/>
      </c>
      <c r="AC325" s="37" t="str">
        <f aca="false">IF(AND(E325&lt;&gt;"",E325=Cruce!$C$5),COUNTIF($E$5:E325,E325),"")</f>
        <v/>
      </c>
      <c r="AD325" s="37" t="str">
        <f aca="false">IF(E325="","",C325&amp;"|"&amp;Y325&amp;"|"&amp;IF(B325="","s/f",TEXT(B325,"yyyymmdd")))</f>
        <v/>
      </c>
      <c r="AE325" s="37" t="n">
        <f aca="false">IF(E325="",0,IF(COUNTIFS($E$5:E325,E325,$AD$5:AD325,AD325)=1,1,0))</f>
        <v>0</v>
      </c>
    </row>
    <row r="326" customFormat="false" ht="15" hidden="false" customHeight="true" outlineLevel="0" collapsed="false">
      <c r="A326" s="31"/>
      <c r="B326" s="30"/>
      <c r="C326" s="31"/>
      <c r="D326" s="31"/>
      <c r="E326" s="32"/>
      <c r="F326" s="32"/>
      <c r="G326" s="33"/>
      <c r="H326" s="31"/>
      <c r="I326" s="24" t="str">
        <f aca="false">IF(B326="","",YEAR(B326))</f>
        <v/>
      </c>
      <c r="J326" s="34" t="str">
        <f aca="false">IF(B326="","",IF(MONTH(B326)=1,"X",""))</f>
        <v/>
      </c>
      <c r="K326" s="34" t="str">
        <f aca="false">IF(B326="","",IF(MONTH(B326)=2,"X",""))</f>
        <v/>
      </c>
      <c r="L326" s="34" t="str">
        <f aca="false">IF(B326="","",IF(MONTH(B326)=3,"X",""))</f>
        <v/>
      </c>
      <c r="M326" s="34" t="str">
        <f aca="false">IF(B326="","",IF(MONTH(B326)=4,"X",""))</f>
        <v/>
      </c>
      <c r="N326" s="34" t="str">
        <f aca="false">IF(B326="","",IF(MONTH(B326)=5,"X",""))</f>
        <v/>
      </c>
      <c r="O326" s="34" t="str">
        <f aca="false">IF(B326="","",IF(MONTH(B326)=6,"X",""))</f>
        <v/>
      </c>
      <c r="P326" s="34" t="str">
        <f aca="false">IF(B326="","",IF(MONTH(B326)=7,"X",""))</f>
        <v/>
      </c>
      <c r="Q326" s="34" t="str">
        <f aca="false">IF(B326="","",IF(MONTH(B326)=8,"X",""))</f>
        <v/>
      </c>
      <c r="R326" s="34" t="str">
        <f aca="false">IF(B326="","",IF(MONTH(B326)=9,"X",""))</f>
        <v/>
      </c>
      <c r="S326" s="34" t="str">
        <f aca="false">IF(B326="","",IF(MONTH(B326)=10,"X",""))</f>
        <v/>
      </c>
      <c r="T326" s="34" t="str">
        <f aca="false">IF(B326="","",IF(MONTH(B326)=11,"X",""))</f>
        <v/>
      </c>
      <c r="U326" s="34" t="str">
        <f aca="false">IF(B326="","",IF(MONTH(B326)=12,"X",""))</f>
        <v/>
      </c>
      <c r="V326" s="24" t="str">
        <f aca="false">IF(E326="","",COUNTIF($E$5:$E$1000,E326))</f>
        <v/>
      </c>
      <c r="W326" s="35" t="str">
        <f aca="false">IF(E326="","",_xlfn.TEXTJOIN(" + ",TRUE(),IF(COUNTIFS($E$5:$E$1000,E326,$C$5:$C$1000,"Auditoría Interna")&gt;0,"Interna",""),IF(COUNTIFS($E$5:$E$1000,E326,$C$5:$C$1000,"Auditoría Externa")&gt;0,"Externa",""),IF(COUNTIFS($E$5:$E$1000,E326,$C$5:$C$1000,"SSF")&gt;0,"SSF",""),IF(COUNTIFS($E$5:$E$1000,E326,$C$5:$C$1000,"Comité de Supervisión")&gt;0,"Comité Sup.",""),IF(COUNTIFS($E$5:$E$1000,E326,$C$5:$C$1000,"Consejo de Administración")&gt;0,"Consejo",""),IF(COUNTIFS($E$5:$E$1000,E326,$C$5:$C$1000,"Otros")&gt;0,"Otros","")))</f>
        <v/>
      </c>
      <c r="X326" s="24" t="str">
        <f aca="false">IF(E326="","",COUNTIFS($E$5:$E$1000,E326,$AB$5:$AB$1000,AB326,$C$5:$C$1000,"&lt;&gt;"&amp;C326))</f>
        <v/>
      </c>
      <c r="Y326" s="33"/>
      <c r="Z326" s="31"/>
      <c r="AA326" s="33"/>
      <c r="AB326" s="37" t="str">
        <f aca="false">IF(B326="","",YEAR(B326)*100+MONTH(B326))</f>
        <v/>
      </c>
      <c r="AC326" s="37" t="str">
        <f aca="false">IF(AND(E326&lt;&gt;"",E326=Cruce!$C$5),COUNTIF($E$5:E326,E326),"")</f>
        <v/>
      </c>
      <c r="AD326" s="37" t="str">
        <f aca="false">IF(E326="","",C326&amp;"|"&amp;Y326&amp;"|"&amp;IF(B326="","s/f",TEXT(B326,"yyyymmdd")))</f>
        <v/>
      </c>
      <c r="AE326" s="37" t="n">
        <f aca="false">IF(E326="",0,IF(COUNTIFS($E$5:E326,E326,$AD$5:AD326,AD326)=1,1,0))</f>
        <v>0</v>
      </c>
    </row>
    <row r="327" customFormat="false" ht="15" hidden="false" customHeight="true" outlineLevel="0" collapsed="false">
      <c r="A327" s="31"/>
      <c r="B327" s="30"/>
      <c r="C327" s="31"/>
      <c r="D327" s="31"/>
      <c r="E327" s="32"/>
      <c r="F327" s="32"/>
      <c r="G327" s="33"/>
      <c r="H327" s="31"/>
      <c r="I327" s="24" t="str">
        <f aca="false">IF(B327="","",YEAR(B327))</f>
        <v/>
      </c>
      <c r="J327" s="34" t="str">
        <f aca="false">IF(B327="","",IF(MONTH(B327)=1,"X",""))</f>
        <v/>
      </c>
      <c r="K327" s="34" t="str">
        <f aca="false">IF(B327="","",IF(MONTH(B327)=2,"X",""))</f>
        <v/>
      </c>
      <c r="L327" s="34" t="str">
        <f aca="false">IF(B327="","",IF(MONTH(B327)=3,"X",""))</f>
        <v/>
      </c>
      <c r="M327" s="34" t="str">
        <f aca="false">IF(B327="","",IF(MONTH(B327)=4,"X",""))</f>
        <v/>
      </c>
      <c r="N327" s="34" t="str">
        <f aca="false">IF(B327="","",IF(MONTH(B327)=5,"X",""))</f>
        <v/>
      </c>
      <c r="O327" s="34" t="str">
        <f aca="false">IF(B327="","",IF(MONTH(B327)=6,"X",""))</f>
        <v/>
      </c>
      <c r="P327" s="34" t="str">
        <f aca="false">IF(B327="","",IF(MONTH(B327)=7,"X",""))</f>
        <v/>
      </c>
      <c r="Q327" s="34" t="str">
        <f aca="false">IF(B327="","",IF(MONTH(B327)=8,"X",""))</f>
        <v/>
      </c>
      <c r="R327" s="34" t="str">
        <f aca="false">IF(B327="","",IF(MONTH(B327)=9,"X",""))</f>
        <v/>
      </c>
      <c r="S327" s="34" t="str">
        <f aca="false">IF(B327="","",IF(MONTH(B327)=10,"X",""))</f>
        <v/>
      </c>
      <c r="T327" s="34" t="str">
        <f aca="false">IF(B327="","",IF(MONTH(B327)=11,"X",""))</f>
        <v/>
      </c>
      <c r="U327" s="34" t="str">
        <f aca="false">IF(B327="","",IF(MONTH(B327)=12,"X",""))</f>
        <v/>
      </c>
      <c r="V327" s="24" t="str">
        <f aca="false">IF(E327="","",COUNTIF($E$5:$E$1000,E327))</f>
        <v/>
      </c>
      <c r="W327" s="35" t="str">
        <f aca="false">IF(E327="","",_xlfn.TEXTJOIN(" + ",TRUE(),IF(COUNTIFS($E$5:$E$1000,E327,$C$5:$C$1000,"Auditoría Interna")&gt;0,"Interna",""),IF(COUNTIFS($E$5:$E$1000,E327,$C$5:$C$1000,"Auditoría Externa")&gt;0,"Externa",""),IF(COUNTIFS($E$5:$E$1000,E327,$C$5:$C$1000,"SSF")&gt;0,"SSF",""),IF(COUNTIFS($E$5:$E$1000,E327,$C$5:$C$1000,"Comité de Supervisión")&gt;0,"Comité Sup.",""),IF(COUNTIFS($E$5:$E$1000,E327,$C$5:$C$1000,"Consejo de Administración")&gt;0,"Consejo",""),IF(COUNTIFS($E$5:$E$1000,E327,$C$5:$C$1000,"Otros")&gt;0,"Otros","")))</f>
        <v/>
      </c>
      <c r="X327" s="24" t="str">
        <f aca="false">IF(E327="","",COUNTIFS($E$5:$E$1000,E327,$AB$5:$AB$1000,AB327,$C$5:$C$1000,"&lt;&gt;"&amp;C327))</f>
        <v/>
      </c>
      <c r="Y327" s="33"/>
      <c r="Z327" s="31"/>
      <c r="AA327" s="33"/>
      <c r="AB327" s="37" t="str">
        <f aca="false">IF(B327="","",YEAR(B327)*100+MONTH(B327))</f>
        <v/>
      </c>
      <c r="AC327" s="37" t="str">
        <f aca="false">IF(AND(E327&lt;&gt;"",E327=Cruce!$C$5),COUNTIF($E$5:E327,E327),"")</f>
        <v/>
      </c>
      <c r="AD327" s="37" t="str">
        <f aca="false">IF(E327="","",C327&amp;"|"&amp;Y327&amp;"|"&amp;IF(B327="","s/f",TEXT(B327,"yyyymmdd")))</f>
        <v/>
      </c>
      <c r="AE327" s="37" t="n">
        <f aca="false">IF(E327="",0,IF(COUNTIFS($E$5:E327,E327,$AD$5:AD327,AD327)=1,1,0))</f>
        <v>0</v>
      </c>
    </row>
    <row r="328" customFormat="false" ht="15" hidden="false" customHeight="true" outlineLevel="0" collapsed="false">
      <c r="A328" s="31"/>
      <c r="B328" s="30"/>
      <c r="C328" s="31"/>
      <c r="D328" s="31"/>
      <c r="E328" s="32"/>
      <c r="F328" s="32"/>
      <c r="G328" s="33"/>
      <c r="H328" s="31"/>
      <c r="I328" s="24" t="str">
        <f aca="false">IF(B328="","",YEAR(B328))</f>
        <v/>
      </c>
      <c r="J328" s="34" t="str">
        <f aca="false">IF(B328="","",IF(MONTH(B328)=1,"X",""))</f>
        <v/>
      </c>
      <c r="K328" s="34" t="str">
        <f aca="false">IF(B328="","",IF(MONTH(B328)=2,"X",""))</f>
        <v/>
      </c>
      <c r="L328" s="34" t="str">
        <f aca="false">IF(B328="","",IF(MONTH(B328)=3,"X",""))</f>
        <v/>
      </c>
      <c r="M328" s="34" t="str">
        <f aca="false">IF(B328="","",IF(MONTH(B328)=4,"X",""))</f>
        <v/>
      </c>
      <c r="N328" s="34" t="str">
        <f aca="false">IF(B328="","",IF(MONTH(B328)=5,"X",""))</f>
        <v/>
      </c>
      <c r="O328" s="34" t="str">
        <f aca="false">IF(B328="","",IF(MONTH(B328)=6,"X",""))</f>
        <v/>
      </c>
      <c r="P328" s="34" t="str">
        <f aca="false">IF(B328="","",IF(MONTH(B328)=7,"X",""))</f>
        <v/>
      </c>
      <c r="Q328" s="34" t="str">
        <f aca="false">IF(B328="","",IF(MONTH(B328)=8,"X",""))</f>
        <v/>
      </c>
      <c r="R328" s="34" t="str">
        <f aca="false">IF(B328="","",IF(MONTH(B328)=9,"X",""))</f>
        <v/>
      </c>
      <c r="S328" s="34" t="str">
        <f aca="false">IF(B328="","",IF(MONTH(B328)=10,"X",""))</f>
        <v/>
      </c>
      <c r="T328" s="34" t="str">
        <f aca="false">IF(B328="","",IF(MONTH(B328)=11,"X",""))</f>
        <v/>
      </c>
      <c r="U328" s="34" t="str">
        <f aca="false">IF(B328="","",IF(MONTH(B328)=12,"X",""))</f>
        <v/>
      </c>
      <c r="V328" s="24" t="str">
        <f aca="false">IF(E328="","",COUNTIF($E$5:$E$1000,E328))</f>
        <v/>
      </c>
      <c r="W328" s="35" t="str">
        <f aca="false">IF(E328="","",_xlfn.TEXTJOIN(" + ",TRUE(),IF(COUNTIFS($E$5:$E$1000,E328,$C$5:$C$1000,"Auditoría Interna")&gt;0,"Interna",""),IF(COUNTIFS($E$5:$E$1000,E328,$C$5:$C$1000,"Auditoría Externa")&gt;0,"Externa",""),IF(COUNTIFS($E$5:$E$1000,E328,$C$5:$C$1000,"SSF")&gt;0,"SSF",""),IF(COUNTIFS($E$5:$E$1000,E328,$C$5:$C$1000,"Comité de Supervisión")&gt;0,"Comité Sup.",""),IF(COUNTIFS($E$5:$E$1000,E328,$C$5:$C$1000,"Consejo de Administración")&gt;0,"Consejo",""),IF(COUNTIFS($E$5:$E$1000,E328,$C$5:$C$1000,"Otros")&gt;0,"Otros","")))</f>
        <v/>
      </c>
      <c r="X328" s="24" t="str">
        <f aca="false">IF(E328="","",COUNTIFS($E$5:$E$1000,E328,$AB$5:$AB$1000,AB328,$C$5:$C$1000,"&lt;&gt;"&amp;C328))</f>
        <v/>
      </c>
      <c r="Y328" s="33"/>
      <c r="Z328" s="31"/>
      <c r="AA328" s="33"/>
      <c r="AB328" s="37" t="str">
        <f aca="false">IF(B328="","",YEAR(B328)*100+MONTH(B328))</f>
        <v/>
      </c>
      <c r="AC328" s="37" t="str">
        <f aca="false">IF(AND(E328&lt;&gt;"",E328=Cruce!$C$5),COUNTIF($E$5:E328,E328),"")</f>
        <v/>
      </c>
      <c r="AD328" s="37" t="str">
        <f aca="false">IF(E328="","",C328&amp;"|"&amp;Y328&amp;"|"&amp;IF(B328="","s/f",TEXT(B328,"yyyymmdd")))</f>
        <v/>
      </c>
      <c r="AE328" s="37" t="n">
        <f aca="false">IF(E328="",0,IF(COUNTIFS($E$5:E328,E328,$AD$5:AD328,AD328)=1,1,0))</f>
        <v>0</v>
      </c>
    </row>
    <row r="329" customFormat="false" ht="15" hidden="false" customHeight="true" outlineLevel="0" collapsed="false">
      <c r="A329" s="31"/>
      <c r="B329" s="30"/>
      <c r="C329" s="31"/>
      <c r="D329" s="31"/>
      <c r="E329" s="32"/>
      <c r="F329" s="32"/>
      <c r="G329" s="33"/>
      <c r="H329" s="31"/>
      <c r="I329" s="24" t="str">
        <f aca="false">IF(B329="","",YEAR(B329))</f>
        <v/>
      </c>
      <c r="J329" s="34" t="str">
        <f aca="false">IF(B329="","",IF(MONTH(B329)=1,"X",""))</f>
        <v/>
      </c>
      <c r="K329" s="34" t="str">
        <f aca="false">IF(B329="","",IF(MONTH(B329)=2,"X",""))</f>
        <v/>
      </c>
      <c r="L329" s="34" t="str">
        <f aca="false">IF(B329="","",IF(MONTH(B329)=3,"X",""))</f>
        <v/>
      </c>
      <c r="M329" s="34" t="str">
        <f aca="false">IF(B329="","",IF(MONTH(B329)=4,"X",""))</f>
        <v/>
      </c>
      <c r="N329" s="34" t="str">
        <f aca="false">IF(B329="","",IF(MONTH(B329)=5,"X",""))</f>
        <v/>
      </c>
      <c r="O329" s="34" t="str">
        <f aca="false">IF(B329="","",IF(MONTH(B329)=6,"X",""))</f>
        <v/>
      </c>
      <c r="P329" s="34" t="str">
        <f aca="false">IF(B329="","",IF(MONTH(B329)=7,"X",""))</f>
        <v/>
      </c>
      <c r="Q329" s="34" t="str">
        <f aca="false">IF(B329="","",IF(MONTH(B329)=8,"X",""))</f>
        <v/>
      </c>
      <c r="R329" s="34" t="str">
        <f aca="false">IF(B329="","",IF(MONTH(B329)=9,"X",""))</f>
        <v/>
      </c>
      <c r="S329" s="34" t="str">
        <f aca="false">IF(B329="","",IF(MONTH(B329)=10,"X",""))</f>
        <v/>
      </c>
      <c r="T329" s="34" t="str">
        <f aca="false">IF(B329="","",IF(MONTH(B329)=11,"X",""))</f>
        <v/>
      </c>
      <c r="U329" s="34" t="str">
        <f aca="false">IF(B329="","",IF(MONTH(B329)=12,"X",""))</f>
        <v/>
      </c>
      <c r="V329" s="24" t="str">
        <f aca="false">IF(E329="","",COUNTIF($E$5:$E$1000,E329))</f>
        <v/>
      </c>
      <c r="W329" s="35" t="str">
        <f aca="false">IF(E329="","",_xlfn.TEXTJOIN(" + ",TRUE(),IF(COUNTIFS($E$5:$E$1000,E329,$C$5:$C$1000,"Auditoría Interna")&gt;0,"Interna",""),IF(COUNTIFS($E$5:$E$1000,E329,$C$5:$C$1000,"Auditoría Externa")&gt;0,"Externa",""),IF(COUNTIFS($E$5:$E$1000,E329,$C$5:$C$1000,"SSF")&gt;0,"SSF",""),IF(COUNTIFS($E$5:$E$1000,E329,$C$5:$C$1000,"Comité de Supervisión")&gt;0,"Comité Sup.",""),IF(COUNTIFS($E$5:$E$1000,E329,$C$5:$C$1000,"Consejo de Administración")&gt;0,"Consejo",""),IF(COUNTIFS($E$5:$E$1000,E329,$C$5:$C$1000,"Otros")&gt;0,"Otros","")))</f>
        <v/>
      </c>
      <c r="X329" s="24" t="str">
        <f aca="false">IF(E329="","",COUNTIFS($E$5:$E$1000,E329,$AB$5:$AB$1000,AB329,$C$5:$C$1000,"&lt;&gt;"&amp;C329))</f>
        <v/>
      </c>
      <c r="Y329" s="33"/>
      <c r="Z329" s="31"/>
      <c r="AA329" s="33"/>
      <c r="AB329" s="37" t="str">
        <f aca="false">IF(B329="","",YEAR(B329)*100+MONTH(B329))</f>
        <v/>
      </c>
      <c r="AC329" s="37" t="str">
        <f aca="false">IF(AND(E329&lt;&gt;"",E329=Cruce!$C$5),COUNTIF($E$5:E329,E329),"")</f>
        <v/>
      </c>
      <c r="AD329" s="37" t="str">
        <f aca="false">IF(E329="","",C329&amp;"|"&amp;Y329&amp;"|"&amp;IF(B329="","s/f",TEXT(B329,"yyyymmdd")))</f>
        <v/>
      </c>
      <c r="AE329" s="37" t="n">
        <f aca="false">IF(E329="",0,IF(COUNTIFS($E$5:E329,E329,$AD$5:AD329,AD329)=1,1,0))</f>
        <v>0</v>
      </c>
    </row>
    <row r="330" customFormat="false" ht="15" hidden="false" customHeight="true" outlineLevel="0" collapsed="false">
      <c r="A330" s="31"/>
      <c r="B330" s="30"/>
      <c r="C330" s="31"/>
      <c r="D330" s="31"/>
      <c r="E330" s="32"/>
      <c r="F330" s="32"/>
      <c r="G330" s="33"/>
      <c r="H330" s="31"/>
      <c r="I330" s="24" t="str">
        <f aca="false">IF(B330="","",YEAR(B330))</f>
        <v/>
      </c>
      <c r="J330" s="34" t="str">
        <f aca="false">IF(B330="","",IF(MONTH(B330)=1,"X",""))</f>
        <v/>
      </c>
      <c r="K330" s="34" t="str">
        <f aca="false">IF(B330="","",IF(MONTH(B330)=2,"X",""))</f>
        <v/>
      </c>
      <c r="L330" s="34" t="str">
        <f aca="false">IF(B330="","",IF(MONTH(B330)=3,"X",""))</f>
        <v/>
      </c>
      <c r="M330" s="34" t="str">
        <f aca="false">IF(B330="","",IF(MONTH(B330)=4,"X",""))</f>
        <v/>
      </c>
      <c r="N330" s="34" t="str">
        <f aca="false">IF(B330="","",IF(MONTH(B330)=5,"X",""))</f>
        <v/>
      </c>
      <c r="O330" s="34" t="str">
        <f aca="false">IF(B330="","",IF(MONTH(B330)=6,"X",""))</f>
        <v/>
      </c>
      <c r="P330" s="34" t="str">
        <f aca="false">IF(B330="","",IF(MONTH(B330)=7,"X",""))</f>
        <v/>
      </c>
      <c r="Q330" s="34" t="str">
        <f aca="false">IF(B330="","",IF(MONTH(B330)=8,"X",""))</f>
        <v/>
      </c>
      <c r="R330" s="34" t="str">
        <f aca="false">IF(B330="","",IF(MONTH(B330)=9,"X",""))</f>
        <v/>
      </c>
      <c r="S330" s="34" t="str">
        <f aca="false">IF(B330="","",IF(MONTH(B330)=10,"X",""))</f>
        <v/>
      </c>
      <c r="T330" s="34" t="str">
        <f aca="false">IF(B330="","",IF(MONTH(B330)=11,"X",""))</f>
        <v/>
      </c>
      <c r="U330" s="34" t="str">
        <f aca="false">IF(B330="","",IF(MONTH(B330)=12,"X",""))</f>
        <v/>
      </c>
      <c r="V330" s="24" t="str">
        <f aca="false">IF(E330="","",COUNTIF($E$5:$E$1000,E330))</f>
        <v/>
      </c>
      <c r="W330" s="35" t="str">
        <f aca="false">IF(E330="","",_xlfn.TEXTJOIN(" + ",TRUE(),IF(COUNTIFS($E$5:$E$1000,E330,$C$5:$C$1000,"Auditoría Interna")&gt;0,"Interna",""),IF(COUNTIFS($E$5:$E$1000,E330,$C$5:$C$1000,"Auditoría Externa")&gt;0,"Externa",""),IF(COUNTIFS($E$5:$E$1000,E330,$C$5:$C$1000,"SSF")&gt;0,"SSF",""),IF(COUNTIFS($E$5:$E$1000,E330,$C$5:$C$1000,"Comité de Supervisión")&gt;0,"Comité Sup.",""),IF(COUNTIFS($E$5:$E$1000,E330,$C$5:$C$1000,"Consejo de Administración")&gt;0,"Consejo",""),IF(COUNTIFS($E$5:$E$1000,E330,$C$5:$C$1000,"Otros")&gt;0,"Otros","")))</f>
        <v/>
      </c>
      <c r="X330" s="24" t="str">
        <f aca="false">IF(E330="","",COUNTIFS($E$5:$E$1000,E330,$AB$5:$AB$1000,AB330,$C$5:$C$1000,"&lt;&gt;"&amp;C330))</f>
        <v/>
      </c>
      <c r="Y330" s="33"/>
      <c r="Z330" s="31"/>
      <c r="AA330" s="33"/>
      <c r="AB330" s="37" t="str">
        <f aca="false">IF(B330="","",YEAR(B330)*100+MONTH(B330))</f>
        <v/>
      </c>
      <c r="AC330" s="37" t="str">
        <f aca="false">IF(AND(E330&lt;&gt;"",E330=Cruce!$C$5),COUNTIF($E$5:E330,E330),"")</f>
        <v/>
      </c>
      <c r="AD330" s="37" t="str">
        <f aca="false">IF(E330="","",C330&amp;"|"&amp;Y330&amp;"|"&amp;IF(B330="","s/f",TEXT(B330,"yyyymmdd")))</f>
        <v/>
      </c>
      <c r="AE330" s="37" t="n">
        <f aca="false">IF(E330="",0,IF(COUNTIFS($E$5:E330,E330,$AD$5:AD330,AD330)=1,1,0))</f>
        <v>0</v>
      </c>
    </row>
    <row r="331" customFormat="false" ht="15" hidden="false" customHeight="true" outlineLevel="0" collapsed="false">
      <c r="A331" s="31"/>
      <c r="B331" s="30"/>
      <c r="C331" s="31"/>
      <c r="D331" s="31"/>
      <c r="E331" s="32"/>
      <c r="F331" s="32"/>
      <c r="G331" s="33"/>
      <c r="H331" s="31"/>
      <c r="I331" s="24" t="str">
        <f aca="false">IF(B331="","",YEAR(B331))</f>
        <v/>
      </c>
      <c r="J331" s="34" t="str">
        <f aca="false">IF(B331="","",IF(MONTH(B331)=1,"X",""))</f>
        <v/>
      </c>
      <c r="K331" s="34" t="str">
        <f aca="false">IF(B331="","",IF(MONTH(B331)=2,"X",""))</f>
        <v/>
      </c>
      <c r="L331" s="34" t="str">
        <f aca="false">IF(B331="","",IF(MONTH(B331)=3,"X",""))</f>
        <v/>
      </c>
      <c r="M331" s="34" t="str">
        <f aca="false">IF(B331="","",IF(MONTH(B331)=4,"X",""))</f>
        <v/>
      </c>
      <c r="N331" s="34" t="str">
        <f aca="false">IF(B331="","",IF(MONTH(B331)=5,"X",""))</f>
        <v/>
      </c>
      <c r="O331" s="34" t="str">
        <f aca="false">IF(B331="","",IF(MONTH(B331)=6,"X",""))</f>
        <v/>
      </c>
      <c r="P331" s="34" t="str">
        <f aca="false">IF(B331="","",IF(MONTH(B331)=7,"X",""))</f>
        <v/>
      </c>
      <c r="Q331" s="34" t="str">
        <f aca="false">IF(B331="","",IF(MONTH(B331)=8,"X",""))</f>
        <v/>
      </c>
      <c r="R331" s="34" t="str">
        <f aca="false">IF(B331="","",IF(MONTH(B331)=9,"X",""))</f>
        <v/>
      </c>
      <c r="S331" s="34" t="str">
        <f aca="false">IF(B331="","",IF(MONTH(B331)=10,"X",""))</f>
        <v/>
      </c>
      <c r="T331" s="34" t="str">
        <f aca="false">IF(B331="","",IF(MONTH(B331)=11,"X",""))</f>
        <v/>
      </c>
      <c r="U331" s="34" t="str">
        <f aca="false">IF(B331="","",IF(MONTH(B331)=12,"X",""))</f>
        <v/>
      </c>
      <c r="V331" s="24" t="str">
        <f aca="false">IF(E331="","",COUNTIF($E$5:$E$1000,E331))</f>
        <v/>
      </c>
      <c r="W331" s="35" t="str">
        <f aca="false">IF(E331="","",_xlfn.TEXTJOIN(" + ",TRUE(),IF(COUNTIFS($E$5:$E$1000,E331,$C$5:$C$1000,"Auditoría Interna")&gt;0,"Interna",""),IF(COUNTIFS($E$5:$E$1000,E331,$C$5:$C$1000,"Auditoría Externa")&gt;0,"Externa",""),IF(COUNTIFS($E$5:$E$1000,E331,$C$5:$C$1000,"SSF")&gt;0,"SSF",""),IF(COUNTIFS($E$5:$E$1000,E331,$C$5:$C$1000,"Comité de Supervisión")&gt;0,"Comité Sup.",""),IF(COUNTIFS($E$5:$E$1000,E331,$C$5:$C$1000,"Consejo de Administración")&gt;0,"Consejo",""),IF(COUNTIFS($E$5:$E$1000,E331,$C$5:$C$1000,"Otros")&gt;0,"Otros","")))</f>
        <v/>
      </c>
      <c r="X331" s="24" t="str">
        <f aca="false">IF(E331="","",COUNTIFS($E$5:$E$1000,E331,$AB$5:$AB$1000,AB331,$C$5:$C$1000,"&lt;&gt;"&amp;C331))</f>
        <v/>
      </c>
      <c r="Y331" s="33"/>
      <c r="Z331" s="31"/>
      <c r="AA331" s="33"/>
      <c r="AB331" s="37" t="str">
        <f aca="false">IF(B331="","",YEAR(B331)*100+MONTH(B331))</f>
        <v/>
      </c>
      <c r="AC331" s="37" t="str">
        <f aca="false">IF(AND(E331&lt;&gt;"",E331=Cruce!$C$5),COUNTIF($E$5:E331,E331),"")</f>
        <v/>
      </c>
      <c r="AD331" s="37" t="str">
        <f aca="false">IF(E331="","",C331&amp;"|"&amp;Y331&amp;"|"&amp;IF(B331="","s/f",TEXT(B331,"yyyymmdd")))</f>
        <v/>
      </c>
      <c r="AE331" s="37" t="n">
        <f aca="false">IF(E331="",0,IF(COUNTIFS($E$5:E331,E331,$AD$5:AD331,AD331)=1,1,0))</f>
        <v>0</v>
      </c>
    </row>
    <row r="332" customFormat="false" ht="15" hidden="false" customHeight="true" outlineLevel="0" collapsed="false">
      <c r="A332" s="31"/>
      <c r="B332" s="30"/>
      <c r="C332" s="31"/>
      <c r="D332" s="31"/>
      <c r="E332" s="32"/>
      <c r="F332" s="32"/>
      <c r="G332" s="33"/>
      <c r="H332" s="31"/>
      <c r="I332" s="24" t="str">
        <f aca="false">IF(B332="","",YEAR(B332))</f>
        <v/>
      </c>
      <c r="J332" s="34" t="str">
        <f aca="false">IF(B332="","",IF(MONTH(B332)=1,"X",""))</f>
        <v/>
      </c>
      <c r="K332" s="34" t="str">
        <f aca="false">IF(B332="","",IF(MONTH(B332)=2,"X",""))</f>
        <v/>
      </c>
      <c r="L332" s="34" t="str">
        <f aca="false">IF(B332="","",IF(MONTH(B332)=3,"X",""))</f>
        <v/>
      </c>
      <c r="M332" s="34" t="str">
        <f aca="false">IF(B332="","",IF(MONTH(B332)=4,"X",""))</f>
        <v/>
      </c>
      <c r="N332" s="34" t="str">
        <f aca="false">IF(B332="","",IF(MONTH(B332)=5,"X",""))</f>
        <v/>
      </c>
      <c r="O332" s="34" t="str">
        <f aca="false">IF(B332="","",IF(MONTH(B332)=6,"X",""))</f>
        <v/>
      </c>
      <c r="P332" s="34" t="str">
        <f aca="false">IF(B332="","",IF(MONTH(B332)=7,"X",""))</f>
        <v/>
      </c>
      <c r="Q332" s="34" t="str">
        <f aca="false">IF(B332="","",IF(MONTH(B332)=8,"X",""))</f>
        <v/>
      </c>
      <c r="R332" s="34" t="str">
        <f aca="false">IF(B332="","",IF(MONTH(B332)=9,"X",""))</f>
        <v/>
      </c>
      <c r="S332" s="34" t="str">
        <f aca="false">IF(B332="","",IF(MONTH(B332)=10,"X",""))</f>
        <v/>
      </c>
      <c r="T332" s="34" t="str">
        <f aca="false">IF(B332="","",IF(MONTH(B332)=11,"X",""))</f>
        <v/>
      </c>
      <c r="U332" s="34" t="str">
        <f aca="false">IF(B332="","",IF(MONTH(B332)=12,"X",""))</f>
        <v/>
      </c>
      <c r="V332" s="24" t="str">
        <f aca="false">IF(E332="","",COUNTIF($E$5:$E$1000,E332))</f>
        <v/>
      </c>
      <c r="W332" s="35" t="str">
        <f aca="false">IF(E332="","",_xlfn.TEXTJOIN(" + ",TRUE(),IF(COUNTIFS($E$5:$E$1000,E332,$C$5:$C$1000,"Auditoría Interna")&gt;0,"Interna",""),IF(COUNTIFS($E$5:$E$1000,E332,$C$5:$C$1000,"Auditoría Externa")&gt;0,"Externa",""),IF(COUNTIFS($E$5:$E$1000,E332,$C$5:$C$1000,"SSF")&gt;0,"SSF",""),IF(COUNTIFS($E$5:$E$1000,E332,$C$5:$C$1000,"Comité de Supervisión")&gt;0,"Comité Sup.",""),IF(COUNTIFS($E$5:$E$1000,E332,$C$5:$C$1000,"Consejo de Administración")&gt;0,"Consejo",""),IF(COUNTIFS($E$5:$E$1000,E332,$C$5:$C$1000,"Otros")&gt;0,"Otros","")))</f>
        <v/>
      </c>
      <c r="X332" s="24" t="str">
        <f aca="false">IF(E332="","",COUNTIFS($E$5:$E$1000,E332,$AB$5:$AB$1000,AB332,$C$5:$C$1000,"&lt;&gt;"&amp;C332))</f>
        <v/>
      </c>
      <c r="Y332" s="33"/>
      <c r="Z332" s="31"/>
      <c r="AA332" s="33"/>
      <c r="AB332" s="37" t="str">
        <f aca="false">IF(B332="","",YEAR(B332)*100+MONTH(B332))</f>
        <v/>
      </c>
      <c r="AC332" s="37" t="str">
        <f aca="false">IF(AND(E332&lt;&gt;"",E332=Cruce!$C$5),COUNTIF($E$5:E332,E332),"")</f>
        <v/>
      </c>
      <c r="AD332" s="37" t="str">
        <f aca="false">IF(E332="","",C332&amp;"|"&amp;Y332&amp;"|"&amp;IF(B332="","s/f",TEXT(B332,"yyyymmdd")))</f>
        <v/>
      </c>
      <c r="AE332" s="37" t="n">
        <f aca="false">IF(E332="",0,IF(COUNTIFS($E$5:E332,E332,$AD$5:AD332,AD332)=1,1,0))</f>
        <v>0</v>
      </c>
    </row>
    <row r="333" customFormat="false" ht="15" hidden="false" customHeight="true" outlineLevel="0" collapsed="false">
      <c r="A333" s="31"/>
      <c r="B333" s="30"/>
      <c r="C333" s="31"/>
      <c r="D333" s="31"/>
      <c r="E333" s="32"/>
      <c r="F333" s="32"/>
      <c r="G333" s="33"/>
      <c r="H333" s="31"/>
      <c r="I333" s="24" t="str">
        <f aca="false">IF(B333="","",YEAR(B333))</f>
        <v/>
      </c>
      <c r="J333" s="34" t="str">
        <f aca="false">IF(B333="","",IF(MONTH(B333)=1,"X",""))</f>
        <v/>
      </c>
      <c r="K333" s="34" t="str">
        <f aca="false">IF(B333="","",IF(MONTH(B333)=2,"X",""))</f>
        <v/>
      </c>
      <c r="L333" s="34" t="str">
        <f aca="false">IF(B333="","",IF(MONTH(B333)=3,"X",""))</f>
        <v/>
      </c>
      <c r="M333" s="34" t="str">
        <f aca="false">IF(B333="","",IF(MONTH(B333)=4,"X",""))</f>
        <v/>
      </c>
      <c r="N333" s="34" t="str">
        <f aca="false">IF(B333="","",IF(MONTH(B333)=5,"X",""))</f>
        <v/>
      </c>
      <c r="O333" s="34" t="str">
        <f aca="false">IF(B333="","",IF(MONTH(B333)=6,"X",""))</f>
        <v/>
      </c>
      <c r="P333" s="34" t="str">
        <f aca="false">IF(B333="","",IF(MONTH(B333)=7,"X",""))</f>
        <v/>
      </c>
      <c r="Q333" s="34" t="str">
        <f aca="false">IF(B333="","",IF(MONTH(B333)=8,"X",""))</f>
        <v/>
      </c>
      <c r="R333" s="34" t="str">
        <f aca="false">IF(B333="","",IF(MONTH(B333)=9,"X",""))</f>
        <v/>
      </c>
      <c r="S333" s="34" t="str">
        <f aca="false">IF(B333="","",IF(MONTH(B333)=10,"X",""))</f>
        <v/>
      </c>
      <c r="T333" s="34" t="str">
        <f aca="false">IF(B333="","",IF(MONTH(B333)=11,"X",""))</f>
        <v/>
      </c>
      <c r="U333" s="34" t="str">
        <f aca="false">IF(B333="","",IF(MONTH(B333)=12,"X",""))</f>
        <v/>
      </c>
      <c r="V333" s="24" t="str">
        <f aca="false">IF(E333="","",COUNTIF($E$5:$E$1000,E333))</f>
        <v/>
      </c>
      <c r="W333" s="35" t="str">
        <f aca="false">IF(E333="","",_xlfn.TEXTJOIN(" + ",TRUE(),IF(COUNTIFS($E$5:$E$1000,E333,$C$5:$C$1000,"Auditoría Interna")&gt;0,"Interna",""),IF(COUNTIFS($E$5:$E$1000,E333,$C$5:$C$1000,"Auditoría Externa")&gt;0,"Externa",""),IF(COUNTIFS($E$5:$E$1000,E333,$C$5:$C$1000,"SSF")&gt;0,"SSF",""),IF(COUNTIFS($E$5:$E$1000,E333,$C$5:$C$1000,"Comité de Supervisión")&gt;0,"Comité Sup.",""),IF(COUNTIFS($E$5:$E$1000,E333,$C$5:$C$1000,"Consejo de Administración")&gt;0,"Consejo",""),IF(COUNTIFS($E$5:$E$1000,E333,$C$5:$C$1000,"Otros")&gt;0,"Otros","")))</f>
        <v/>
      </c>
      <c r="X333" s="24" t="str">
        <f aca="false">IF(E333="","",COUNTIFS($E$5:$E$1000,E333,$AB$5:$AB$1000,AB333,$C$5:$C$1000,"&lt;&gt;"&amp;C333))</f>
        <v/>
      </c>
      <c r="Y333" s="33"/>
      <c r="Z333" s="31"/>
      <c r="AA333" s="33"/>
      <c r="AB333" s="37" t="str">
        <f aca="false">IF(B333="","",YEAR(B333)*100+MONTH(B333))</f>
        <v/>
      </c>
      <c r="AC333" s="37" t="str">
        <f aca="false">IF(AND(E333&lt;&gt;"",E333=Cruce!$C$5),COUNTIF($E$5:E333,E333),"")</f>
        <v/>
      </c>
      <c r="AD333" s="37" t="str">
        <f aca="false">IF(E333="","",C333&amp;"|"&amp;Y333&amp;"|"&amp;IF(B333="","s/f",TEXT(B333,"yyyymmdd")))</f>
        <v/>
      </c>
      <c r="AE333" s="37" t="n">
        <f aca="false">IF(E333="",0,IF(COUNTIFS($E$5:E333,E333,$AD$5:AD333,AD333)=1,1,0))</f>
        <v>0</v>
      </c>
    </row>
    <row r="334" customFormat="false" ht="15" hidden="false" customHeight="true" outlineLevel="0" collapsed="false">
      <c r="A334" s="31"/>
      <c r="B334" s="30"/>
      <c r="C334" s="31"/>
      <c r="D334" s="31"/>
      <c r="E334" s="32"/>
      <c r="F334" s="32"/>
      <c r="G334" s="33"/>
      <c r="H334" s="31"/>
      <c r="I334" s="24" t="str">
        <f aca="false">IF(B334="","",YEAR(B334))</f>
        <v/>
      </c>
      <c r="J334" s="34" t="str">
        <f aca="false">IF(B334="","",IF(MONTH(B334)=1,"X",""))</f>
        <v/>
      </c>
      <c r="K334" s="34" t="str">
        <f aca="false">IF(B334="","",IF(MONTH(B334)=2,"X",""))</f>
        <v/>
      </c>
      <c r="L334" s="34" t="str">
        <f aca="false">IF(B334="","",IF(MONTH(B334)=3,"X",""))</f>
        <v/>
      </c>
      <c r="M334" s="34" t="str">
        <f aca="false">IF(B334="","",IF(MONTH(B334)=4,"X",""))</f>
        <v/>
      </c>
      <c r="N334" s="34" t="str">
        <f aca="false">IF(B334="","",IF(MONTH(B334)=5,"X",""))</f>
        <v/>
      </c>
      <c r="O334" s="34" t="str">
        <f aca="false">IF(B334="","",IF(MONTH(B334)=6,"X",""))</f>
        <v/>
      </c>
      <c r="P334" s="34" t="str">
        <f aca="false">IF(B334="","",IF(MONTH(B334)=7,"X",""))</f>
        <v/>
      </c>
      <c r="Q334" s="34" t="str">
        <f aca="false">IF(B334="","",IF(MONTH(B334)=8,"X",""))</f>
        <v/>
      </c>
      <c r="R334" s="34" t="str">
        <f aca="false">IF(B334="","",IF(MONTH(B334)=9,"X",""))</f>
        <v/>
      </c>
      <c r="S334" s="34" t="str">
        <f aca="false">IF(B334="","",IF(MONTH(B334)=10,"X",""))</f>
        <v/>
      </c>
      <c r="T334" s="34" t="str">
        <f aca="false">IF(B334="","",IF(MONTH(B334)=11,"X",""))</f>
        <v/>
      </c>
      <c r="U334" s="34" t="str">
        <f aca="false">IF(B334="","",IF(MONTH(B334)=12,"X",""))</f>
        <v/>
      </c>
      <c r="V334" s="24" t="str">
        <f aca="false">IF(E334="","",COUNTIF($E$5:$E$1000,E334))</f>
        <v/>
      </c>
      <c r="W334" s="35" t="str">
        <f aca="false">IF(E334="","",_xlfn.TEXTJOIN(" + ",TRUE(),IF(COUNTIFS($E$5:$E$1000,E334,$C$5:$C$1000,"Auditoría Interna")&gt;0,"Interna",""),IF(COUNTIFS($E$5:$E$1000,E334,$C$5:$C$1000,"Auditoría Externa")&gt;0,"Externa",""),IF(COUNTIFS($E$5:$E$1000,E334,$C$5:$C$1000,"SSF")&gt;0,"SSF",""),IF(COUNTIFS($E$5:$E$1000,E334,$C$5:$C$1000,"Comité de Supervisión")&gt;0,"Comité Sup.",""),IF(COUNTIFS($E$5:$E$1000,E334,$C$5:$C$1000,"Consejo de Administración")&gt;0,"Consejo",""),IF(COUNTIFS($E$5:$E$1000,E334,$C$5:$C$1000,"Otros")&gt;0,"Otros","")))</f>
        <v/>
      </c>
      <c r="X334" s="24" t="str">
        <f aca="false">IF(E334="","",COUNTIFS($E$5:$E$1000,E334,$AB$5:$AB$1000,AB334,$C$5:$C$1000,"&lt;&gt;"&amp;C334))</f>
        <v/>
      </c>
      <c r="Y334" s="33"/>
      <c r="Z334" s="31"/>
      <c r="AA334" s="33"/>
      <c r="AB334" s="37" t="str">
        <f aca="false">IF(B334="","",YEAR(B334)*100+MONTH(B334))</f>
        <v/>
      </c>
      <c r="AC334" s="37" t="str">
        <f aca="false">IF(AND(E334&lt;&gt;"",E334=Cruce!$C$5),COUNTIF($E$5:E334,E334),"")</f>
        <v/>
      </c>
      <c r="AD334" s="37" t="str">
        <f aca="false">IF(E334="","",C334&amp;"|"&amp;Y334&amp;"|"&amp;IF(B334="","s/f",TEXT(B334,"yyyymmdd")))</f>
        <v/>
      </c>
      <c r="AE334" s="37" t="n">
        <f aca="false">IF(E334="",0,IF(COUNTIFS($E$5:E334,E334,$AD$5:AD334,AD334)=1,1,0))</f>
        <v>0</v>
      </c>
    </row>
    <row r="335" customFormat="false" ht="15" hidden="false" customHeight="true" outlineLevel="0" collapsed="false">
      <c r="A335" s="31"/>
      <c r="B335" s="30"/>
      <c r="C335" s="31"/>
      <c r="D335" s="31"/>
      <c r="E335" s="32"/>
      <c r="F335" s="32"/>
      <c r="G335" s="33"/>
      <c r="H335" s="31"/>
      <c r="I335" s="24" t="str">
        <f aca="false">IF(B335="","",YEAR(B335))</f>
        <v/>
      </c>
      <c r="J335" s="34" t="str">
        <f aca="false">IF(B335="","",IF(MONTH(B335)=1,"X",""))</f>
        <v/>
      </c>
      <c r="K335" s="34" t="str">
        <f aca="false">IF(B335="","",IF(MONTH(B335)=2,"X",""))</f>
        <v/>
      </c>
      <c r="L335" s="34" t="str">
        <f aca="false">IF(B335="","",IF(MONTH(B335)=3,"X",""))</f>
        <v/>
      </c>
      <c r="M335" s="34" t="str">
        <f aca="false">IF(B335="","",IF(MONTH(B335)=4,"X",""))</f>
        <v/>
      </c>
      <c r="N335" s="34" t="str">
        <f aca="false">IF(B335="","",IF(MONTH(B335)=5,"X",""))</f>
        <v/>
      </c>
      <c r="O335" s="34" t="str">
        <f aca="false">IF(B335="","",IF(MONTH(B335)=6,"X",""))</f>
        <v/>
      </c>
      <c r="P335" s="34" t="str">
        <f aca="false">IF(B335="","",IF(MONTH(B335)=7,"X",""))</f>
        <v/>
      </c>
      <c r="Q335" s="34" t="str">
        <f aca="false">IF(B335="","",IF(MONTH(B335)=8,"X",""))</f>
        <v/>
      </c>
      <c r="R335" s="34" t="str">
        <f aca="false">IF(B335="","",IF(MONTH(B335)=9,"X",""))</f>
        <v/>
      </c>
      <c r="S335" s="34" t="str">
        <f aca="false">IF(B335="","",IF(MONTH(B335)=10,"X",""))</f>
        <v/>
      </c>
      <c r="T335" s="34" t="str">
        <f aca="false">IF(B335="","",IF(MONTH(B335)=11,"X",""))</f>
        <v/>
      </c>
      <c r="U335" s="34" t="str">
        <f aca="false">IF(B335="","",IF(MONTH(B335)=12,"X",""))</f>
        <v/>
      </c>
      <c r="V335" s="24" t="str">
        <f aca="false">IF(E335="","",COUNTIF($E$5:$E$1000,E335))</f>
        <v/>
      </c>
      <c r="W335" s="35" t="str">
        <f aca="false">IF(E335="","",_xlfn.TEXTJOIN(" + ",TRUE(),IF(COUNTIFS($E$5:$E$1000,E335,$C$5:$C$1000,"Auditoría Interna")&gt;0,"Interna",""),IF(COUNTIFS($E$5:$E$1000,E335,$C$5:$C$1000,"Auditoría Externa")&gt;0,"Externa",""),IF(COUNTIFS($E$5:$E$1000,E335,$C$5:$C$1000,"SSF")&gt;0,"SSF",""),IF(COUNTIFS($E$5:$E$1000,E335,$C$5:$C$1000,"Comité de Supervisión")&gt;0,"Comité Sup.",""),IF(COUNTIFS($E$5:$E$1000,E335,$C$5:$C$1000,"Consejo de Administración")&gt;0,"Consejo",""),IF(COUNTIFS($E$5:$E$1000,E335,$C$5:$C$1000,"Otros")&gt;0,"Otros","")))</f>
        <v/>
      </c>
      <c r="X335" s="24" t="str">
        <f aca="false">IF(E335="","",COUNTIFS($E$5:$E$1000,E335,$AB$5:$AB$1000,AB335,$C$5:$C$1000,"&lt;&gt;"&amp;C335))</f>
        <v/>
      </c>
      <c r="Y335" s="33"/>
      <c r="Z335" s="31"/>
      <c r="AA335" s="33"/>
      <c r="AB335" s="37" t="str">
        <f aca="false">IF(B335="","",YEAR(B335)*100+MONTH(B335))</f>
        <v/>
      </c>
      <c r="AC335" s="37" t="str">
        <f aca="false">IF(AND(E335&lt;&gt;"",E335=Cruce!$C$5),COUNTIF($E$5:E335,E335),"")</f>
        <v/>
      </c>
      <c r="AD335" s="37" t="str">
        <f aca="false">IF(E335="","",C335&amp;"|"&amp;Y335&amp;"|"&amp;IF(B335="","s/f",TEXT(B335,"yyyymmdd")))</f>
        <v/>
      </c>
      <c r="AE335" s="37" t="n">
        <f aca="false">IF(E335="",0,IF(COUNTIFS($E$5:E335,E335,$AD$5:AD335,AD335)=1,1,0))</f>
        <v>0</v>
      </c>
    </row>
    <row r="336" customFormat="false" ht="15" hidden="false" customHeight="true" outlineLevel="0" collapsed="false">
      <c r="A336" s="31"/>
      <c r="B336" s="30"/>
      <c r="C336" s="31"/>
      <c r="D336" s="31"/>
      <c r="E336" s="32"/>
      <c r="F336" s="32"/>
      <c r="G336" s="33"/>
      <c r="H336" s="31"/>
      <c r="I336" s="24" t="str">
        <f aca="false">IF(B336="","",YEAR(B336))</f>
        <v/>
      </c>
      <c r="J336" s="34" t="str">
        <f aca="false">IF(B336="","",IF(MONTH(B336)=1,"X",""))</f>
        <v/>
      </c>
      <c r="K336" s="34" t="str">
        <f aca="false">IF(B336="","",IF(MONTH(B336)=2,"X",""))</f>
        <v/>
      </c>
      <c r="L336" s="34" t="str">
        <f aca="false">IF(B336="","",IF(MONTH(B336)=3,"X",""))</f>
        <v/>
      </c>
      <c r="M336" s="34" t="str">
        <f aca="false">IF(B336="","",IF(MONTH(B336)=4,"X",""))</f>
        <v/>
      </c>
      <c r="N336" s="34" t="str">
        <f aca="false">IF(B336="","",IF(MONTH(B336)=5,"X",""))</f>
        <v/>
      </c>
      <c r="O336" s="34" t="str">
        <f aca="false">IF(B336="","",IF(MONTH(B336)=6,"X",""))</f>
        <v/>
      </c>
      <c r="P336" s="34" t="str">
        <f aca="false">IF(B336="","",IF(MONTH(B336)=7,"X",""))</f>
        <v/>
      </c>
      <c r="Q336" s="34" t="str">
        <f aca="false">IF(B336="","",IF(MONTH(B336)=8,"X",""))</f>
        <v/>
      </c>
      <c r="R336" s="34" t="str">
        <f aca="false">IF(B336="","",IF(MONTH(B336)=9,"X",""))</f>
        <v/>
      </c>
      <c r="S336" s="34" t="str">
        <f aca="false">IF(B336="","",IF(MONTH(B336)=10,"X",""))</f>
        <v/>
      </c>
      <c r="T336" s="34" t="str">
        <f aca="false">IF(B336="","",IF(MONTH(B336)=11,"X",""))</f>
        <v/>
      </c>
      <c r="U336" s="34" t="str">
        <f aca="false">IF(B336="","",IF(MONTH(B336)=12,"X",""))</f>
        <v/>
      </c>
      <c r="V336" s="24" t="str">
        <f aca="false">IF(E336="","",COUNTIF($E$5:$E$1000,E336))</f>
        <v/>
      </c>
      <c r="W336" s="35" t="str">
        <f aca="false">IF(E336="","",_xlfn.TEXTJOIN(" + ",TRUE(),IF(COUNTIFS($E$5:$E$1000,E336,$C$5:$C$1000,"Auditoría Interna")&gt;0,"Interna",""),IF(COUNTIFS($E$5:$E$1000,E336,$C$5:$C$1000,"Auditoría Externa")&gt;0,"Externa",""),IF(COUNTIFS($E$5:$E$1000,E336,$C$5:$C$1000,"SSF")&gt;0,"SSF",""),IF(COUNTIFS($E$5:$E$1000,E336,$C$5:$C$1000,"Comité de Supervisión")&gt;0,"Comité Sup.",""),IF(COUNTIFS($E$5:$E$1000,E336,$C$5:$C$1000,"Consejo de Administración")&gt;0,"Consejo",""),IF(COUNTIFS($E$5:$E$1000,E336,$C$5:$C$1000,"Otros")&gt;0,"Otros","")))</f>
        <v/>
      </c>
      <c r="X336" s="24" t="str">
        <f aca="false">IF(E336="","",COUNTIFS($E$5:$E$1000,E336,$AB$5:$AB$1000,AB336,$C$5:$C$1000,"&lt;&gt;"&amp;C336))</f>
        <v/>
      </c>
      <c r="Y336" s="33"/>
      <c r="Z336" s="31"/>
      <c r="AA336" s="33"/>
      <c r="AB336" s="37" t="str">
        <f aca="false">IF(B336="","",YEAR(B336)*100+MONTH(B336))</f>
        <v/>
      </c>
      <c r="AC336" s="37" t="str">
        <f aca="false">IF(AND(E336&lt;&gt;"",E336=Cruce!$C$5),COUNTIF($E$5:E336,E336),"")</f>
        <v/>
      </c>
      <c r="AD336" s="37" t="str">
        <f aca="false">IF(E336="","",C336&amp;"|"&amp;Y336&amp;"|"&amp;IF(B336="","s/f",TEXT(B336,"yyyymmdd")))</f>
        <v/>
      </c>
      <c r="AE336" s="37" t="n">
        <f aca="false">IF(E336="",0,IF(COUNTIFS($E$5:E336,E336,$AD$5:AD336,AD336)=1,1,0))</f>
        <v>0</v>
      </c>
    </row>
    <row r="337" customFormat="false" ht="15" hidden="false" customHeight="true" outlineLevel="0" collapsed="false">
      <c r="A337" s="31"/>
      <c r="B337" s="30"/>
      <c r="C337" s="31"/>
      <c r="D337" s="31"/>
      <c r="E337" s="32"/>
      <c r="F337" s="32"/>
      <c r="G337" s="33"/>
      <c r="H337" s="31"/>
      <c r="I337" s="24" t="str">
        <f aca="false">IF(B337="","",YEAR(B337))</f>
        <v/>
      </c>
      <c r="J337" s="34" t="str">
        <f aca="false">IF(B337="","",IF(MONTH(B337)=1,"X",""))</f>
        <v/>
      </c>
      <c r="K337" s="34" t="str">
        <f aca="false">IF(B337="","",IF(MONTH(B337)=2,"X",""))</f>
        <v/>
      </c>
      <c r="L337" s="34" t="str">
        <f aca="false">IF(B337="","",IF(MONTH(B337)=3,"X",""))</f>
        <v/>
      </c>
      <c r="M337" s="34" t="str">
        <f aca="false">IF(B337="","",IF(MONTH(B337)=4,"X",""))</f>
        <v/>
      </c>
      <c r="N337" s="34" t="str">
        <f aca="false">IF(B337="","",IF(MONTH(B337)=5,"X",""))</f>
        <v/>
      </c>
      <c r="O337" s="34" t="str">
        <f aca="false">IF(B337="","",IF(MONTH(B337)=6,"X",""))</f>
        <v/>
      </c>
      <c r="P337" s="34" t="str">
        <f aca="false">IF(B337="","",IF(MONTH(B337)=7,"X",""))</f>
        <v/>
      </c>
      <c r="Q337" s="34" t="str">
        <f aca="false">IF(B337="","",IF(MONTH(B337)=8,"X",""))</f>
        <v/>
      </c>
      <c r="R337" s="34" t="str">
        <f aca="false">IF(B337="","",IF(MONTH(B337)=9,"X",""))</f>
        <v/>
      </c>
      <c r="S337" s="34" t="str">
        <f aca="false">IF(B337="","",IF(MONTH(B337)=10,"X",""))</f>
        <v/>
      </c>
      <c r="T337" s="34" t="str">
        <f aca="false">IF(B337="","",IF(MONTH(B337)=11,"X",""))</f>
        <v/>
      </c>
      <c r="U337" s="34" t="str">
        <f aca="false">IF(B337="","",IF(MONTH(B337)=12,"X",""))</f>
        <v/>
      </c>
      <c r="V337" s="24" t="str">
        <f aca="false">IF(E337="","",COUNTIF($E$5:$E$1000,E337))</f>
        <v/>
      </c>
      <c r="W337" s="35" t="str">
        <f aca="false">IF(E337="","",_xlfn.TEXTJOIN(" + ",TRUE(),IF(COUNTIFS($E$5:$E$1000,E337,$C$5:$C$1000,"Auditoría Interna")&gt;0,"Interna",""),IF(COUNTIFS($E$5:$E$1000,E337,$C$5:$C$1000,"Auditoría Externa")&gt;0,"Externa",""),IF(COUNTIFS($E$5:$E$1000,E337,$C$5:$C$1000,"SSF")&gt;0,"SSF",""),IF(COUNTIFS($E$5:$E$1000,E337,$C$5:$C$1000,"Comité de Supervisión")&gt;0,"Comité Sup.",""),IF(COUNTIFS($E$5:$E$1000,E337,$C$5:$C$1000,"Consejo de Administración")&gt;0,"Consejo",""),IF(COUNTIFS($E$5:$E$1000,E337,$C$5:$C$1000,"Otros")&gt;0,"Otros","")))</f>
        <v/>
      </c>
      <c r="X337" s="24" t="str">
        <f aca="false">IF(E337="","",COUNTIFS($E$5:$E$1000,E337,$AB$5:$AB$1000,AB337,$C$5:$C$1000,"&lt;&gt;"&amp;C337))</f>
        <v/>
      </c>
      <c r="Y337" s="33"/>
      <c r="Z337" s="31"/>
      <c r="AA337" s="33"/>
      <c r="AB337" s="37" t="str">
        <f aca="false">IF(B337="","",YEAR(B337)*100+MONTH(B337))</f>
        <v/>
      </c>
      <c r="AC337" s="37" t="str">
        <f aca="false">IF(AND(E337&lt;&gt;"",E337=Cruce!$C$5),COUNTIF($E$5:E337,E337),"")</f>
        <v/>
      </c>
      <c r="AD337" s="37" t="str">
        <f aca="false">IF(E337="","",C337&amp;"|"&amp;Y337&amp;"|"&amp;IF(B337="","s/f",TEXT(B337,"yyyymmdd")))</f>
        <v/>
      </c>
      <c r="AE337" s="37" t="n">
        <f aca="false">IF(E337="",0,IF(COUNTIFS($E$5:E337,E337,$AD$5:AD337,AD337)=1,1,0))</f>
        <v>0</v>
      </c>
    </row>
    <row r="338" customFormat="false" ht="15" hidden="false" customHeight="true" outlineLevel="0" collapsed="false">
      <c r="A338" s="31"/>
      <c r="B338" s="30"/>
      <c r="C338" s="31"/>
      <c r="D338" s="31"/>
      <c r="E338" s="32"/>
      <c r="F338" s="32"/>
      <c r="G338" s="33"/>
      <c r="H338" s="31"/>
      <c r="I338" s="24" t="str">
        <f aca="false">IF(B338="","",YEAR(B338))</f>
        <v/>
      </c>
      <c r="J338" s="34" t="str">
        <f aca="false">IF(B338="","",IF(MONTH(B338)=1,"X",""))</f>
        <v/>
      </c>
      <c r="K338" s="34" t="str">
        <f aca="false">IF(B338="","",IF(MONTH(B338)=2,"X",""))</f>
        <v/>
      </c>
      <c r="L338" s="34" t="str">
        <f aca="false">IF(B338="","",IF(MONTH(B338)=3,"X",""))</f>
        <v/>
      </c>
      <c r="M338" s="34" t="str">
        <f aca="false">IF(B338="","",IF(MONTH(B338)=4,"X",""))</f>
        <v/>
      </c>
      <c r="N338" s="34" t="str">
        <f aca="false">IF(B338="","",IF(MONTH(B338)=5,"X",""))</f>
        <v/>
      </c>
      <c r="O338" s="34" t="str">
        <f aca="false">IF(B338="","",IF(MONTH(B338)=6,"X",""))</f>
        <v/>
      </c>
      <c r="P338" s="34" t="str">
        <f aca="false">IF(B338="","",IF(MONTH(B338)=7,"X",""))</f>
        <v/>
      </c>
      <c r="Q338" s="34" t="str">
        <f aca="false">IF(B338="","",IF(MONTH(B338)=8,"X",""))</f>
        <v/>
      </c>
      <c r="R338" s="34" t="str">
        <f aca="false">IF(B338="","",IF(MONTH(B338)=9,"X",""))</f>
        <v/>
      </c>
      <c r="S338" s="34" t="str">
        <f aca="false">IF(B338="","",IF(MONTH(B338)=10,"X",""))</f>
        <v/>
      </c>
      <c r="T338" s="34" t="str">
        <f aca="false">IF(B338="","",IF(MONTH(B338)=11,"X",""))</f>
        <v/>
      </c>
      <c r="U338" s="34" t="str">
        <f aca="false">IF(B338="","",IF(MONTH(B338)=12,"X",""))</f>
        <v/>
      </c>
      <c r="V338" s="24" t="str">
        <f aca="false">IF(E338="","",COUNTIF($E$5:$E$1000,E338))</f>
        <v/>
      </c>
      <c r="W338" s="35" t="str">
        <f aca="false">IF(E338="","",_xlfn.TEXTJOIN(" + ",TRUE(),IF(COUNTIFS($E$5:$E$1000,E338,$C$5:$C$1000,"Auditoría Interna")&gt;0,"Interna",""),IF(COUNTIFS($E$5:$E$1000,E338,$C$5:$C$1000,"Auditoría Externa")&gt;0,"Externa",""),IF(COUNTIFS($E$5:$E$1000,E338,$C$5:$C$1000,"SSF")&gt;0,"SSF",""),IF(COUNTIFS($E$5:$E$1000,E338,$C$5:$C$1000,"Comité de Supervisión")&gt;0,"Comité Sup.",""),IF(COUNTIFS($E$5:$E$1000,E338,$C$5:$C$1000,"Consejo de Administración")&gt;0,"Consejo",""),IF(COUNTIFS($E$5:$E$1000,E338,$C$5:$C$1000,"Otros")&gt;0,"Otros","")))</f>
        <v/>
      </c>
      <c r="X338" s="24" t="str">
        <f aca="false">IF(E338="","",COUNTIFS($E$5:$E$1000,E338,$AB$5:$AB$1000,AB338,$C$5:$C$1000,"&lt;&gt;"&amp;C338))</f>
        <v/>
      </c>
      <c r="Y338" s="33"/>
      <c r="Z338" s="31"/>
      <c r="AA338" s="33"/>
      <c r="AB338" s="37" t="str">
        <f aca="false">IF(B338="","",YEAR(B338)*100+MONTH(B338))</f>
        <v/>
      </c>
      <c r="AC338" s="37" t="str">
        <f aca="false">IF(AND(E338&lt;&gt;"",E338=Cruce!$C$5),COUNTIF($E$5:E338,E338),"")</f>
        <v/>
      </c>
      <c r="AD338" s="37" t="str">
        <f aca="false">IF(E338="","",C338&amp;"|"&amp;Y338&amp;"|"&amp;IF(B338="","s/f",TEXT(B338,"yyyymmdd")))</f>
        <v/>
      </c>
      <c r="AE338" s="37" t="n">
        <f aca="false">IF(E338="",0,IF(COUNTIFS($E$5:E338,E338,$AD$5:AD338,AD338)=1,1,0))</f>
        <v>0</v>
      </c>
    </row>
    <row r="339" customFormat="false" ht="15" hidden="false" customHeight="true" outlineLevel="0" collapsed="false">
      <c r="A339" s="31"/>
      <c r="B339" s="30"/>
      <c r="C339" s="31"/>
      <c r="D339" s="31"/>
      <c r="E339" s="32"/>
      <c r="F339" s="32"/>
      <c r="G339" s="33"/>
      <c r="H339" s="31"/>
      <c r="I339" s="24" t="str">
        <f aca="false">IF(B339="","",YEAR(B339))</f>
        <v/>
      </c>
      <c r="J339" s="34" t="str">
        <f aca="false">IF(B339="","",IF(MONTH(B339)=1,"X",""))</f>
        <v/>
      </c>
      <c r="K339" s="34" t="str">
        <f aca="false">IF(B339="","",IF(MONTH(B339)=2,"X",""))</f>
        <v/>
      </c>
      <c r="L339" s="34" t="str">
        <f aca="false">IF(B339="","",IF(MONTH(B339)=3,"X",""))</f>
        <v/>
      </c>
      <c r="M339" s="34" t="str">
        <f aca="false">IF(B339="","",IF(MONTH(B339)=4,"X",""))</f>
        <v/>
      </c>
      <c r="N339" s="34" t="str">
        <f aca="false">IF(B339="","",IF(MONTH(B339)=5,"X",""))</f>
        <v/>
      </c>
      <c r="O339" s="34" t="str">
        <f aca="false">IF(B339="","",IF(MONTH(B339)=6,"X",""))</f>
        <v/>
      </c>
      <c r="P339" s="34" t="str">
        <f aca="false">IF(B339="","",IF(MONTH(B339)=7,"X",""))</f>
        <v/>
      </c>
      <c r="Q339" s="34" t="str">
        <f aca="false">IF(B339="","",IF(MONTH(B339)=8,"X",""))</f>
        <v/>
      </c>
      <c r="R339" s="34" t="str">
        <f aca="false">IF(B339="","",IF(MONTH(B339)=9,"X",""))</f>
        <v/>
      </c>
      <c r="S339" s="34" t="str">
        <f aca="false">IF(B339="","",IF(MONTH(B339)=10,"X",""))</f>
        <v/>
      </c>
      <c r="T339" s="34" t="str">
        <f aca="false">IF(B339="","",IF(MONTH(B339)=11,"X",""))</f>
        <v/>
      </c>
      <c r="U339" s="34" t="str">
        <f aca="false">IF(B339="","",IF(MONTH(B339)=12,"X",""))</f>
        <v/>
      </c>
      <c r="V339" s="24" t="str">
        <f aca="false">IF(E339="","",COUNTIF($E$5:$E$1000,E339))</f>
        <v/>
      </c>
      <c r="W339" s="35" t="str">
        <f aca="false">IF(E339="","",_xlfn.TEXTJOIN(" + ",TRUE(),IF(COUNTIFS($E$5:$E$1000,E339,$C$5:$C$1000,"Auditoría Interna")&gt;0,"Interna",""),IF(COUNTIFS($E$5:$E$1000,E339,$C$5:$C$1000,"Auditoría Externa")&gt;0,"Externa",""),IF(COUNTIFS($E$5:$E$1000,E339,$C$5:$C$1000,"SSF")&gt;0,"SSF",""),IF(COUNTIFS($E$5:$E$1000,E339,$C$5:$C$1000,"Comité de Supervisión")&gt;0,"Comité Sup.",""),IF(COUNTIFS($E$5:$E$1000,E339,$C$5:$C$1000,"Consejo de Administración")&gt;0,"Consejo",""),IF(COUNTIFS($E$5:$E$1000,E339,$C$5:$C$1000,"Otros")&gt;0,"Otros","")))</f>
        <v/>
      </c>
      <c r="X339" s="24" t="str">
        <f aca="false">IF(E339="","",COUNTIFS($E$5:$E$1000,E339,$AB$5:$AB$1000,AB339,$C$5:$C$1000,"&lt;&gt;"&amp;C339))</f>
        <v/>
      </c>
      <c r="Y339" s="33"/>
      <c r="Z339" s="31"/>
      <c r="AA339" s="33"/>
      <c r="AB339" s="37" t="str">
        <f aca="false">IF(B339="","",YEAR(B339)*100+MONTH(B339))</f>
        <v/>
      </c>
      <c r="AC339" s="37" t="str">
        <f aca="false">IF(AND(E339&lt;&gt;"",E339=Cruce!$C$5),COUNTIF($E$5:E339,E339),"")</f>
        <v/>
      </c>
      <c r="AD339" s="37" t="str">
        <f aca="false">IF(E339="","",C339&amp;"|"&amp;Y339&amp;"|"&amp;IF(B339="","s/f",TEXT(B339,"yyyymmdd")))</f>
        <v/>
      </c>
      <c r="AE339" s="37" t="n">
        <f aca="false">IF(E339="",0,IF(COUNTIFS($E$5:E339,E339,$AD$5:AD339,AD339)=1,1,0))</f>
        <v>0</v>
      </c>
    </row>
    <row r="340" customFormat="false" ht="15" hidden="false" customHeight="true" outlineLevel="0" collapsed="false">
      <c r="A340" s="31"/>
      <c r="B340" s="30"/>
      <c r="C340" s="31"/>
      <c r="D340" s="31"/>
      <c r="E340" s="32"/>
      <c r="F340" s="32"/>
      <c r="G340" s="33"/>
      <c r="H340" s="31"/>
      <c r="I340" s="24" t="str">
        <f aca="false">IF(B340="","",YEAR(B340))</f>
        <v/>
      </c>
      <c r="J340" s="34" t="str">
        <f aca="false">IF(B340="","",IF(MONTH(B340)=1,"X",""))</f>
        <v/>
      </c>
      <c r="K340" s="34" t="str">
        <f aca="false">IF(B340="","",IF(MONTH(B340)=2,"X",""))</f>
        <v/>
      </c>
      <c r="L340" s="34" t="str">
        <f aca="false">IF(B340="","",IF(MONTH(B340)=3,"X",""))</f>
        <v/>
      </c>
      <c r="M340" s="34" t="str">
        <f aca="false">IF(B340="","",IF(MONTH(B340)=4,"X",""))</f>
        <v/>
      </c>
      <c r="N340" s="34" t="str">
        <f aca="false">IF(B340="","",IF(MONTH(B340)=5,"X",""))</f>
        <v/>
      </c>
      <c r="O340" s="34" t="str">
        <f aca="false">IF(B340="","",IF(MONTH(B340)=6,"X",""))</f>
        <v/>
      </c>
      <c r="P340" s="34" t="str">
        <f aca="false">IF(B340="","",IF(MONTH(B340)=7,"X",""))</f>
        <v/>
      </c>
      <c r="Q340" s="34" t="str">
        <f aca="false">IF(B340="","",IF(MONTH(B340)=8,"X",""))</f>
        <v/>
      </c>
      <c r="R340" s="34" t="str">
        <f aca="false">IF(B340="","",IF(MONTH(B340)=9,"X",""))</f>
        <v/>
      </c>
      <c r="S340" s="34" t="str">
        <f aca="false">IF(B340="","",IF(MONTH(B340)=10,"X",""))</f>
        <v/>
      </c>
      <c r="T340" s="34" t="str">
        <f aca="false">IF(B340="","",IF(MONTH(B340)=11,"X",""))</f>
        <v/>
      </c>
      <c r="U340" s="34" t="str">
        <f aca="false">IF(B340="","",IF(MONTH(B340)=12,"X",""))</f>
        <v/>
      </c>
      <c r="V340" s="24" t="str">
        <f aca="false">IF(E340="","",COUNTIF($E$5:$E$1000,E340))</f>
        <v/>
      </c>
      <c r="W340" s="35" t="str">
        <f aca="false">IF(E340="","",_xlfn.TEXTJOIN(" + ",TRUE(),IF(COUNTIFS($E$5:$E$1000,E340,$C$5:$C$1000,"Auditoría Interna")&gt;0,"Interna",""),IF(COUNTIFS($E$5:$E$1000,E340,$C$5:$C$1000,"Auditoría Externa")&gt;0,"Externa",""),IF(COUNTIFS($E$5:$E$1000,E340,$C$5:$C$1000,"SSF")&gt;0,"SSF",""),IF(COUNTIFS($E$5:$E$1000,E340,$C$5:$C$1000,"Comité de Supervisión")&gt;0,"Comité Sup.",""),IF(COUNTIFS($E$5:$E$1000,E340,$C$5:$C$1000,"Consejo de Administración")&gt;0,"Consejo",""),IF(COUNTIFS($E$5:$E$1000,E340,$C$5:$C$1000,"Otros")&gt;0,"Otros","")))</f>
        <v/>
      </c>
      <c r="X340" s="24" t="str">
        <f aca="false">IF(E340="","",COUNTIFS($E$5:$E$1000,E340,$AB$5:$AB$1000,AB340,$C$5:$C$1000,"&lt;&gt;"&amp;C340))</f>
        <v/>
      </c>
      <c r="Y340" s="33"/>
      <c r="Z340" s="31"/>
      <c r="AA340" s="33"/>
      <c r="AB340" s="37" t="str">
        <f aca="false">IF(B340="","",YEAR(B340)*100+MONTH(B340))</f>
        <v/>
      </c>
      <c r="AC340" s="37" t="str">
        <f aca="false">IF(AND(E340&lt;&gt;"",E340=Cruce!$C$5),COUNTIF($E$5:E340,E340),"")</f>
        <v/>
      </c>
      <c r="AD340" s="37" t="str">
        <f aca="false">IF(E340="","",C340&amp;"|"&amp;Y340&amp;"|"&amp;IF(B340="","s/f",TEXT(B340,"yyyymmdd")))</f>
        <v/>
      </c>
      <c r="AE340" s="37" t="n">
        <f aca="false">IF(E340="",0,IF(COUNTIFS($E$5:E340,E340,$AD$5:AD340,AD340)=1,1,0))</f>
        <v>0</v>
      </c>
    </row>
    <row r="341" customFormat="false" ht="15" hidden="false" customHeight="true" outlineLevel="0" collapsed="false">
      <c r="A341" s="31"/>
      <c r="B341" s="30"/>
      <c r="C341" s="31"/>
      <c r="D341" s="31"/>
      <c r="E341" s="32"/>
      <c r="F341" s="32"/>
      <c r="G341" s="33"/>
      <c r="H341" s="31"/>
      <c r="I341" s="24" t="str">
        <f aca="false">IF(B341="","",YEAR(B341))</f>
        <v/>
      </c>
      <c r="J341" s="34" t="str">
        <f aca="false">IF(B341="","",IF(MONTH(B341)=1,"X",""))</f>
        <v/>
      </c>
      <c r="K341" s="34" t="str">
        <f aca="false">IF(B341="","",IF(MONTH(B341)=2,"X",""))</f>
        <v/>
      </c>
      <c r="L341" s="34" t="str">
        <f aca="false">IF(B341="","",IF(MONTH(B341)=3,"X",""))</f>
        <v/>
      </c>
      <c r="M341" s="34" t="str">
        <f aca="false">IF(B341="","",IF(MONTH(B341)=4,"X",""))</f>
        <v/>
      </c>
      <c r="N341" s="34" t="str">
        <f aca="false">IF(B341="","",IF(MONTH(B341)=5,"X",""))</f>
        <v/>
      </c>
      <c r="O341" s="34" t="str">
        <f aca="false">IF(B341="","",IF(MONTH(B341)=6,"X",""))</f>
        <v/>
      </c>
      <c r="P341" s="34" t="str">
        <f aca="false">IF(B341="","",IF(MONTH(B341)=7,"X",""))</f>
        <v/>
      </c>
      <c r="Q341" s="34" t="str">
        <f aca="false">IF(B341="","",IF(MONTH(B341)=8,"X",""))</f>
        <v/>
      </c>
      <c r="R341" s="34" t="str">
        <f aca="false">IF(B341="","",IF(MONTH(B341)=9,"X",""))</f>
        <v/>
      </c>
      <c r="S341" s="34" t="str">
        <f aca="false">IF(B341="","",IF(MONTH(B341)=10,"X",""))</f>
        <v/>
      </c>
      <c r="T341" s="34" t="str">
        <f aca="false">IF(B341="","",IF(MONTH(B341)=11,"X",""))</f>
        <v/>
      </c>
      <c r="U341" s="34" t="str">
        <f aca="false">IF(B341="","",IF(MONTH(B341)=12,"X",""))</f>
        <v/>
      </c>
      <c r="V341" s="24" t="str">
        <f aca="false">IF(E341="","",COUNTIF($E$5:$E$1000,E341))</f>
        <v/>
      </c>
      <c r="W341" s="35" t="str">
        <f aca="false">IF(E341="","",_xlfn.TEXTJOIN(" + ",TRUE(),IF(COUNTIFS($E$5:$E$1000,E341,$C$5:$C$1000,"Auditoría Interna")&gt;0,"Interna",""),IF(COUNTIFS($E$5:$E$1000,E341,$C$5:$C$1000,"Auditoría Externa")&gt;0,"Externa",""),IF(COUNTIFS($E$5:$E$1000,E341,$C$5:$C$1000,"SSF")&gt;0,"SSF",""),IF(COUNTIFS($E$5:$E$1000,E341,$C$5:$C$1000,"Comité de Supervisión")&gt;0,"Comité Sup.",""),IF(COUNTIFS($E$5:$E$1000,E341,$C$5:$C$1000,"Consejo de Administración")&gt;0,"Consejo",""),IF(COUNTIFS($E$5:$E$1000,E341,$C$5:$C$1000,"Otros")&gt;0,"Otros","")))</f>
        <v/>
      </c>
      <c r="X341" s="24" t="str">
        <f aca="false">IF(E341="","",COUNTIFS($E$5:$E$1000,E341,$AB$5:$AB$1000,AB341,$C$5:$C$1000,"&lt;&gt;"&amp;C341))</f>
        <v/>
      </c>
      <c r="Y341" s="33"/>
      <c r="Z341" s="31"/>
      <c r="AA341" s="33"/>
      <c r="AB341" s="37" t="str">
        <f aca="false">IF(B341="","",YEAR(B341)*100+MONTH(B341))</f>
        <v/>
      </c>
      <c r="AC341" s="37" t="str">
        <f aca="false">IF(AND(E341&lt;&gt;"",E341=Cruce!$C$5),COUNTIF($E$5:E341,E341),"")</f>
        <v/>
      </c>
      <c r="AD341" s="37" t="str">
        <f aca="false">IF(E341="","",C341&amp;"|"&amp;Y341&amp;"|"&amp;IF(B341="","s/f",TEXT(B341,"yyyymmdd")))</f>
        <v/>
      </c>
      <c r="AE341" s="37" t="n">
        <f aca="false">IF(E341="",0,IF(COUNTIFS($E$5:E341,E341,$AD$5:AD341,AD341)=1,1,0))</f>
        <v>0</v>
      </c>
    </row>
    <row r="342" customFormat="false" ht="15" hidden="false" customHeight="true" outlineLevel="0" collapsed="false">
      <c r="A342" s="31"/>
      <c r="B342" s="30"/>
      <c r="C342" s="31"/>
      <c r="D342" s="31"/>
      <c r="E342" s="32"/>
      <c r="F342" s="32"/>
      <c r="G342" s="33"/>
      <c r="H342" s="31"/>
      <c r="I342" s="24" t="str">
        <f aca="false">IF(B342="","",YEAR(B342))</f>
        <v/>
      </c>
      <c r="J342" s="34" t="str">
        <f aca="false">IF(B342="","",IF(MONTH(B342)=1,"X",""))</f>
        <v/>
      </c>
      <c r="K342" s="34" t="str">
        <f aca="false">IF(B342="","",IF(MONTH(B342)=2,"X",""))</f>
        <v/>
      </c>
      <c r="L342" s="34" t="str">
        <f aca="false">IF(B342="","",IF(MONTH(B342)=3,"X",""))</f>
        <v/>
      </c>
      <c r="M342" s="34" t="str">
        <f aca="false">IF(B342="","",IF(MONTH(B342)=4,"X",""))</f>
        <v/>
      </c>
      <c r="N342" s="34" t="str">
        <f aca="false">IF(B342="","",IF(MONTH(B342)=5,"X",""))</f>
        <v/>
      </c>
      <c r="O342" s="34" t="str">
        <f aca="false">IF(B342="","",IF(MONTH(B342)=6,"X",""))</f>
        <v/>
      </c>
      <c r="P342" s="34" t="str">
        <f aca="false">IF(B342="","",IF(MONTH(B342)=7,"X",""))</f>
        <v/>
      </c>
      <c r="Q342" s="34" t="str">
        <f aca="false">IF(B342="","",IF(MONTH(B342)=8,"X",""))</f>
        <v/>
      </c>
      <c r="R342" s="34" t="str">
        <f aca="false">IF(B342="","",IF(MONTH(B342)=9,"X",""))</f>
        <v/>
      </c>
      <c r="S342" s="34" t="str">
        <f aca="false">IF(B342="","",IF(MONTH(B342)=10,"X",""))</f>
        <v/>
      </c>
      <c r="T342" s="34" t="str">
        <f aca="false">IF(B342="","",IF(MONTH(B342)=11,"X",""))</f>
        <v/>
      </c>
      <c r="U342" s="34" t="str">
        <f aca="false">IF(B342="","",IF(MONTH(B342)=12,"X",""))</f>
        <v/>
      </c>
      <c r="V342" s="24" t="str">
        <f aca="false">IF(E342="","",COUNTIF($E$5:$E$1000,E342))</f>
        <v/>
      </c>
      <c r="W342" s="35" t="str">
        <f aca="false">IF(E342="","",_xlfn.TEXTJOIN(" + ",TRUE(),IF(COUNTIFS($E$5:$E$1000,E342,$C$5:$C$1000,"Auditoría Interna")&gt;0,"Interna",""),IF(COUNTIFS($E$5:$E$1000,E342,$C$5:$C$1000,"Auditoría Externa")&gt;0,"Externa",""),IF(COUNTIFS($E$5:$E$1000,E342,$C$5:$C$1000,"SSF")&gt;0,"SSF",""),IF(COUNTIFS($E$5:$E$1000,E342,$C$5:$C$1000,"Comité de Supervisión")&gt;0,"Comité Sup.",""),IF(COUNTIFS($E$5:$E$1000,E342,$C$5:$C$1000,"Consejo de Administración")&gt;0,"Consejo",""),IF(COUNTIFS($E$5:$E$1000,E342,$C$5:$C$1000,"Otros")&gt;0,"Otros","")))</f>
        <v/>
      </c>
      <c r="X342" s="24" t="str">
        <f aca="false">IF(E342="","",COUNTIFS($E$5:$E$1000,E342,$AB$5:$AB$1000,AB342,$C$5:$C$1000,"&lt;&gt;"&amp;C342))</f>
        <v/>
      </c>
      <c r="Y342" s="33"/>
      <c r="Z342" s="31"/>
      <c r="AA342" s="33"/>
      <c r="AB342" s="37" t="str">
        <f aca="false">IF(B342="","",YEAR(B342)*100+MONTH(B342))</f>
        <v/>
      </c>
      <c r="AC342" s="37" t="str">
        <f aca="false">IF(AND(E342&lt;&gt;"",E342=Cruce!$C$5),COUNTIF($E$5:E342,E342),"")</f>
        <v/>
      </c>
      <c r="AD342" s="37" t="str">
        <f aca="false">IF(E342="","",C342&amp;"|"&amp;Y342&amp;"|"&amp;IF(B342="","s/f",TEXT(B342,"yyyymmdd")))</f>
        <v/>
      </c>
      <c r="AE342" s="37" t="n">
        <f aca="false">IF(E342="",0,IF(COUNTIFS($E$5:E342,E342,$AD$5:AD342,AD342)=1,1,0))</f>
        <v>0</v>
      </c>
    </row>
    <row r="343" customFormat="false" ht="15" hidden="false" customHeight="true" outlineLevel="0" collapsed="false">
      <c r="A343" s="31"/>
      <c r="B343" s="30"/>
      <c r="C343" s="31"/>
      <c r="D343" s="31"/>
      <c r="E343" s="32"/>
      <c r="F343" s="32"/>
      <c r="G343" s="33"/>
      <c r="H343" s="31"/>
      <c r="I343" s="24" t="str">
        <f aca="false">IF(B343="","",YEAR(B343))</f>
        <v/>
      </c>
      <c r="J343" s="34" t="str">
        <f aca="false">IF(B343="","",IF(MONTH(B343)=1,"X",""))</f>
        <v/>
      </c>
      <c r="K343" s="34" t="str">
        <f aca="false">IF(B343="","",IF(MONTH(B343)=2,"X",""))</f>
        <v/>
      </c>
      <c r="L343" s="34" t="str">
        <f aca="false">IF(B343="","",IF(MONTH(B343)=3,"X",""))</f>
        <v/>
      </c>
      <c r="M343" s="34" t="str">
        <f aca="false">IF(B343="","",IF(MONTH(B343)=4,"X",""))</f>
        <v/>
      </c>
      <c r="N343" s="34" t="str">
        <f aca="false">IF(B343="","",IF(MONTH(B343)=5,"X",""))</f>
        <v/>
      </c>
      <c r="O343" s="34" t="str">
        <f aca="false">IF(B343="","",IF(MONTH(B343)=6,"X",""))</f>
        <v/>
      </c>
      <c r="P343" s="34" t="str">
        <f aca="false">IF(B343="","",IF(MONTH(B343)=7,"X",""))</f>
        <v/>
      </c>
      <c r="Q343" s="34" t="str">
        <f aca="false">IF(B343="","",IF(MONTH(B343)=8,"X",""))</f>
        <v/>
      </c>
      <c r="R343" s="34" t="str">
        <f aca="false">IF(B343="","",IF(MONTH(B343)=9,"X",""))</f>
        <v/>
      </c>
      <c r="S343" s="34" t="str">
        <f aca="false">IF(B343="","",IF(MONTH(B343)=10,"X",""))</f>
        <v/>
      </c>
      <c r="T343" s="34" t="str">
        <f aca="false">IF(B343="","",IF(MONTH(B343)=11,"X",""))</f>
        <v/>
      </c>
      <c r="U343" s="34" t="str">
        <f aca="false">IF(B343="","",IF(MONTH(B343)=12,"X",""))</f>
        <v/>
      </c>
      <c r="V343" s="24" t="str">
        <f aca="false">IF(E343="","",COUNTIF($E$5:$E$1000,E343))</f>
        <v/>
      </c>
      <c r="W343" s="35" t="str">
        <f aca="false">IF(E343="","",_xlfn.TEXTJOIN(" + ",TRUE(),IF(COUNTIFS($E$5:$E$1000,E343,$C$5:$C$1000,"Auditoría Interna")&gt;0,"Interna",""),IF(COUNTIFS($E$5:$E$1000,E343,$C$5:$C$1000,"Auditoría Externa")&gt;0,"Externa",""),IF(COUNTIFS($E$5:$E$1000,E343,$C$5:$C$1000,"SSF")&gt;0,"SSF",""),IF(COUNTIFS($E$5:$E$1000,E343,$C$5:$C$1000,"Comité de Supervisión")&gt;0,"Comité Sup.",""),IF(COUNTIFS($E$5:$E$1000,E343,$C$5:$C$1000,"Consejo de Administración")&gt;0,"Consejo",""),IF(COUNTIFS($E$5:$E$1000,E343,$C$5:$C$1000,"Otros")&gt;0,"Otros","")))</f>
        <v/>
      </c>
      <c r="X343" s="24" t="str">
        <f aca="false">IF(E343="","",COUNTIFS($E$5:$E$1000,E343,$AB$5:$AB$1000,AB343,$C$5:$C$1000,"&lt;&gt;"&amp;C343))</f>
        <v/>
      </c>
      <c r="Y343" s="33"/>
      <c r="Z343" s="31"/>
      <c r="AA343" s="33"/>
      <c r="AB343" s="37" t="str">
        <f aca="false">IF(B343="","",YEAR(B343)*100+MONTH(B343))</f>
        <v/>
      </c>
      <c r="AC343" s="37" t="str">
        <f aca="false">IF(AND(E343&lt;&gt;"",E343=Cruce!$C$5),COUNTIF($E$5:E343,E343),"")</f>
        <v/>
      </c>
      <c r="AD343" s="37" t="str">
        <f aca="false">IF(E343="","",C343&amp;"|"&amp;Y343&amp;"|"&amp;IF(B343="","s/f",TEXT(B343,"yyyymmdd")))</f>
        <v/>
      </c>
      <c r="AE343" s="37" t="n">
        <f aca="false">IF(E343="",0,IF(COUNTIFS($E$5:E343,E343,$AD$5:AD343,AD343)=1,1,0))</f>
        <v>0</v>
      </c>
    </row>
    <row r="344" customFormat="false" ht="15" hidden="false" customHeight="true" outlineLevel="0" collapsed="false">
      <c r="A344" s="31"/>
      <c r="B344" s="30"/>
      <c r="C344" s="31"/>
      <c r="D344" s="31"/>
      <c r="E344" s="32"/>
      <c r="F344" s="32"/>
      <c r="G344" s="33"/>
      <c r="H344" s="31"/>
      <c r="I344" s="24" t="str">
        <f aca="false">IF(B344="","",YEAR(B344))</f>
        <v/>
      </c>
      <c r="J344" s="34" t="str">
        <f aca="false">IF(B344="","",IF(MONTH(B344)=1,"X",""))</f>
        <v/>
      </c>
      <c r="K344" s="34" t="str">
        <f aca="false">IF(B344="","",IF(MONTH(B344)=2,"X",""))</f>
        <v/>
      </c>
      <c r="L344" s="34" t="str">
        <f aca="false">IF(B344="","",IF(MONTH(B344)=3,"X",""))</f>
        <v/>
      </c>
      <c r="M344" s="34" t="str">
        <f aca="false">IF(B344="","",IF(MONTH(B344)=4,"X",""))</f>
        <v/>
      </c>
      <c r="N344" s="34" t="str">
        <f aca="false">IF(B344="","",IF(MONTH(B344)=5,"X",""))</f>
        <v/>
      </c>
      <c r="O344" s="34" t="str">
        <f aca="false">IF(B344="","",IF(MONTH(B344)=6,"X",""))</f>
        <v/>
      </c>
      <c r="P344" s="34" t="str">
        <f aca="false">IF(B344="","",IF(MONTH(B344)=7,"X",""))</f>
        <v/>
      </c>
      <c r="Q344" s="34" t="str">
        <f aca="false">IF(B344="","",IF(MONTH(B344)=8,"X",""))</f>
        <v/>
      </c>
      <c r="R344" s="34" t="str">
        <f aca="false">IF(B344="","",IF(MONTH(B344)=9,"X",""))</f>
        <v/>
      </c>
      <c r="S344" s="34" t="str">
        <f aca="false">IF(B344="","",IF(MONTH(B344)=10,"X",""))</f>
        <v/>
      </c>
      <c r="T344" s="34" t="str">
        <f aca="false">IF(B344="","",IF(MONTH(B344)=11,"X",""))</f>
        <v/>
      </c>
      <c r="U344" s="34" t="str">
        <f aca="false">IF(B344="","",IF(MONTH(B344)=12,"X",""))</f>
        <v/>
      </c>
      <c r="V344" s="24" t="str">
        <f aca="false">IF(E344="","",COUNTIF($E$5:$E$1000,E344))</f>
        <v/>
      </c>
      <c r="W344" s="35" t="str">
        <f aca="false">IF(E344="","",_xlfn.TEXTJOIN(" + ",TRUE(),IF(COUNTIFS($E$5:$E$1000,E344,$C$5:$C$1000,"Auditoría Interna")&gt;0,"Interna",""),IF(COUNTIFS($E$5:$E$1000,E344,$C$5:$C$1000,"Auditoría Externa")&gt;0,"Externa",""),IF(COUNTIFS($E$5:$E$1000,E344,$C$5:$C$1000,"SSF")&gt;0,"SSF",""),IF(COUNTIFS($E$5:$E$1000,E344,$C$5:$C$1000,"Comité de Supervisión")&gt;0,"Comité Sup.",""),IF(COUNTIFS($E$5:$E$1000,E344,$C$5:$C$1000,"Consejo de Administración")&gt;0,"Consejo",""),IF(COUNTIFS($E$5:$E$1000,E344,$C$5:$C$1000,"Otros")&gt;0,"Otros","")))</f>
        <v/>
      </c>
      <c r="X344" s="24" t="str">
        <f aca="false">IF(E344="","",COUNTIFS($E$5:$E$1000,E344,$AB$5:$AB$1000,AB344,$C$5:$C$1000,"&lt;&gt;"&amp;C344))</f>
        <v/>
      </c>
      <c r="Y344" s="33"/>
      <c r="Z344" s="31"/>
      <c r="AA344" s="33"/>
      <c r="AB344" s="37" t="str">
        <f aca="false">IF(B344="","",YEAR(B344)*100+MONTH(B344))</f>
        <v/>
      </c>
      <c r="AC344" s="37" t="str">
        <f aca="false">IF(AND(E344&lt;&gt;"",E344=Cruce!$C$5),COUNTIF($E$5:E344,E344),"")</f>
        <v/>
      </c>
      <c r="AD344" s="37" t="str">
        <f aca="false">IF(E344="","",C344&amp;"|"&amp;Y344&amp;"|"&amp;IF(B344="","s/f",TEXT(B344,"yyyymmdd")))</f>
        <v/>
      </c>
      <c r="AE344" s="37" t="n">
        <f aca="false">IF(E344="",0,IF(COUNTIFS($E$5:E344,E344,$AD$5:AD344,AD344)=1,1,0))</f>
        <v>0</v>
      </c>
    </row>
    <row r="345" customFormat="false" ht="15" hidden="false" customHeight="true" outlineLevel="0" collapsed="false">
      <c r="A345" s="31"/>
      <c r="B345" s="30"/>
      <c r="C345" s="31"/>
      <c r="D345" s="31"/>
      <c r="E345" s="32"/>
      <c r="F345" s="32"/>
      <c r="G345" s="33"/>
      <c r="H345" s="31"/>
      <c r="I345" s="24" t="str">
        <f aca="false">IF(B345="","",YEAR(B345))</f>
        <v/>
      </c>
      <c r="J345" s="34" t="str">
        <f aca="false">IF(B345="","",IF(MONTH(B345)=1,"X",""))</f>
        <v/>
      </c>
      <c r="K345" s="34" t="str">
        <f aca="false">IF(B345="","",IF(MONTH(B345)=2,"X",""))</f>
        <v/>
      </c>
      <c r="L345" s="34" t="str">
        <f aca="false">IF(B345="","",IF(MONTH(B345)=3,"X",""))</f>
        <v/>
      </c>
      <c r="M345" s="34" t="str">
        <f aca="false">IF(B345="","",IF(MONTH(B345)=4,"X",""))</f>
        <v/>
      </c>
      <c r="N345" s="34" t="str">
        <f aca="false">IF(B345="","",IF(MONTH(B345)=5,"X",""))</f>
        <v/>
      </c>
      <c r="O345" s="34" t="str">
        <f aca="false">IF(B345="","",IF(MONTH(B345)=6,"X",""))</f>
        <v/>
      </c>
      <c r="P345" s="34" t="str">
        <f aca="false">IF(B345="","",IF(MONTH(B345)=7,"X",""))</f>
        <v/>
      </c>
      <c r="Q345" s="34" t="str">
        <f aca="false">IF(B345="","",IF(MONTH(B345)=8,"X",""))</f>
        <v/>
      </c>
      <c r="R345" s="34" t="str">
        <f aca="false">IF(B345="","",IF(MONTH(B345)=9,"X",""))</f>
        <v/>
      </c>
      <c r="S345" s="34" t="str">
        <f aca="false">IF(B345="","",IF(MONTH(B345)=10,"X",""))</f>
        <v/>
      </c>
      <c r="T345" s="34" t="str">
        <f aca="false">IF(B345="","",IF(MONTH(B345)=11,"X",""))</f>
        <v/>
      </c>
      <c r="U345" s="34" t="str">
        <f aca="false">IF(B345="","",IF(MONTH(B345)=12,"X",""))</f>
        <v/>
      </c>
      <c r="V345" s="24" t="str">
        <f aca="false">IF(E345="","",COUNTIF($E$5:$E$1000,E345))</f>
        <v/>
      </c>
      <c r="W345" s="35" t="str">
        <f aca="false">IF(E345="","",_xlfn.TEXTJOIN(" + ",TRUE(),IF(COUNTIFS($E$5:$E$1000,E345,$C$5:$C$1000,"Auditoría Interna")&gt;0,"Interna",""),IF(COUNTIFS($E$5:$E$1000,E345,$C$5:$C$1000,"Auditoría Externa")&gt;0,"Externa",""),IF(COUNTIFS($E$5:$E$1000,E345,$C$5:$C$1000,"SSF")&gt;0,"SSF",""),IF(COUNTIFS($E$5:$E$1000,E345,$C$5:$C$1000,"Comité de Supervisión")&gt;0,"Comité Sup.",""),IF(COUNTIFS($E$5:$E$1000,E345,$C$5:$C$1000,"Consejo de Administración")&gt;0,"Consejo",""),IF(COUNTIFS($E$5:$E$1000,E345,$C$5:$C$1000,"Otros")&gt;0,"Otros","")))</f>
        <v/>
      </c>
      <c r="X345" s="24" t="str">
        <f aca="false">IF(E345="","",COUNTIFS($E$5:$E$1000,E345,$AB$5:$AB$1000,AB345,$C$5:$C$1000,"&lt;&gt;"&amp;C345))</f>
        <v/>
      </c>
      <c r="Y345" s="33"/>
      <c r="Z345" s="31"/>
      <c r="AA345" s="33"/>
      <c r="AB345" s="37" t="str">
        <f aca="false">IF(B345="","",YEAR(B345)*100+MONTH(B345))</f>
        <v/>
      </c>
      <c r="AC345" s="37" t="str">
        <f aca="false">IF(AND(E345&lt;&gt;"",E345=Cruce!$C$5),COUNTIF($E$5:E345,E345),"")</f>
        <v/>
      </c>
      <c r="AD345" s="37" t="str">
        <f aca="false">IF(E345="","",C345&amp;"|"&amp;Y345&amp;"|"&amp;IF(B345="","s/f",TEXT(B345,"yyyymmdd")))</f>
        <v/>
      </c>
      <c r="AE345" s="37" t="n">
        <f aca="false">IF(E345="",0,IF(COUNTIFS($E$5:E345,E345,$AD$5:AD345,AD345)=1,1,0))</f>
        <v>0</v>
      </c>
    </row>
    <row r="346" customFormat="false" ht="15" hidden="false" customHeight="true" outlineLevel="0" collapsed="false">
      <c r="A346" s="31"/>
      <c r="B346" s="30"/>
      <c r="C346" s="31"/>
      <c r="D346" s="31"/>
      <c r="E346" s="32"/>
      <c r="F346" s="32"/>
      <c r="G346" s="33"/>
      <c r="H346" s="31"/>
      <c r="I346" s="24" t="str">
        <f aca="false">IF(B346="","",YEAR(B346))</f>
        <v/>
      </c>
      <c r="J346" s="34" t="str">
        <f aca="false">IF(B346="","",IF(MONTH(B346)=1,"X",""))</f>
        <v/>
      </c>
      <c r="K346" s="34" t="str">
        <f aca="false">IF(B346="","",IF(MONTH(B346)=2,"X",""))</f>
        <v/>
      </c>
      <c r="L346" s="34" t="str">
        <f aca="false">IF(B346="","",IF(MONTH(B346)=3,"X",""))</f>
        <v/>
      </c>
      <c r="M346" s="34" t="str">
        <f aca="false">IF(B346="","",IF(MONTH(B346)=4,"X",""))</f>
        <v/>
      </c>
      <c r="N346" s="34" t="str">
        <f aca="false">IF(B346="","",IF(MONTH(B346)=5,"X",""))</f>
        <v/>
      </c>
      <c r="O346" s="34" t="str">
        <f aca="false">IF(B346="","",IF(MONTH(B346)=6,"X",""))</f>
        <v/>
      </c>
      <c r="P346" s="34" t="str">
        <f aca="false">IF(B346="","",IF(MONTH(B346)=7,"X",""))</f>
        <v/>
      </c>
      <c r="Q346" s="34" t="str">
        <f aca="false">IF(B346="","",IF(MONTH(B346)=8,"X",""))</f>
        <v/>
      </c>
      <c r="R346" s="34" t="str">
        <f aca="false">IF(B346="","",IF(MONTH(B346)=9,"X",""))</f>
        <v/>
      </c>
      <c r="S346" s="34" t="str">
        <f aca="false">IF(B346="","",IF(MONTH(B346)=10,"X",""))</f>
        <v/>
      </c>
      <c r="T346" s="34" t="str">
        <f aca="false">IF(B346="","",IF(MONTH(B346)=11,"X",""))</f>
        <v/>
      </c>
      <c r="U346" s="34" t="str">
        <f aca="false">IF(B346="","",IF(MONTH(B346)=12,"X",""))</f>
        <v/>
      </c>
      <c r="V346" s="24" t="str">
        <f aca="false">IF(E346="","",COUNTIF($E$5:$E$1000,E346))</f>
        <v/>
      </c>
      <c r="W346" s="35" t="str">
        <f aca="false">IF(E346="","",_xlfn.TEXTJOIN(" + ",TRUE(),IF(COUNTIFS($E$5:$E$1000,E346,$C$5:$C$1000,"Auditoría Interna")&gt;0,"Interna",""),IF(COUNTIFS($E$5:$E$1000,E346,$C$5:$C$1000,"Auditoría Externa")&gt;0,"Externa",""),IF(COUNTIFS($E$5:$E$1000,E346,$C$5:$C$1000,"SSF")&gt;0,"SSF",""),IF(COUNTIFS($E$5:$E$1000,E346,$C$5:$C$1000,"Comité de Supervisión")&gt;0,"Comité Sup.",""),IF(COUNTIFS($E$5:$E$1000,E346,$C$5:$C$1000,"Consejo de Administración")&gt;0,"Consejo",""),IF(COUNTIFS($E$5:$E$1000,E346,$C$5:$C$1000,"Otros")&gt;0,"Otros","")))</f>
        <v/>
      </c>
      <c r="X346" s="24" t="str">
        <f aca="false">IF(E346="","",COUNTIFS($E$5:$E$1000,E346,$AB$5:$AB$1000,AB346,$C$5:$C$1000,"&lt;&gt;"&amp;C346))</f>
        <v/>
      </c>
      <c r="Y346" s="33"/>
      <c r="Z346" s="31"/>
      <c r="AA346" s="33"/>
      <c r="AB346" s="37" t="str">
        <f aca="false">IF(B346="","",YEAR(B346)*100+MONTH(B346))</f>
        <v/>
      </c>
      <c r="AC346" s="37" t="str">
        <f aca="false">IF(AND(E346&lt;&gt;"",E346=Cruce!$C$5),COUNTIF($E$5:E346,E346),"")</f>
        <v/>
      </c>
      <c r="AD346" s="37" t="str">
        <f aca="false">IF(E346="","",C346&amp;"|"&amp;Y346&amp;"|"&amp;IF(B346="","s/f",TEXT(B346,"yyyymmdd")))</f>
        <v/>
      </c>
      <c r="AE346" s="37" t="n">
        <f aca="false">IF(E346="",0,IF(COUNTIFS($E$5:E346,E346,$AD$5:AD346,AD346)=1,1,0))</f>
        <v>0</v>
      </c>
    </row>
    <row r="347" customFormat="false" ht="15" hidden="false" customHeight="true" outlineLevel="0" collapsed="false">
      <c r="A347" s="31"/>
      <c r="B347" s="30"/>
      <c r="C347" s="31"/>
      <c r="D347" s="31"/>
      <c r="E347" s="32"/>
      <c r="F347" s="32"/>
      <c r="G347" s="33"/>
      <c r="H347" s="31"/>
      <c r="I347" s="24" t="str">
        <f aca="false">IF(B347="","",YEAR(B347))</f>
        <v/>
      </c>
      <c r="J347" s="34" t="str">
        <f aca="false">IF(B347="","",IF(MONTH(B347)=1,"X",""))</f>
        <v/>
      </c>
      <c r="K347" s="34" t="str">
        <f aca="false">IF(B347="","",IF(MONTH(B347)=2,"X",""))</f>
        <v/>
      </c>
      <c r="L347" s="34" t="str">
        <f aca="false">IF(B347="","",IF(MONTH(B347)=3,"X",""))</f>
        <v/>
      </c>
      <c r="M347" s="34" t="str">
        <f aca="false">IF(B347="","",IF(MONTH(B347)=4,"X",""))</f>
        <v/>
      </c>
      <c r="N347" s="34" t="str">
        <f aca="false">IF(B347="","",IF(MONTH(B347)=5,"X",""))</f>
        <v/>
      </c>
      <c r="O347" s="34" t="str">
        <f aca="false">IF(B347="","",IF(MONTH(B347)=6,"X",""))</f>
        <v/>
      </c>
      <c r="P347" s="34" t="str">
        <f aca="false">IF(B347="","",IF(MONTH(B347)=7,"X",""))</f>
        <v/>
      </c>
      <c r="Q347" s="34" t="str">
        <f aca="false">IF(B347="","",IF(MONTH(B347)=8,"X",""))</f>
        <v/>
      </c>
      <c r="R347" s="34" t="str">
        <f aca="false">IF(B347="","",IF(MONTH(B347)=9,"X",""))</f>
        <v/>
      </c>
      <c r="S347" s="34" t="str">
        <f aca="false">IF(B347="","",IF(MONTH(B347)=10,"X",""))</f>
        <v/>
      </c>
      <c r="T347" s="34" t="str">
        <f aca="false">IF(B347="","",IF(MONTH(B347)=11,"X",""))</f>
        <v/>
      </c>
      <c r="U347" s="34" t="str">
        <f aca="false">IF(B347="","",IF(MONTH(B347)=12,"X",""))</f>
        <v/>
      </c>
      <c r="V347" s="24" t="str">
        <f aca="false">IF(E347="","",COUNTIF($E$5:$E$1000,E347))</f>
        <v/>
      </c>
      <c r="W347" s="35" t="str">
        <f aca="false">IF(E347="","",_xlfn.TEXTJOIN(" + ",TRUE(),IF(COUNTIFS($E$5:$E$1000,E347,$C$5:$C$1000,"Auditoría Interna")&gt;0,"Interna",""),IF(COUNTIFS($E$5:$E$1000,E347,$C$5:$C$1000,"Auditoría Externa")&gt;0,"Externa",""),IF(COUNTIFS($E$5:$E$1000,E347,$C$5:$C$1000,"SSF")&gt;0,"SSF",""),IF(COUNTIFS($E$5:$E$1000,E347,$C$5:$C$1000,"Comité de Supervisión")&gt;0,"Comité Sup.",""),IF(COUNTIFS($E$5:$E$1000,E347,$C$5:$C$1000,"Consejo de Administración")&gt;0,"Consejo",""),IF(COUNTIFS($E$5:$E$1000,E347,$C$5:$C$1000,"Otros")&gt;0,"Otros","")))</f>
        <v/>
      </c>
      <c r="X347" s="24" t="str">
        <f aca="false">IF(E347="","",COUNTIFS($E$5:$E$1000,E347,$AB$5:$AB$1000,AB347,$C$5:$C$1000,"&lt;&gt;"&amp;C347))</f>
        <v/>
      </c>
      <c r="Y347" s="33"/>
      <c r="Z347" s="31"/>
      <c r="AA347" s="33"/>
      <c r="AB347" s="37" t="str">
        <f aca="false">IF(B347="","",YEAR(B347)*100+MONTH(B347))</f>
        <v/>
      </c>
      <c r="AC347" s="37" t="str">
        <f aca="false">IF(AND(E347&lt;&gt;"",E347=Cruce!$C$5),COUNTIF($E$5:E347,E347),"")</f>
        <v/>
      </c>
      <c r="AD347" s="37" t="str">
        <f aca="false">IF(E347="","",C347&amp;"|"&amp;Y347&amp;"|"&amp;IF(B347="","s/f",TEXT(B347,"yyyymmdd")))</f>
        <v/>
      </c>
      <c r="AE347" s="37" t="n">
        <f aca="false">IF(E347="",0,IF(COUNTIFS($E$5:E347,E347,$AD$5:AD347,AD347)=1,1,0))</f>
        <v>0</v>
      </c>
    </row>
    <row r="348" customFormat="false" ht="15" hidden="false" customHeight="true" outlineLevel="0" collapsed="false">
      <c r="A348" s="31"/>
      <c r="B348" s="30"/>
      <c r="C348" s="31"/>
      <c r="D348" s="31"/>
      <c r="E348" s="32"/>
      <c r="F348" s="32"/>
      <c r="G348" s="33"/>
      <c r="H348" s="31"/>
      <c r="I348" s="24" t="str">
        <f aca="false">IF(B348="","",YEAR(B348))</f>
        <v/>
      </c>
      <c r="J348" s="34" t="str">
        <f aca="false">IF(B348="","",IF(MONTH(B348)=1,"X",""))</f>
        <v/>
      </c>
      <c r="K348" s="34" t="str">
        <f aca="false">IF(B348="","",IF(MONTH(B348)=2,"X",""))</f>
        <v/>
      </c>
      <c r="L348" s="34" t="str">
        <f aca="false">IF(B348="","",IF(MONTH(B348)=3,"X",""))</f>
        <v/>
      </c>
      <c r="M348" s="34" t="str">
        <f aca="false">IF(B348="","",IF(MONTH(B348)=4,"X",""))</f>
        <v/>
      </c>
      <c r="N348" s="34" t="str">
        <f aca="false">IF(B348="","",IF(MONTH(B348)=5,"X",""))</f>
        <v/>
      </c>
      <c r="O348" s="34" t="str">
        <f aca="false">IF(B348="","",IF(MONTH(B348)=6,"X",""))</f>
        <v/>
      </c>
      <c r="P348" s="34" t="str">
        <f aca="false">IF(B348="","",IF(MONTH(B348)=7,"X",""))</f>
        <v/>
      </c>
      <c r="Q348" s="34" t="str">
        <f aca="false">IF(B348="","",IF(MONTH(B348)=8,"X",""))</f>
        <v/>
      </c>
      <c r="R348" s="34" t="str">
        <f aca="false">IF(B348="","",IF(MONTH(B348)=9,"X",""))</f>
        <v/>
      </c>
      <c r="S348" s="34" t="str">
        <f aca="false">IF(B348="","",IF(MONTH(B348)=10,"X",""))</f>
        <v/>
      </c>
      <c r="T348" s="34" t="str">
        <f aca="false">IF(B348="","",IF(MONTH(B348)=11,"X",""))</f>
        <v/>
      </c>
      <c r="U348" s="34" t="str">
        <f aca="false">IF(B348="","",IF(MONTH(B348)=12,"X",""))</f>
        <v/>
      </c>
      <c r="V348" s="24" t="str">
        <f aca="false">IF(E348="","",COUNTIF($E$5:$E$1000,E348))</f>
        <v/>
      </c>
      <c r="W348" s="35" t="str">
        <f aca="false">IF(E348="","",_xlfn.TEXTJOIN(" + ",TRUE(),IF(COUNTIFS($E$5:$E$1000,E348,$C$5:$C$1000,"Auditoría Interna")&gt;0,"Interna",""),IF(COUNTIFS($E$5:$E$1000,E348,$C$5:$C$1000,"Auditoría Externa")&gt;0,"Externa",""),IF(COUNTIFS($E$5:$E$1000,E348,$C$5:$C$1000,"SSF")&gt;0,"SSF",""),IF(COUNTIFS($E$5:$E$1000,E348,$C$5:$C$1000,"Comité de Supervisión")&gt;0,"Comité Sup.",""),IF(COUNTIFS($E$5:$E$1000,E348,$C$5:$C$1000,"Consejo de Administración")&gt;0,"Consejo",""),IF(COUNTIFS($E$5:$E$1000,E348,$C$5:$C$1000,"Otros")&gt;0,"Otros","")))</f>
        <v/>
      </c>
      <c r="X348" s="24" t="str">
        <f aca="false">IF(E348="","",COUNTIFS($E$5:$E$1000,E348,$AB$5:$AB$1000,AB348,$C$5:$C$1000,"&lt;&gt;"&amp;C348))</f>
        <v/>
      </c>
      <c r="Y348" s="33"/>
      <c r="Z348" s="31"/>
      <c r="AA348" s="33"/>
      <c r="AB348" s="37" t="str">
        <f aca="false">IF(B348="","",YEAR(B348)*100+MONTH(B348))</f>
        <v/>
      </c>
      <c r="AC348" s="37" t="str">
        <f aca="false">IF(AND(E348&lt;&gt;"",E348=Cruce!$C$5),COUNTIF($E$5:E348,E348),"")</f>
        <v/>
      </c>
      <c r="AD348" s="37" t="str">
        <f aca="false">IF(E348="","",C348&amp;"|"&amp;Y348&amp;"|"&amp;IF(B348="","s/f",TEXT(B348,"yyyymmdd")))</f>
        <v/>
      </c>
      <c r="AE348" s="37" t="n">
        <f aca="false">IF(E348="",0,IF(COUNTIFS($E$5:E348,E348,$AD$5:AD348,AD348)=1,1,0))</f>
        <v>0</v>
      </c>
    </row>
    <row r="349" customFormat="false" ht="15" hidden="false" customHeight="true" outlineLevel="0" collapsed="false">
      <c r="A349" s="31"/>
      <c r="B349" s="30"/>
      <c r="C349" s="31"/>
      <c r="D349" s="31"/>
      <c r="E349" s="32"/>
      <c r="F349" s="32"/>
      <c r="G349" s="33"/>
      <c r="H349" s="31"/>
      <c r="I349" s="24" t="str">
        <f aca="false">IF(B349="","",YEAR(B349))</f>
        <v/>
      </c>
      <c r="J349" s="34" t="str">
        <f aca="false">IF(B349="","",IF(MONTH(B349)=1,"X",""))</f>
        <v/>
      </c>
      <c r="K349" s="34" t="str">
        <f aca="false">IF(B349="","",IF(MONTH(B349)=2,"X",""))</f>
        <v/>
      </c>
      <c r="L349" s="34" t="str">
        <f aca="false">IF(B349="","",IF(MONTH(B349)=3,"X",""))</f>
        <v/>
      </c>
      <c r="M349" s="34" t="str">
        <f aca="false">IF(B349="","",IF(MONTH(B349)=4,"X",""))</f>
        <v/>
      </c>
      <c r="N349" s="34" t="str">
        <f aca="false">IF(B349="","",IF(MONTH(B349)=5,"X",""))</f>
        <v/>
      </c>
      <c r="O349" s="34" t="str">
        <f aca="false">IF(B349="","",IF(MONTH(B349)=6,"X",""))</f>
        <v/>
      </c>
      <c r="P349" s="34" t="str">
        <f aca="false">IF(B349="","",IF(MONTH(B349)=7,"X",""))</f>
        <v/>
      </c>
      <c r="Q349" s="34" t="str">
        <f aca="false">IF(B349="","",IF(MONTH(B349)=8,"X",""))</f>
        <v/>
      </c>
      <c r="R349" s="34" t="str">
        <f aca="false">IF(B349="","",IF(MONTH(B349)=9,"X",""))</f>
        <v/>
      </c>
      <c r="S349" s="34" t="str">
        <f aca="false">IF(B349="","",IF(MONTH(B349)=10,"X",""))</f>
        <v/>
      </c>
      <c r="T349" s="34" t="str">
        <f aca="false">IF(B349="","",IF(MONTH(B349)=11,"X",""))</f>
        <v/>
      </c>
      <c r="U349" s="34" t="str">
        <f aca="false">IF(B349="","",IF(MONTH(B349)=12,"X",""))</f>
        <v/>
      </c>
      <c r="V349" s="24" t="str">
        <f aca="false">IF(E349="","",COUNTIF($E$5:$E$1000,E349))</f>
        <v/>
      </c>
      <c r="W349" s="35" t="str">
        <f aca="false">IF(E349="","",_xlfn.TEXTJOIN(" + ",TRUE(),IF(COUNTIFS($E$5:$E$1000,E349,$C$5:$C$1000,"Auditoría Interna")&gt;0,"Interna",""),IF(COUNTIFS($E$5:$E$1000,E349,$C$5:$C$1000,"Auditoría Externa")&gt;0,"Externa",""),IF(COUNTIFS($E$5:$E$1000,E349,$C$5:$C$1000,"SSF")&gt;0,"SSF",""),IF(COUNTIFS($E$5:$E$1000,E349,$C$5:$C$1000,"Comité de Supervisión")&gt;0,"Comité Sup.",""),IF(COUNTIFS($E$5:$E$1000,E349,$C$5:$C$1000,"Consejo de Administración")&gt;0,"Consejo",""),IF(COUNTIFS($E$5:$E$1000,E349,$C$5:$C$1000,"Otros")&gt;0,"Otros","")))</f>
        <v/>
      </c>
      <c r="X349" s="24" t="str">
        <f aca="false">IF(E349="","",COUNTIFS($E$5:$E$1000,E349,$AB$5:$AB$1000,AB349,$C$5:$C$1000,"&lt;&gt;"&amp;C349))</f>
        <v/>
      </c>
      <c r="Y349" s="33"/>
      <c r="Z349" s="31"/>
      <c r="AA349" s="33"/>
      <c r="AB349" s="37" t="str">
        <f aca="false">IF(B349="","",YEAR(B349)*100+MONTH(B349))</f>
        <v/>
      </c>
      <c r="AC349" s="37" t="str">
        <f aca="false">IF(AND(E349&lt;&gt;"",E349=Cruce!$C$5),COUNTIF($E$5:E349,E349),"")</f>
        <v/>
      </c>
      <c r="AD349" s="37" t="str">
        <f aca="false">IF(E349="","",C349&amp;"|"&amp;Y349&amp;"|"&amp;IF(B349="","s/f",TEXT(B349,"yyyymmdd")))</f>
        <v/>
      </c>
      <c r="AE349" s="37" t="n">
        <f aca="false">IF(E349="",0,IF(COUNTIFS($E$5:E349,E349,$AD$5:AD349,AD349)=1,1,0))</f>
        <v>0</v>
      </c>
    </row>
    <row r="350" customFormat="false" ht="15" hidden="false" customHeight="true" outlineLevel="0" collapsed="false">
      <c r="A350" s="31"/>
      <c r="B350" s="30"/>
      <c r="C350" s="31"/>
      <c r="D350" s="31"/>
      <c r="E350" s="32"/>
      <c r="F350" s="32"/>
      <c r="G350" s="33"/>
      <c r="H350" s="31"/>
      <c r="I350" s="24" t="str">
        <f aca="false">IF(B350="","",YEAR(B350))</f>
        <v/>
      </c>
      <c r="J350" s="34" t="str">
        <f aca="false">IF(B350="","",IF(MONTH(B350)=1,"X",""))</f>
        <v/>
      </c>
      <c r="K350" s="34" t="str">
        <f aca="false">IF(B350="","",IF(MONTH(B350)=2,"X",""))</f>
        <v/>
      </c>
      <c r="L350" s="34" t="str">
        <f aca="false">IF(B350="","",IF(MONTH(B350)=3,"X",""))</f>
        <v/>
      </c>
      <c r="M350" s="34" t="str">
        <f aca="false">IF(B350="","",IF(MONTH(B350)=4,"X",""))</f>
        <v/>
      </c>
      <c r="N350" s="34" t="str">
        <f aca="false">IF(B350="","",IF(MONTH(B350)=5,"X",""))</f>
        <v/>
      </c>
      <c r="O350" s="34" t="str">
        <f aca="false">IF(B350="","",IF(MONTH(B350)=6,"X",""))</f>
        <v/>
      </c>
      <c r="P350" s="34" t="str">
        <f aca="false">IF(B350="","",IF(MONTH(B350)=7,"X",""))</f>
        <v/>
      </c>
      <c r="Q350" s="34" t="str">
        <f aca="false">IF(B350="","",IF(MONTH(B350)=8,"X",""))</f>
        <v/>
      </c>
      <c r="R350" s="34" t="str">
        <f aca="false">IF(B350="","",IF(MONTH(B350)=9,"X",""))</f>
        <v/>
      </c>
      <c r="S350" s="34" t="str">
        <f aca="false">IF(B350="","",IF(MONTH(B350)=10,"X",""))</f>
        <v/>
      </c>
      <c r="T350" s="34" t="str">
        <f aca="false">IF(B350="","",IF(MONTH(B350)=11,"X",""))</f>
        <v/>
      </c>
      <c r="U350" s="34" t="str">
        <f aca="false">IF(B350="","",IF(MONTH(B350)=12,"X",""))</f>
        <v/>
      </c>
      <c r="V350" s="24" t="str">
        <f aca="false">IF(E350="","",COUNTIF($E$5:$E$1000,E350))</f>
        <v/>
      </c>
      <c r="W350" s="35" t="str">
        <f aca="false">IF(E350="","",_xlfn.TEXTJOIN(" + ",TRUE(),IF(COUNTIFS($E$5:$E$1000,E350,$C$5:$C$1000,"Auditoría Interna")&gt;0,"Interna",""),IF(COUNTIFS($E$5:$E$1000,E350,$C$5:$C$1000,"Auditoría Externa")&gt;0,"Externa",""),IF(COUNTIFS($E$5:$E$1000,E350,$C$5:$C$1000,"SSF")&gt;0,"SSF",""),IF(COUNTIFS($E$5:$E$1000,E350,$C$5:$C$1000,"Comité de Supervisión")&gt;0,"Comité Sup.",""),IF(COUNTIFS($E$5:$E$1000,E350,$C$5:$C$1000,"Consejo de Administración")&gt;0,"Consejo",""),IF(COUNTIFS($E$5:$E$1000,E350,$C$5:$C$1000,"Otros")&gt;0,"Otros","")))</f>
        <v/>
      </c>
      <c r="X350" s="24" t="str">
        <f aca="false">IF(E350="","",COUNTIFS($E$5:$E$1000,E350,$AB$5:$AB$1000,AB350,$C$5:$C$1000,"&lt;&gt;"&amp;C350))</f>
        <v/>
      </c>
      <c r="Y350" s="33"/>
      <c r="Z350" s="31"/>
      <c r="AA350" s="33"/>
      <c r="AB350" s="37" t="str">
        <f aca="false">IF(B350="","",YEAR(B350)*100+MONTH(B350))</f>
        <v/>
      </c>
      <c r="AC350" s="37" t="str">
        <f aca="false">IF(AND(E350&lt;&gt;"",E350=Cruce!$C$5),COUNTIF($E$5:E350,E350),"")</f>
        <v/>
      </c>
      <c r="AD350" s="37" t="str">
        <f aca="false">IF(E350="","",C350&amp;"|"&amp;Y350&amp;"|"&amp;IF(B350="","s/f",TEXT(B350,"yyyymmdd")))</f>
        <v/>
      </c>
      <c r="AE350" s="37" t="n">
        <f aca="false">IF(E350="",0,IF(COUNTIFS($E$5:E350,E350,$AD$5:AD350,AD350)=1,1,0))</f>
        <v>0</v>
      </c>
    </row>
    <row r="351" customFormat="false" ht="15" hidden="false" customHeight="true" outlineLevel="0" collapsed="false">
      <c r="A351" s="31"/>
      <c r="B351" s="30"/>
      <c r="C351" s="31"/>
      <c r="D351" s="31"/>
      <c r="E351" s="32"/>
      <c r="F351" s="32"/>
      <c r="G351" s="33"/>
      <c r="H351" s="31"/>
      <c r="I351" s="24" t="str">
        <f aca="false">IF(B351="","",YEAR(B351))</f>
        <v/>
      </c>
      <c r="J351" s="34" t="str">
        <f aca="false">IF(B351="","",IF(MONTH(B351)=1,"X",""))</f>
        <v/>
      </c>
      <c r="K351" s="34" t="str">
        <f aca="false">IF(B351="","",IF(MONTH(B351)=2,"X",""))</f>
        <v/>
      </c>
      <c r="L351" s="34" t="str">
        <f aca="false">IF(B351="","",IF(MONTH(B351)=3,"X",""))</f>
        <v/>
      </c>
      <c r="M351" s="34" t="str">
        <f aca="false">IF(B351="","",IF(MONTH(B351)=4,"X",""))</f>
        <v/>
      </c>
      <c r="N351" s="34" t="str">
        <f aca="false">IF(B351="","",IF(MONTH(B351)=5,"X",""))</f>
        <v/>
      </c>
      <c r="O351" s="34" t="str">
        <f aca="false">IF(B351="","",IF(MONTH(B351)=6,"X",""))</f>
        <v/>
      </c>
      <c r="P351" s="34" t="str">
        <f aca="false">IF(B351="","",IF(MONTH(B351)=7,"X",""))</f>
        <v/>
      </c>
      <c r="Q351" s="34" t="str">
        <f aca="false">IF(B351="","",IF(MONTH(B351)=8,"X",""))</f>
        <v/>
      </c>
      <c r="R351" s="34" t="str">
        <f aca="false">IF(B351="","",IF(MONTH(B351)=9,"X",""))</f>
        <v/>
      </c>
      <c r="S351" s="34" t="str">
        <f aca="false">IF(B351="","",IF(MONTH(B351)=10,"X",""))</f>
        <v/>
      </c>
      <c r="T351" s="34" t="str">
        <f aca="false">IF(B351="","",IF(MONTH(B351)=11,"X",""))</f>
        <v/>
      </c>
      <c r="U351" s="34" t="str">
        <f aca="false">IF(B351="","",IF(MONTH(B351)=12,"X",""))</f>
        <v/>
      </c>
      <c r="V351" s="24" t="str">
        <f aca="false">IF(E351="","",COUNTIF($E$5:$E$1000,E351))</f>
        <v/>
      </c>
      <c r="W351" s="35" t="str">
        <f aca="false">IF(E351="","",_xlfn.TEXTJOIN(" + ",TRUE(),IF(COUNTIFS($E$5:$E$1000,E351,$C$5:$C$1000,"Auditoría Interna")&gt;0,"Interna",""),IF(COUNTIFS($E$5:$E$1000,E351,$C$5:$C$1000,"Auditoría Externa")&gt;0,"Externa",""),IF(COUNTIFS($E$5:$E$1000,E351,$C$5:$C$1000,"SSF")&gt;0,"SSF",""),IF(COUNTIFS($E$5:$E$1000,E351,$C$5:$C$1000,"Comité de Supervisión")&gt;0,"Comité Sup.",""),IF(COUNTIFS($E$5:$E$1000,E351,$C$5:$C$1000,"Consejo de Administración")&gt;0,"Consejo",""),IF(COUNTIFS($E$5:$E$1000,E351,$C$5:$C$1000,"Otros")&gt;0,"Otros","")))</f>
        <v/>
      </c>
      <c r="X351" s="24" t="str">
        <f aca="false">IF(E351="","",COUNTIFS($E$5:$E$1000,E351,$AB$5:$AB$1000,AB351,$C$5:$C$1000,"&lt;&gt;"&amp;C351))</f>
        <v/>
      </c>
      <c r="Y351" s="33"/>
      <c r="Z351" s="31"/>
      <c r="AA351" s="33"/>
      <c r="AB351" s="37" t="str">
        <f aca="false">IF(B351="","",YEAR(B351)*100+MONTH(B351))</f>
        <v/>
      </c>
      <c r="AC351" s="37" t="str">
        <f aca="false">IF(AND(E351&lt;&gt;"",E351=Cruce!$C$5),COUNTIF($E$5:E351,E351),"")</f>
        <v/>
      </c>
      <c r="AD351" s="37" t="str">
        <f aca="false">IF(E351="","",C351&amp;"|"&amp;Y351&amp;"|"&amp;IF(B351="","s/f",TEXT(B351,"yyyymmdd")))</f>
        <v/>
      </c>
      <c r="AE351" s="37" t="n">
        <f aca="false">IF(E351="",0,IF(COUNTIFS($E$5:E351,E351,$AD$5:AD351,AD351)=1,1,0))</f>
        <v>0</v>
      </c>
    </row>
    <row r="352" customFormat="false" ht="15" hidden="false" customHeight="true" outlineLevel="0" collapsed="false">
      <c r="A352" s="31"/>
      <c r="B352" s="30"/>
      <c r="C352" s="31"/>
      <c r="D352" s="31"/>
      <c r="E352" s="32"/>
      <c r="F352" s="32"/>
      <c r="G352" s="33"/>
      <c r="H352" s="31"/>
      <c r="I352" s="24" t="str">
        <f aca="false">IF(B352="","",YEAR(B352))</f>
        <v/>
      </c>
      <c r="J352" s="34" t="str">
        <f aca="false">IF(B352="","",IF(MONTH(B352)=1,"X",""))</f>
        <v/>
      </c>
      <c r="K352" s="34" t="str">
        <f aca="false">IF(B352="","",IF(MONTH(B352)=2,"X",""))</f>
        <v/>
      </c>
      <c r="L352" s="34" t="str">
        <f aca="false">IF(B352="","",IF(MONTH(B352)=3,"X",""))</f>
        <v/>
      </c>
      <c r="M352" s="34" t="str">
        <f aca="false">IF(B352="","",IF(MONTH(B352)=4,"X",""))</f>
        <v/>
      </c>
      <c r="N352" s="34" t="str">
        <f aca="false">IF(B352="","",IF(MONTH(B352)=5,"X",""))</f>
        <v/>
      </c>
      <c r="O352" s="34" t="str">
        <f aca="false">IF(B352="","",IF(MONTH(B352)=6,"X",""))</f>
        <v/>
      </c>
      <c r="P352" s="34" t="str">
        <f aca="false">IF(B352="","",IF(MONTH(B352)=7,"X",""))</f>
        <v/>
      </c>
      <c r="Q352" s="34" t="str">
        <f aca="false">IF(B352="","",IF(MONTH(B352)=8,"X",""))</f>
        <v/>
      </c>
      <c r="R352" s="34" t="str">
        <f aca="false">IF(B352="","",IF(MONTH(B352)=9,"X",""))</f>
        <v/>
      </c>
      <c r="S352" s="34" t="str">
        <f aca="false">IF(B352="","",IF(MONTH(B352)=10,"X",""))</f>
        <v/>
      </c>
      <c r="T352" s="34" t="str">
        <f aca="false">IF(B352="","",IF(MONTH(B352)=11,"X",""))</f>
        <v/>
      </c>
      <c r="U352" s="34" t="str">
        <f aca="false">IF(B352="","",IF(MONTH(B352)=12,"X",""))</f>
        <v/>
      </c>
      <c r="V352" s="24" t="str">
        <f aca="false">IF(E352="","",COUNTIF($E$5:$E$1000,E352))</f>
        <v/>
      </c>
      <c r="W352" s="35" t="str">
        <f aca="false">IF(E352="","",_xlfn.TEXTJOIN(" + ",TRUE(),IF(COUNTIFS($E$5:$E$1000,E352,$C$5:$C$1000,"Auditoría Interna")&gt;0,"Interna",""),IF(COUNTIFS($E$5:$E$1000,E352,$C$5:$C$1000,"Auditoría Externa")&gt;0,"Externa",""),IF(COUNTIFS($E$5:$E$1000,E352,$C$5:$C$1000,"SSF")&gt;0,"SSF",""),IF(COUNTIFS($E$5:$E$1000,E352,$C$5:$C$1000,"Comité de Supervisión")&gt;0,"Comité Sup.",""),IF(COUNTIFS($E$5:$E$1000,E352,$C$5:$C$1000,"Consejo de Administración")&gt;0,"Consejo",""),IF(COUNTIFS($E$5:$E$1000,E352,$C$5:$C$1000,"Otros")&gt;0,"Otros","")))</f>
        <v/>
      </c>
      <c r="X352" s="24" t="str">
        <f aca="false">IF(E352="","",COUNTIFS($E$5:$E$1000,E352,$AB$5:$AB$1000,AB352,$C$5:$C$1000,"&lt;&gt;"&amp;C352))</f>
        <v/>
      </c>
      <c r="Y352" s="33"/>
      <c r="Z352" s="31"/>
      <c r="AA352" s="33"/>
      <c r="AB352" s="37" t="str">
        <f aca="false">IF(B352="","",YEAR(B352)*100+MONTH(B352))</f>
        <v/>
      </c>
      <c r="AC352" s="37" t="str">
        <f aca="false">IF(AND(E352&lt;&gt;"",E352=Cruce!$C$5),COUNTIF($E$5:E352,E352),"")</f>
        <v/>
      </c>
      <c r="AD352" s="37" t="str">
        <f aca="false">IF(E352="","",C352&amp;"|"&amp;Y352&amp;"|"&amp;IF(B352="","s/f",TEXT(B352,"yyyymmdd")))</f>
        <v/>
      </c>
      <c r="AE352" s="37" t="n">
        <f aca="false">IF(E352="",0,IF(COUNTIFS($E$5:E352,E352,$AD$5:AD352,AD352)=1,1,0))</f>
        <v>0</v>
      </c>
    </row>
    <row r="353" customFormat="false" ht="15" hidden="false" customHeight="true" outlineLevel="0" collapsed="false">
      <c r="A353" s="31"/>
      <c r="B353" s="30"/>
      <c r="C353" s="31"/>
      <c r="D353" s="31"/>
      <c r="E353" s="32"/>
      <c r="F353" s="32"/>
      <c r="G353" s="33"/>
      <c r="H353" s="31"/>
      <c r="I353" s="24" t="str">
        <f aca="false">IF(B353="","",YEAR(B353))</f>
        <v/>
      </c>
      <c r="J353" s="34" t="str">
        <f aca="false">IF(B353="","",IF(MONTH(B353)=1,"X",""))</f>
        <v/>
      </c>
      <c r="K353" s="34" t="str">
        <f aca="false">IF(B353="","",IF(MONTH(B353)=2,"X",""))</f>
        <v/>
      </c>
      <c r="L353" s="34" t="str">
        <f aca="false">IF(B353="","",IF(MONTH(B353)=3,"X",""))</f>
        <v/>
      </c>
      <c r="M353" s="34" t="str">
        <f aca="false">IF(B353="","",IF(MONTH(B353)=4,"X",""))</f>
        <v/>
      </c>
      <c r="N353" s="34" t="str">
        <f aca="false">IF(B353="","",IF(MONTH(B353)=5,"X",""))</f>
        <v/>
      </c>
      <c r="O353" s="34" t="str">
        <f aca="false">IF(B353="","",IF(MONTH(B353)=6,"X",""))</f>
        <v/>
      </c>
      <c r="P353" s="34" t="str">
        <f aca="false">IF(B353="","",IF(MONTH(B353)=7,"X",""))</f>
        <v/>
      </c>
      <c r="Q353" s="34" t="str">
        <f aca="false">IF(B353="","",IF(MONTH(B353)=8,"X",""))</f>
        <v/>
      </c>
      <c r="R353" s="34" t="str">
        <f aca="false">IF(B353="","",IF(MONTH(B353)=9,"X",""))</f>
        <v/>
      </c>
      <c r="S353" s="34" t="str">
        <f aca="false">IF(B353="","",IF(MONTH(B353)=10,"X",""))</f>
        <v/>
      </c>
      <c r="T353" s="34" t="str">
        <f aca="false">IF(B353="","",IF(MONTH(B353)=11,"X",""))</f>
        <v/>
      </c>
      <c r="U353" s="34" t="str">
        <f aca="false">IF(B353="","",IF(MONTH(B353)=12,"X",""))</f>
        <v/>
      </c>
      <c r="V353" s="24" t="str">
        <f aca="false">IF(E353="","",COUNTIF($E$5:$E$1000,E353))</f>
        <v/>
      </c>
      <c r="W353" s="35" t="str">
        <f aca="false">IF(E353="","",_xlfn.TEXTJOIN(" + ",TRUE(),IF(COUNTIFS($E$5:$E$1000,E353,$C$5:$C$1000,"Auditoría Interna")&gt;0,"Interna",""),IF(COUNTIFS($E$5:$E$1000,E353,$C$5:$C$1000,"Auditoría Externa")&gt;0,"Externa",""),IF(COUNTIFS($E$5:$E$1000,E353,$C$5:$C$1000,"SSF")&gt;0,"SSF",""),IF(COUNTIFS($E$5:$E$1000,E353,$C$5:$C$1000,"Comité de Supervisión")&gt;0,"Comité Sup.",""),IF(COUNTIFS($E$5:$E$1000,E353,$C$5:$C$1000,"Consejo de Administración")&gt;0,"Consejo",""),IF(COUNTIFS($E$5:$E$1000,E353,$C$5:$C$1000,"Otros")&gt;0,"Otros","")))</f>
        <v/>
      </c>
      <c r="X353" s="24" t="str">
        <f aca="false">IF(E353="","",COUNTIFS($E$5:$E$1000,E353,$AB$5:$AB$1000,AB353,$C$5:$C$1000,"&lt;&gt;"&amp;C353))</f>
        <v/>
      </c>
      <c r="Y353" s="33"/>
      <c r="Z353" s="31"/>
      <c r="AA353" s="33"/>
      <c r="AB353" s="37" t="str">
        <f aca="false">IF(B353="","",YEAR(B353)*100+MONTH(B353))</f>
        <v/>
      </c>
      <c r="AC353" s="37" t="str">
        <f aca="false">IF(AND(E353&lt;&gt;"",E353=Cruce!$C$5),COUNTIF($E$5:E353,E353),"")</f>
        <v/>
      </c>
      <c r="AD353" s="37" t="str">
        <f aca="false">IF(E353="","",C353&amp;"|"&amp;Y353&amp;"|"&amp;IF(B353="","s/f",TEXT(B353,"yyyymmdd")))</f>
        <v/>
      </c>
      <c r="AE353" s="37" t="n">
        <f aca="false">IF(E353="",0,IF(COUNTIFS($E$5:E353,E353,$AD$5:AD353,AD353)=1,1,0))</f>
        <v>0</v>
      </c>
    </row>
    <row r="354" customFormat="false" ht="15" hidden="false" customHeight="true" outlineLevel="0" collapsed="false">
      <c r="A354" s="31"/>
      <c r="B354" s="30"/>
      <c r="C354" s="31"/>
      <c r="D354" s="31"/>
      <c r="E354" s="32"/>
      <c r="F354" s="32"/>
      <c r="G354" s="33"/>
      <c r="H354" s="31"/>
      <c r="I354" s="24" t="str">
        <f aca="false">IF(B354="","",YEAR(B354))</f>
        <v/>
      </c>
      <c r="J354" s="34" t="str">
        <f aca="false">IF(B354="","",IF(MONTH(B354)=1,"X",""))</f>
        <v/>
      </c>
      <c r="K354" s="34" t="str">
        <f aca="false">IF(B354="","",IF(MONTH(B354)=2,"X",""))</f>
        <v/>
      </c>
      <c r="L354" s="34" t="str">
        <f aca="false">IF(B354="","",IF(MONTH(B354)=3,"X",""))</f>
        <v/>
      </c>
      <c r="M354" s="34" t="str">
        <f aca="false">IF(B354="","",IF(MONTH(B354)=4,"X",""))</f>
        <v/>
      </c>
      <c r="N354" s="34" t="str">
        <f aca="false">IF(B354="","",IF(MONTH(B354)=5,"X",""))</f>
        <v/>
      </c>
      <c r="O354" s="34" t="str">
        <f aca="false">IF(B354="","",IF(MONTH(B354)=6,"X",""))</f>
        <v/>
      </c>
      <c r="P354" s="34" t="str">
        <f aca="false">IF(B354="","",IF(MONTH(B354)=7,"X",""))</f>
        <v/>
      </c>
      <c r="Q354" s="34" t="str">
        <f aca="false">IF(B354="","",IF(MONTH(B354)=8,"X",""))</f>
        <v/>
      </c>
      <c r="R354" s="34" t="str">
        <f aca="false">IF(B354="","",IF(MONTH(B354)=9,"X",""))</f>
        <v/>
      </c>
      <c r="S354" s="34" t="str">
        <f aca="false">IF(B354="","",IF(MONTH(B354)=10,"X",""))</f>
        <v/>
      </c>
      <c r="T354" s="34" t="str">
        <f aca="false">IF(B354="","",IF(MONTH(B354)=11,"X",""))</f>
        <v/>
      </c>
      <c r="U354" s="34" t="str">
        <f aca="false">IF(B354="","",IF(MONTH(B354)=12,"X",""))</f>
        <v/>
      </c>
      <c r="V354" s="24" t="str">
        <f aca="false">IF(E354="","",COUNTIF($E$5:$E$1000,E354))</f>
        <v/>
      </c>
      <c r="W354" s="35" t="str">
        <f aca="false">IF(E354="","",_xlfn.TEXTJOIN(" + ",TRUE(),IF(COUNTIFS($E$5:$E$1000,E354,$C$5:$C$1000,"Auditoría Interna")&gt;0,"Interna",""),IF(COUNTIFS($E$5:$E$1000,E354,$C$5:$C$1000,"Auditoría Externa")&gt;0,"Externa",""),IF(COUNTIFS($E$5:$E$1000,E354,$C$5:$C$1000,"SSF")&gt;0,"SSF",""),IF(COUNTIFS($E$5:$E$1000,E354,$C$5:$C$1000,"Comité de Supervisión")&gt;0,"Comité Sup.",""),IF(COUNTIFS($E$5:$E$1000,E354,$C$5:$C$1000,"Consejo de Administración")&gt;0,"Consejo",""),IF(COUNTIFS($E$5:$E$1000,E354,$C$5:$C$1000,"Otros")&gt;0,"Otros","")))</f>
        <v/>
      </c>
      <c r="X354" s="24" t="str">
        <f aca="false">IF(E354="","",COUNTIFS($E$5:$E$1000,E354,$AB$5:$AB$1000,AB354,$C$5:$C$1000,"&lt;&gt;"&amp;C354))</f>
        <v/>
      </c>
      <c r="Y354" s="33"/>
      <c r="Z354" s="31"/>
      <c r="AA354" s="33"/>
      <c r="AB354" s="37" t="str">
        <f aca="false">IF(B354="","",YEAR(B354)*100+MONTH(B354))</f>
        <v/>
      </c>
      <c r="AC354" s="37" t="str">
        <f aca="false">IF(AND(E354&lt;&gt;"",E354=Cruce!$C$5),COUNTIF($E$5:E354,E354),"")</f>
        <v/>
      </c>
      <c r="AD354" s="37" t="str">
        <f aca="false">IF(E354="","",C354&amp;"|"&amp;Y354&amp;"|"&amp;IF(B354="","s/f",TEXT(B354,"yyyymmdd")))</f>
        <v/>
      </c>
      <c r="AE354" s="37" t="n">
        <f aca="false">IF(E354="",0,IF(COUNTIFS($E$5:E354,E354,$AD$5:AD354,AD354)=1,1,0))</f>
        <v>0</v>
      </c>
    </row>
    <row r="355" customFormat="false" ht="15" hidden="false" customHeight="true" outlineLevel="0" collapsed="false">
      <c r="A355" s="31"/>
      <c r="B355" s="30"/>
      <c r="C355" s="31"/>
      <c r="D355" s="31"/>
      <c r="E355" s="32"/>
      <c r="F355" s="32"/>
      <c r="G355" s="33"/>
      <c r="H355" s="31"/>
      <c r="I355" s="24" t="str">
        <f aca="false">IF(B355="","",YEAR(B355))</f>
        <v/>
      </c>
      <c r="J355" s="34" t="str">
        <f aca="false">IF(B355="","",IF(MONTH(B355)=1,"X",""))</f>
        <v/>
      </c>
      <c r="K355" s="34" t="str">
        <f aca="false">IF(B355="","",IF(MONTH(B355)=2,"X",""))</f>
        <v/>
      </c>
      <c r="L355" s="34" t="str">
        <f aca="false">IF(B355="","",IF(MONTH(B355)=3,"X",""))</f>
        <v/>
      </c>
      <c r="M355" s="34" t="str">
        <f aca="false">IF(B355="","",IF(MONTH(B355)=4,"X",""))</f>
        <v/>
      </c>
      <c r="N355" s="34" t="str">
        <f aca="false">IF(B355="","",IF(MONTH(B355)=5,"X",""))</f>
        <v/>
      </c>
      <c r="O355" s="34" t="str">
        <f aca="false">IF(B355="","",IF(MONTH(B355)=6,"X",""))</f>
        <v/>
      </c>
      <c r="P355" s="34" t="str">
        <f aca="false">IF(B355="","",IF(MONTH(B355)=7,"X",""))</f>
        <v/>
      </c>
      <c r="Q355" s="34" t="str">
        <f aca="false">IF(B355="","",IF(MONTH(B355)=8,"X",""))</f>
        <v/>
      </c>
      <c r="R355" s="34" t="str">
        <f aca="false">IF(B355="","",IF(MONTH(B355)=9,"X",""))</f>
        <v/>
      </c>
      <c r="S355" s="34" t="str">
        <f aca="false">IF(B355="","",IF(MONTH(B355)=10,"X",""))</f>
        <v/>
      </c>
      <c r="T355" s="34" t="str">
        <f aca="false">IF(B355="","",IF(MONTH(B355)=11,"X",""))</f>
        <v/>
      </c>
      <c r="U355" s="34" t="str">
        <f aca="false">IF(B355="","",IF(MONTH(B355)=12,"X",""))</f>
        <v/>
      </c>
      <c r="V355" s="24" t="str">
        <f aca="false">IF(E355="","",COUNTIF($E$5:$E$1000,E355))</f>
        <v/>
      </c>
      <c r="W355" s="35" t="str">
        <f aca="false">IF(E355="","",_xlfn.TEXTJOIN(" + ",TRUE(),IF(COUNTIFS($E$5:$E$1000,E355,$C$5:$C$1000,"Auditoría Interna")&gt;0,"Interna",""),IF(COUNTIFS($E$5:$E$1000,E355,$C$5:$C$1000,"Auditoría Externa")&gt;0,"Externa",""),IF(COUNTIFS($E$5:$E$1000,E355,$C$5:$C$1000,"SSF")&gt;0,"SSF",""),IF(COUNTIFS($E$5:$E$1000,E355,$C$5:$C$1000,"Comité de Supervisión")&gt;0,"Comité Sup.",""),IF(COUNTIFS($E$5:$E$1000,E355,$C$5:$C$1000,"Consejo de Administración")&gt;0,"Consejo",""),IF(COUNTIFS($E$5:$E$1000,E355,$C$5:$C$1000,"Otros")&gt;0,"Otros","")))</f>
        <v/>
      </c>
      <c r="X355" s="24" t="str">
        <f aca="false">IF(E355="","",COUNTIFS($E$5:$E$1000,E355,$AB$5:$AB$1000,AB355,$C$5:$C$1000,"&lt;&gt;"&amp;C355))</f>
        <v/>
      </c>
      <c r="Y355" s="33"/>
      <c r="Z355" s="31"/>
      <c r="AA355" s="33"/>
      <c r="AB355" s="37" t="str">
        <f aca="false">IF(B355="","",YEAR(B355)*100+MONTH(B355))</f>
        <v/>
      </c>
      <c r="AC355" s="37" t="str">
        <f aca="false">IF(AND(E355&lt;&gt;"",E355=Cruce!$C$5),COUNTIF($E$5:E355,E355),"")</f>
        <v/>
      </c>
      <c r="AD355" s="37" t="str">
        <f aca="false">IF(E355="","",C355&amp;"|"&amp;Y355&amp;"|"&amp;IF(B355="","s/f",TEXT(B355,"yyyymmdd")))</f>
        <v/>
      </c>
      <c r="AE355" s="37" t="n">
        <f aca="false">IF(E355="",0,IF(COUNTIFS($E$5:E355,E355,$AD$5:AD355,AD355)=1,1,0))</f>
        <v>0</v>
      </c>
    </row>
    <row r="356" customFormat="false" ht="15" hidden="false" customHeight="true" outlineLevel="0" collapsed="false">
      <c r="A356" s="31"/>
      <c r="B356" s="30"/>
      <c r="C356" s="31"/>
      <c r="D356" s="31"/>
      <c r="E356" s="32"/>
      <c r="F356" s="32"/>
      <c r="G356" s="33"/>
      <c r="H356" s="31"/>
      <c r="I356" s="24" t="str">
        <f aca="false">IF(B356="","",YEAR(B356))</f>
        <v/>
      </c>
      <c r="J356" s="34" t="str">
        <f aca="false">IF(B356="","",IF(MONTH(B356)=1,"X",""))</f>
        <v/>
      </c>
      <c r="K356" s="34" t="str">
        <f aca="false">IF(B356="","",IF(MONTH(B356)=2,"X",""))</f>
        <v/>
      </c>
      <c r="L356" s="34" t="str">
        <f aca="false">IF(B356="","",IF(MONTH(B356)=3,"X",""))</f>
        <v/>
      </c>
      <c r="M356" s="34" t="str">
        <f aca="false">IF(B356="","",IF(MONTH(B356)=4,"X",""))</f>
        <v/>
      </c>
      <c r="N356" s="34" t="str">
        <f aca="false">IF(B356="","",IF(MONTH(B356)=5,"X",""))</f>
        <v/>
      </c>
      <c r="O356" s="34" t="str">
        <f aca="false">IF(B356="","",IF(MONTH(B356)=6,"X",""))</f>
        <v/>
      </c>
      <c r="P356" s="34" t="str">
        <f aca="false">IF(B356="","",IF(MONTH(B356)=7,"X",""))</f>
        <v/>
      </c>
      <c r="Q356" s="34" t="str">
        <f aca="false">IF(B356="","",IF(MONTH(B356)=8,"X",""))</f>
        <v/>
      </c>
      <c r="R356" s="34" t="str">
        <f aca="false">IF(B356="","",IF(MONTH(B356)=9,"X",""))</f>
        <v/>
      </c>
      <c r="S356" s="34" t="str">
        <f aca="false">IF(B356="","",IF(MONTH(B356)=10,"X",""))</f>
        <v/>
      </c>
      <c r="T356" s="34" t="str">
        <f aca="false">IF(B356="","",IF(MONTH(B356)=11,"X",""))</f>
        <v/>
      </c>
      <c r="U356" s="34" t="str">
        <f aca="false">IF(B356="","",IF(MONTH(B356)=12,"X",""))</f>
        <v/>
      </c>
      <c r="V356" s="24" t="str">
        <f aca="false">IF(E356="","",COUNTIF($E$5:$E$1000,E356))</f>
        <v/>
      </c>
      <c r="W356" s="35" t="str">
        <f aca="false">IF(E356="","",_xlfn.TEXTJOIN(" + ",TRUE(),IF(COUNTIFS($E$5:$E$1000,E356,$C$5:$C$1000,"Auditoría Interna")&gt;0,"Interna",""),IF(COUNTIFS($E$5:$E$1000,E356,$C$5:$C$1000,"Auditoría Externa")&gt;0,"Externa",""),IF(COUNTIFS($E$5:$E$1000,E356,$C$5:$C$1000,"SSF")&gt;0,"SSF",""),IF(COUNTIFS($E$5:$E$1000,E356,$C$5:$C$1000,"Comité de Supervisión")&gt;0,"Comité Sup.",""),IF(COUNTIFS($E$5:$E$1000,E356,$C$5:$C$1000,"Consejo de Administración")&gt;0,"Consejo",""),IF(COUNTIFS($E$5:$E$1000,E356,$C$5:$C$1000,"Otros")&gt;0,"Otros","")))</f>
        <v/>
      </c>
      <c r="X356" s="24" t="str">
        <f aca="false">IF(E356="","",COUNTIFS($E$5:$E$1000,E356,$AB$5:$AB$1000,AB356,$C$5:$C$1000,"&lt;&gt;"&amp;C356))</f>
        <v/>
      </c>
      <c r="Y356" s="33"/>
      <c r="Z356" s="31"/>
      <c r="AA356" s="33"/>
      <c r="AB356" s="37" t="str">
        <f aca="false">IF(B356="","",YEAR(B356)*100+MONTH(B356))</f>
        <v/>
      </c>
      <c r="AC356" s="37" t="str">
        <f aca="false">IF(AND(E356&lt;&gt;"",E356=Cruce!$C$5),COUNTIF($E$5:E356,E356),"")</f>
        <v/>
      </c>
      <c r="AD356" s="37" t="str">
        <f aca="false">IF(E356="","",C356&amp;"|"&amp;Y356&amp;"|"&amp;IF(B356="","s/f",TEXT(B356,"yyyymmdd")))</f>
        <v/>
      </c>
      <c r="AE356" s="37" t="n">
        <f aca="false">IF(E356="",0,IF(COUNTIFS($E$5:E356,E356,$AD$5:AD356,AD356)=1,1,0))</f>
        <v>0</v>
      </c>
    </row>
    <row r="357" customFormat="false" ht="15" hidden="false" customHeight="true" outlineLevel="0" collapsed="false">
      <c r="A357" s="31"/>
      <c r="B357" s="30"/>
      <c r="C357" s="31"/>
      <c r="D357" s="31"/>
      <c r="E357" s="32"/>
      <c r="F357" s="32"/>
      <c r="G357" s="33"/>
      <c r="H357" s="31"/>
      <c r="I357" s="24" t="str">
        <f aca="false">IF(B357="","",YEAR(B357))</f>
        <v/>
      </c>
      <c r="J357" s="34" t="str">
        <f aca="false">IF(B357="","",IF(MONTH(B357)=1,"X",""))</f>
        <v/>
      </c>
      <c r="K357" s="34" t="str">
        <f aca="false">IF(B357="","",IF(MONTH(B357)=2,"X",""))</f>
        <v/>
      </c>
      <c r="L357" s="34" t="str">
        <f aca="false">IF(B357="","",IF(MONTH(B357)=3,"X",""))</f>
        <v/>
      </c>
      <c r="M357" s="34" t="str">
        <f aca="false">IF(B357="","",IF(MONTH(B357)=4,"X",""))</f>
        <v/>
      </c>
      <c r="N357" s="34" t="str">
        <f aca="false">IF(B357="","",IF(MONTH(B357)=5,"X",""))</f>
        <v/>
      </c>
      <c r="O357" s="34" t="str">
        <f aca="false">IF(B357="","",IF(MONTH(B357)=6,"X",""))</f>
        <v/>
      </c>
      <c r="P357" s="34" t="str">
        <f aca="false">IF(B357="","",IF(MONTH(B357)=7,"X",""))</f>
        <v/>
      </c>
      <c r="Q357" s="34" t="str">
        <f aca="false">IF(B357="","",IF(MONTH(B357)=8,"X",""))</f>
        <v/>
      </c>
      <c r="R357" s="34" t="str">
        <f aca="false">IF(B357="","",IF(MONTH(B357)=9,"X",""))</f>
        <v/>
      </c>
      <c r="S357" s="34" t="str">
        <f aca="false">IF(B357="","",IF(MONTH(B357)=10,"X",""))</f>
        <v/>
      </c>
      <c r="T357" s="34" t="str">
        <f aca="false">IF(B357="","",IF(MONTH(B357)=11,"X",""))</f>
        <v/>
      </c>
      <c r="U357" s="34" t="str">
        <f aca="false">IF(B357="","",IF(MONTH(B357)=12,"X",""))</f>
        <v/>
      </c>
      <c r="V357" s="24" t="str">
        <f aca="false">IF(E357="","",COUNTIF($E$5:$E$1000,E357))</f>
        <v/>
      </c>
      <c r="W357" s="35" t="str">
        <f aca="false">IF(E357="","",_xlfn.TEXTJOIN(" + ",TRUE(),IF(COUNTIFS($E$5:$E$1000,E357,$C$5:$C$1000,"Auditoría Interna")&gt;0,"Interna",""),IF(COUNTIFS($E$5:$E$1000,E357,$C$5:$C$1000,"Auditoría Externa")&gt;0,"Externa",""),IF(COUNTIFS($E$5:$E$1000,E357,$C$5:$C$1000,"SSF")&gt;0,"SSF",""),IF(COUNTIFS($E$5:$E$1000,E357,$C$5:$C$1000,"Comité de Supervisión")&gt;0,"Comité Sup.",""),IF(COUNTIFS($E$5:$E$1000,E357,$C$5:$C$1000,"Consejo de Administración")&gt;0,"Consejo",""),IF(COUNTIFS($E$5:$E$1000,E357,$C$5:$C$1000,"Otros")&gt;0,"Otros","")))</f>
        <v/>
      </c>
      <c r="X357" s="24" t="str">
        <f aca="false">IF(E357="","",COUNTIFS($E$5:$E$1000,E357,$AB$5:$AB$1000,AB357,$C$5:$C$1000,"&lt;&gt;"&amp;C357))</f>
        <v/>
      </c>
      <c r="Y357" s="33"/>
      <c r="Z357" s="31"/>
      <c r="AA357" s="33"/>
      <c r="AB357" s="37" t="str">
        <f aca="false">IF(B357="","",YEAR(B357)*100+MONTH(B357))</f>
        <v/>
      </c>
      <c r="AC357" s="37" t="str">
        <f aca="false">IF(AND(E357&lt;&gt;"",E357=Cruce!$C$5),COUNTIF($E$5:E357,E357),"")</f>
        <v/>
      </c>
      <c r="AD357" s="37" t="str">
        <f aca="false">IF(E357="","",C357&amp;"|"&amp;Y357&amp;"|"&amp;IF(B357="","s/f",TEXT(B357,"yyyymmdd")))</f>
        <v/>
      </c>
      <c r="AE357" s="37" t="n">
        <f aca="false">IF(E357="",0,IF(COUNTIFS($E$5:E357,E357,$AD$5:AD357,AD357)=1,1,0))</f>
        <v>0</v>
      </c>
    </row>
    <row r="358" customFormat="false" ht="15" hidden="false" customHeight="true" outlineLevel="0" collapsed="false">
      <c r="A358" s="31"/>
      <c r="B358" s="30"/>
      <c r="C358" s="31"/>
      <c r="D358" s="31"/>
      <c r="E358" s="32"/>
      <c r="F358" s="32"/>
      <c r="G358" s="33"/>
      <c r="H358" s="31"/>
      <c r="I358" s="24" t="str">
        <f aca="false">IF(B358="","",YEAR(B358))</f>
        <v/>
      </c>
      <c r="J358" s="34" t="str">
        <f aca="false">IF(B358="","",IF(MONTH(B358)=1,"X",""))</f>
        <v/>
      </c>
      <c r="K358" s="34" t="str">
        <f aca="false">IF(B358="","",IF(MONTH(B358)=2,"X",""))</f>
        <v/>
      </c>
      <c r="L358" s="34" t="str">
        <f aca="false">IF(B358="","",IF(MONTH(B358)=3,"X",""))</f>
        <v/>
      </c>
      <c r="M358" s="34" t="str">
        <f aca="false">IF(B358="","",IF(MONTH(B358)=4,"X",""))</f>
        <v/>
      </c>
      <c r="N358" s="34" t="str">
        <f aca="false">IF(B358="","",IF(MONTH(B358)=5,"X",""))</f>
        <v/>
      </c>
      <c r="O358" s="34" t="str">
        <f aca="false">IF(B358="","",IF(MONTH(B358)=6,"X",""))</f>
        <v/>
      </c>
      <c r="P358" s="34" t="str">
        <f aca="false">IF(B358="","",IF(MONTH(B358)=7,"X",""))</f>
        <v/>
      </c>
      <c r="Q358" s="34" t="str">
        <f aca="false">IF(B358="","",IF(MONTH(B358)=8,"X",""))</f>
        <v/>
      </c>
      <c r="R358" s="34" t="str">
        <f aca="false">IF(B358="","",IF(MONTH(B358)=9,"X",""))</f>
        <v/>
      </c>
      <c r="S358" s="34" t="str">
        <f aca="false">IF(B358="","",IF(MONTH(B358)=10,"X",""))</f>
        <v/>
      </c>
      <c r="T358" s="34" t="str">
        <f aca="false">IF(B358="","",IF(MONTH(B358)=11,"X",""))</f>
        <v/>
      </c>
      <c r="U358" s="34" t="str">
        <f aca="false">IF(B358="","",IF(MONTH(B358)=12,"X",""))</f>
        <v/>
      </c>
      <c r="V358" s="24" t="str">
        <f aca="false">IF(E358="","",COUNTIF($E$5:$E$1000,E358))</f>
        <v/>
      </c>
      <c r="W358" s="35" t="str">
        <f aca="false">IF(E358="","",_xlfn.TEXTJOIN(" + ",TRUE(),IF(COUNTIFS($E$5:$E$1000,E358,$C$5:$C$1000,"Auditoría Interna")&gt;0,"Interna",""),IF(COUNTIFS($E$5:$E$1000,E358,$C$5:$C$1000,"Auditoría Externa")&gt;0,"Externa",""),IF(COUNTIFS($E$5:$E$1000,E358,$C$5:$C$1000,"SSF")&gt;0,"SSF",""),IF(COUNTIFS($E$5:$E$1000,E358,$C$5:$C$1000,"Comité de Supervisión")&gt;0,"Comité Sup.",""),IF(COUNTIFS($E$5:$E$1000,E358,$C$5:$C$1000,"Consejo de Administración")&gt;0,"Consejo",""),IF(COUNTIFS($E$5:$E$1000,E358,$C$5:$C$1000,"Otros")&gt;0,"Otros","")))</f>
        <v/>
      </c>
      <c r="X358" s="24" t="str">
        <f aca="false">IF(E358="","",COUNTIFS($E$5:$E$1000,E358,$AB$5:$AB$1000,AB358,$C$5:$C$1000,"&lt;&gt;"&amp;C358))</f>
        <v/>
      </c>
      <c r="Y358" s="33"/>
      <c r="Z358" s="31"/>
      <c r="AA358" s="33"/>
      <c r="AB358" s="37" t="str">
        <f aca="false">IF(B358="","",YEAR(B358)*100+MONTH(B358))</f>
        <v/>
      </c>
      <c r="AC358" s="37" t="str">
        <f aca="false">IF(AND(E358&lt;&gt;"",E358=Cruce!$C$5),COUNTIF($E$5:E358,E358),"")</f>
        <v/>
      </c>
      <c r="AD358" s="37" t="str">
        <f aca="false">IF(E358="","",C358&amp;"|"&amp;Y358&amp;"|"&amp;IF(B358="","s/f",TEXT(B358,"yyyymmdd")))</f>
        <v/>
      </c>
      <c r="AE358" s="37" t="n">
        <f aca="false">IF(E358="",0,IF(COUNTIFS($E$5:E358,E358,$AD$5:AD358,AD358)=1,1,0))</f>
        <v>0</v>
      </c>
    </row>
    <row r="359" customFormat="false" ht="15" hidden="false" customHeight="true" outlineLevel="0" collapsed="false">
      <c r="A359" s="31"/>
      <c r="B359" s="30"/>
      <c r="C359" s="31"/>
      <c r="D359" s="31"/>
      <c r="E359" s="32"/>
      <c r="F359" s="32"/>
      <c r="G359" s="33"/>
      <c r="H359" s="31"/>
      <c r="I359" s="24" t="str">
        <f aca="false">IF(B359="","",YEAR(B359))</f>
        <v/>
      </c>
      <c r="J359" s="34" t="str">
        <f aca="false">IF(B359="","",IF(MONTH(B359)=1,"X",""))</f>
        <v/>
      </c>
      <c r="K359" s="34" t="str">
        <f aca="false">IF(B359="","",IF(MONTH(B359)=2,"X",""))</f>
        <v/>
      </c>
      <c r="L359" s="34" t="str">
        <f aca="false">IF(B359="","",IF(MONTH(B359)=3,"X",""))</f>
        <v/>
      </c>
      <c r="M359" s="34" t="str">
        <f aca="false">IF(B359="","",IF(MONTH(B359)=4,"X",""))</f>
        <v/>
      </c>
      <c r="N359" s="34" t="str">
        <f aca="false">IF(B359="","",IF(MONTH(B359)=5,"X",""))</f>
        <v/>
      </c>
      <c r="O359" s="34" t="str">
        <f aca="false">IF(B359="","",IF(MONTH(B359)=6,"X",""))</f>
        <v/>
      </c>
      <c r="P359" s="34" t="str">
        <f aca="false">IF(B359="","",IF(MONTH(B359)=7,"X",""))</f>
        <v/>
      </c>
      <c r="Q359" s="34" t="str">
        <f aca="false">IF(B359="","",IF(MONTH(B359)=8,"X",""))</f>
        <v/>
      </c>
      <c r="R359" s="34" t="str">
        <f aca="false">IF(B359="","",IF(MONTH(B359)=9,"X",""))</f>
        <v/>
      </c>
      <c r="S359" s="34" t="str">
        <f aca="false">IF(B359="","",IF(MONTH(B359)=10,"X",""))</f>
        <v/>
      </c>
      <c r="T359" s="34" t="str">
        <f aca="false">IF(B359="","",IF(MONTH(B359)=11,"X",""))</f>
        <v/>
      </c>
      <c r="U359" s="34" t="str">
        <f aca="false">IF(B359="","",IF(MONTH(B359)=12,"X",""))</f>
        <v/>
      </c>
      <c r="V359" s="24" t="str">
        <f aca="false">IF(E359="","",COUNTIF($E$5:$E$1000,E359))</f>
        <v/>
      </c>
      <c r="W359" s="35" t="str">
        <f aca="false">IF(E359="","",_xlfn.TEXTJOIN(" + ",TRUE(),IF(COUNTIFS($E$5:$E$1000,E359,$C$5:$C$1000,"Auditoría Interna")&gt;0,"Interna",""),IF(COUNTIFS($E$5:$E$1000,E359,$C$5:$C$1000,"Auditoría Externa")&gt;0,"Externa",""),IF(COUNTIFS($E$5:$E$1000,E359,$C$5:$C$1000,"SSF")&gt;0,"SSF",""),IF(COUNTIFS($E$5:$E$1000,E359,$C$5:$C$1000,"Comité de Supervisión")&gt;0,"Comité Sup.",""),IF(COUNTIFS($E$5:$E$1000,E359,$C$5:$C$1000,"Consejo de Administración")&gt;0,"Consejo",""),IF(COUNTIFS($E$5:$E$1000,E359,$C$5:$C$1000,"Otros")&gt;0,"Otros","")))</f>
        <v/>
      </c>
      <c r="X359" s="24" t="str">
        <f aca="false">IF(E359="","",COUNTIFS($E$5:$E$1000,E359,$AB$5:$AB$1000,AB359,$C$5:$C$1000,"&lt;&gt;"&amp;C359))</f>
        <v/>
      </c>
      <c r="Y359" s="33"/>
      <c r="Z359" s="31"/>
      <c r="AA359" s="33"/>
      <c r="AB359" s="37" t="str">
        <f aca="false">IF(B359="","",YEAR(B359)*100+MONTH(B359))</f>
        <v/>
      </c>
      <c r="AC359" s="37" t="str">
        <f aca="false">IF(AND(E359&lt;&gt;"",E359=Cruce!$C$5),COUNTIF($E$5:E359,E359),"")</f>
        <v/>
      </c>
      <c r="AD359" s="37" t="str">
        <f aca="false">IF(E359="","",C359&amp;"|"&amp;Y359&amp;"|"&amp;IF(B359="","s/f",TEXT(B359,"yyyymmdd")))</f>
        <v/>
      </c>
      <c r="AE359" s="37" t="n">
        <f aca="false">IF(E359="",0,IF(COUNTIFS($E$5:E359,E359,$AD$5:AD359,AD359)=1,1,0))</f>
        <v>0</v>
      </c>
    </row>
    <row r="360" customFormat="false" ht="15" hidden="false" customHeight="true" outlineLevel="0" collapsed="false">
      <c r="A360" s="31"/>
      <c r="B360" s="30"/>
      <c r="C360" s="31"/>
      <c r="D360" s="31"/>
      <c r="E360" s="32"/>
      <c r="F360" s="32"/>
      <c r="G360" s="33"/>
      <c r="H360" s="31"/>
      <c r="I360" s="24" t="str">
        <f aca="false">IF(B360="","",YEAR(B360))</f>
        <v/>
      </c>
      <c r="J360" s="34" t="str">
        <f aca="false">IF(B360="","",IF(MONTH(B360)=1,"X",""))</f>
        <v/>
      </c>
      <c r="K360" s="34" t="str">
        <f aca="false">IF(B360="","",IF(MONTH(B360)=2,"X",""))</f>
        <v/>
      </c>
      <c r="L360" s="34" t="str">
        <f aca="false">IF(B360="","",IF(MONTH(B360)=3,"X",""))</f>
        <v/>
      </c>
      <c r="M360" s="34" t="str">
        <f aca="false">IF(B360="","",IF(MONTH(B360)=4,"X",""))</f>
        <v/>
      </c>
      <c r="N360" s="34" t="str">
        <f aca="false">IF(B360="","",IF(MONTH(B360)=5,"X",""))</f>
        <v/>
      </c>
      <c r="O360" s="34" t="str">
        <f aca="false">IF(B360="","",IF(MONTH(B360)=6,"X",""))</f>
        <v/>
      </c>
      <c r="P360" s="34" t="str">
        <f aca="false">IF(B360="","",IF(MONTH(B360)=7,"X",""))</f>
        <v/>
      </c>
      <c r="Q360" s="34" t="str">
        <f aca="false">IF(B360="","",IF(MONTH(B360)=8,"X",""))</f>
        <v/>
      </c>
      <c r="R360" s="34" t="str">
        <f aca="false">IF(B360="","",IF(MONTH(B360)=9,"X",""))</f>
        <v/>
      </c>
      <c r="S360" s="34" t="str">
        <f aca="false">IF(B360="","",IF(MONTH(B360)=10,"X",""))</f>
        <v/>
      </c>
      <c r="T360" s="34" t="str">
        <f aca="false">IF(B360="","",IF(MONTH(B360)=11,"X",""))</f>
        <v/>
      </c>
      <c r="U360" s="34" t="str">
        <f aca="false">IF(B360="","",IF(MONTH(B360)=12,"X",""))</f>
        <v/>
      </c>
      <c r="V360" s="24" t="str">
        <f aca="false">IF(E360="","",COUNTIF($E$5:$E$1000,E360))</f>
        <v/>
      </c>
      <c r="W360" s="35" t="str">
        <f aca="false">IF(E360="","",_xlfn.TEXTJOIN(" + ",TRUE(),IF(COUNTIFS($E$5:$E$1000,E360,$C$5:$C$1000,"Auditoría Interna")&gt;0,"Interna",""),IF(COUNTIFS($E$5:$E$1000,E360,$C$5:$C$1000,"Auditoría Externa")&gt;0,"Externa",""),IF(COUNTIFS($E$5:$E$1000,E360,$C$5:$C$1000,"SSF")&gt;0,"SSF",""),IF(COUNTIFS($E$5:$E$1000,E360,$C$5:$C$1000,"Comité de Supervisión")&gt;0,"Comité Sup.",""),IF(COUNTIFS($E$5:$E$1000,E360,$C$5:$C$1000,"Consejo de Administración")&gt;0,"Consejo",""),IF(COUNTIFS($E$5:$E$1000,E360,$C$5:$C$1000,"Otros")&gt;0,"Otros","")))</f>
        <v/>
      </c>
      <c r="X360" s="24" t="str">
        <f aca="false">IF(E360="","",COUNTIFS($E$5:$E$1000,E360,$AB$5:$AB$1000,AB360,$C$5:$C$1000,"&lt;&gt;"&amp;C360))</f>
        <v/>
      </c>
      <c r="Y360" s="33"/>
      <c r="Z360" s="31"/>
      <c r="AA360" s="33"/>
      <c r="AB360" s="37" t="str">
        <f aca="false">IF(B360="","",YEAR(B360)*100+MONTH(B360))</f>
        <v/>
      </c>
      <c r="AC360" s="37" t="str">
        <f aca="false">IF(AND(E360&lt;&gt;"",E360=Cruce!$C$5),COUNTIF($E$5:E360,E360),"")</f>
        <v/>
      </c>
      <c r="AD360" s="37" t="str">
        <f aca="false">IF(E360="","",C360&amp;"|"&amp;Y360&amp;"|"&amp;IF(B360="","s/f",TEXT(B360,"yyyymmdd")))</f>
        <v/>
      </c>
      <c r="AE360" s="37" t="n">
        <f aca="false">IF(E360="",0,IF(COUNTIFS($E$5:E360,E360,$AD$5:AD360,AD360)=1,1,0))</f>
        <v>0</v>
      </c>
    </row>
    <row r="361" customFormat="false" ht="15" hidden="false" customHeight="true" outlineLevel="0" collapsed="false">
      <c r="A361" s="31"/>
      <c r="B361" s="30"/>
      <c r="C361" s="31"/>
      <c r="D361" s="31"/>
      <c r="E361" s="32"/>
      <c r="F361" s="32"/>
      <c r="G361" s="33"/>
      <c r="H361" s="31"/>
      <c r="I361" s="24" t="str">
        <f aca="false">IF(B361="","",YEAR(B361))</f>
        <v/>
      </c>
      <c r="J361" s="34" t="str">
        <f aca="false">IF(B361="","",IF(MONTH(B361)=1,"X",""))</f>
        <v/>
      </c>
      <c r="K361" s="34" t="str">
        <f aca="false">IF(B361="","",IF(MONTH(B361)=2,"X",""))</f>
        <v/>
      </c>
      <c r="L361" s="34" t="str">
        <f aca="false">IF(B361="","",IF(MONTH(B361)=3,"X",""))</f>
        <v/>
      </c>
      <c r="M361" s="34" t="str">
        <f aca="false">IF(B361="","",IF(MONTH(B361)=4,"X",""))</f>
        <v/>
      </c>
      <c r="N361" s="34" t="str">
        <f aca="false">IF(B361="","",IF(MONTH(B361)=5,"X",""))</f>
        <v/>
      </c>
      <c r="O361" s="34" t="str">
        <f aca="false">IF(B361="","",IF(MONTH(B361)=6,"X",""))</f>
        <v/>
      </c>
      <c r="P361" s="34" t="str">
        <f aca="false">IF(B361="","",IF(MONTH(B361)=7,"X",""))</f>
        <v/>
      </c>
      <c r="Q361" s="34" t="str">
        <f aca="false">IF(B361="","",IF(MONTH(B361)=8,"X",""))</f>
        <v/>
      </c>
      <c r="R361" s="34" t="str">
        <f aca="false">IF(B361="","",IF(MONTH(B361)=9,"X",""))</f>
        <v/>
      </c>
      <c r="S361" s="34" t="str">
        <f aca="false">IF(B361="","",IF(MONTH(B361)=10,"X",""))</f>
        <v/>
      </c>
      <c r="T361" s="34" t="str">
        <f aca="false">IF(B361="","",IF(MONTH(B361)=11,"X",""))</f>
        <v/>
      </c>
      <c r="U361" s="34" t="str">
        <f aca="false">IF(B361="","",IF(MONTH(B361)=12,"X",""))</f>
        <v/>
      </c>
      <c r="V361" s="24" t="str">
        <f aca="false">IF(E361="","",COUNTIF($E$5:$E$1000,E361))</f>
        <v/>
      </c>
      <c r="W361" s="35" t="str">
        <f aca="false">IF(E361="","",_xlfn.TEXTJOIN(" + ",TRUE(),IF(COUNTIFS($E$5:$E$1000,E361,$C$5:$C$1000,"Auditoría Interna")&gt;0,"Interna",""),IF(COUNTIFS($E$5:$E$1000,E361,$C$5:$C$1000,"Auditoría Externa")&gt;0,"Externa",""),IF(COUNTIFS($E$5:$E$1000,E361,$C$5:$C$1000,"SSF")&gt;0,"SSF",""),IF(COUNTIFS($E$5:$E$1000,E361,$C$5:$C$1000,"Comité de Supervisión")&gt;0,"Comité Sup.",""),IF(COUNTIFS($E$5:$E$1000,E361,$C$5:$C$1000,"Consejo de Administración")&gt;0,"Consejo",""),IF(COUNTIFS($E$5:$E$1000,E361,$C$5:$C$1000,"Otros")&gt;0,"Otros","")))</f>
        <v/>
      </c>
      <c r="X361" s="24" t="str">
        <f aca="false">IF(E361="","",COUNTIFS($E$5:$E$1000,E361,$AB$5:$AB$1000,AB361,$C$5:$C$1000,"&lt;&gt;"&amp;C361))</f>
        <v/>
      </c>
      <c r="Y361" s="33"/>
      <c r="Z361" s="31"/>
      <c r="AA361" s="33"/>
      <c r="AB361" s="37" t="str">
        <f aca="false">IF(B361="","",YEAR(B361)*100+MONTH(B361))</f>
        <v/>
      </c>
      <c r="AC361" s="37" t="str">
        <f aca="false">IF(AND(E361&lt;&gt;"",E361=Cruce!$C$5),COUNTIF($E$5:E361,E361),"")</f>
        <v/>
      </c>
      <c r="AD361" s="37" t="str">
        <f aca="false">IF(E361="","",C361&amp;"|"&amp;Y361&amp;"|"&amp;IF(B361="","s/f",TEXT(B361,"yyyymmdd")))</f>
        <v/>
      </c>
      <c r="AE361" s="37" t="n">
        <f aca="false">IF(E361="",0,IF(COUNTIFS($E$5:E361,E361,$AD$5:AD361,AD361)=1,1,0))</f>
        <v>0</v>
      </c>
    </row>
    <row r="362" customFormat="false" ht="15" hidden="false" customHeight="true" outlineLevel="0" collapsed="false">
      <c r="A362" s="31"/>
      <c r="B362" s="30"/>
      <c r="C362" s="31"/>
      <c r="D362" s="31"/>
      <c r="E362" s="32"/>
      <c r="F362" s="32"/>
      <c r="G362" s="33"/>
      <c r="H362" s="31"/>
      <c r="I362" s="24" t="str">
        <f aca="false">IF(B362="","",YEAR(B362))</f>
        <v/>
      </c>
      <c r="J362" s="34" t="str">
        <f aca="false">IF(B362="","",IF(MONTH(B362)=1,"X",""))</f>
        <v/>
      </c>
      <c r="K362" s="34" t="str">
        <f aca="false">IF(B362="","",IF(MONTH(B362)=2,"X",""))</f>
        <v/>
      </c>
      <c r="L362" s="34" t="str">
        <f aca="false">IF(B362="","",IF(MONTH(B362)=3,"X",""))</f>
        <v/>
      </c>
      <c r="M362" s="34" t="str">
        <f aca="false">IF(B362="","",IF(MONTH(B362)=4,"X",""))</f>
        <v/>
      </c>
      <c r="N362" s="34" t="str">
        <f aca="false">IF(B362="","",IF(MONTH(B362)=5,"X",""))</f>
        <v/>
      </c>
      <c r="O362" s="34" t="str">
        <f aca="false">IF(B362="","",IF(MONTH(B362)=6,"X",""))</f>
        <v/>
      </c>
      <c r="P362" s="34" t="str">
        <f aca="false">IF(B362="","",IF(MONTH(B362)=7,"X",""))</f>
        <v/>
      </c>
      <c r="Q362" s="34" t="str">
        <f aca="false">IF(B362="","",IF(MONTH(B362)=8,"X",""))</f>
        <v/>
      </c>
      <c r="R362" s="34" t="str">
        <f aca="false">IF(B362="","",IF(MONTH(B362)=9,"X",""))</f>
        <v/>
      </c>
      <c r="S362" s="34" t="str">
        <f aca="false">IF(B362="","",IF(MONTH(B362)=10,"X",""))</f>
        <v/>
      </c>
      <c r="T362" s="34" t="str">
        <f aca="false">IF(B362="","",IF(MONTH(B362)=11,"X",""))</f>
        <v/>
      </c>
      <c r="U362" s="34" t="str">
        <f aca="false">IF(B362="","",IF(MONTH(B362)=12,"X",""))</f>
        <v/>
      </c>
      <c r="V362" s="24" t="str">
        <f aca="false">IF(E362="","",COUNTIF($E$5:$E$1000,E362))</f>
        <v/>
      </c>
      <c r="W362" s="35" t="str">
        <f aca="false">IF(E362="","",_xlfn.TEXTJOIN(" + ",TRUE(),IF(COUNTIFS($E$5:$E$1000,E362,$C$5:$C$1000,"Auditoría Interna")&gt;0,"Interna",""),IF(COUNTIFS($E$5:$E$1000,E362,$C$5:$C$1000,"Auditoría Externa")&gt;0,"Externa",""),IF(COUNTIFS($E$5:$E$1000,E362,$C$5:$C$1000,"SSF")&gt;0,"SSF",""),IF(COUNTIFS($E$5:$E$1000,E362,$C$5:$C$1000,"Comité de Supervisión")&gt;0,"Comité Sup.",""),IF(COUNTIFS($E$5:$E$1000,E362,$C$5:$C$1000,"Consejo de Administración")&gt;0,"Consejo",""),IF(COUNTIFS($E$5:$E$1000,E362,$C$5:$C$1000,"Otros")&gt;0,"Otros","")))</f>
        <v/>
      </c>
      <c r="X362" s="24" t="str">
        <f aca="false">IF(E362="","",COUNTIFS($E$5:$E$1000,E362,$AB$5:$AB$1000,AB362,$C$5:$C$1000,"&lt;&gt;"&amp;C362))</f>
        <v/>
      </c>
      <c r="Y362" s="33"/>
      <c r="Z362" s="31"/>
      <c r="AA362" s="33"/>
      <c r="AB362" s="37" t="str">
        <f aca="false">IF(B362="","",YEAR(B362)*100+MONTH(B362))</f>
        <v/>
      </c>
      <c r="AC362" s="37" t="str">
        <f aca="false">IF(AND(E362&lt;&gt;"",E362=Cruce!$C$5),COUNTIF($E$5:E362,E362),"")</f>
        <v/>
      </c>
      <c r="AD362" s="37" t="str">
        <f aca="false">IF(E362="","",C362&amp;"|"&amp;Y362&amp;"|"&amp;IF(B362="","s/f",TEXT(B362,"yyyymmdd")))</f>
        <v/>
      </c>
      <c r="AE362" s="37" t="n">
        <f aca="false">IF(E362="",0,IF(COUNTIFS($E$5:E362,E362,$AD$5:AD362,AD362)=1,1,0))</f>
        <v>0</v>
      </c>
    </row>
    <row r="363" customFormat="false" ht="15" hidden="false" customHeight="true" outlineLevel="0" collapsed="false">
      <c r="A363" s="31"/>
      <c r="B363" s="30"/>
      <c r="C363" s="31"/>
      <c r="D363" s="31"/>
      <c r="E363" s="32"/>
      <c r="F363" s="32"/>
      <c r="G363" s="33"/>
      <c r="H363" s="31"/>
      <c r="I363" s="24" t="str">
        <f aca="false">IF(B363="","",YEAR(B363))</f>
        <v/>
      </c>
      <c r="J363" s="34" t="str">
        <f aca="false">IF(B363="","",IF(MONTH(B363)=1,"X",""))</f>
        <v/>
      </c>
      <c r="K363" s="34" t="str">
        <f aca="false">IF(B363="","",IF(MONTH(B363)=2,"X",""))</f>
        <v/>
      </c>
      <c r="L363" s="34" t="str">
        <f aca="false">IF(B363="","",IF(MONTH(B363)=3,"X",""))</f>
        <v/>
      </c>
      <c r="M363" s="34" t="str">
        <f aca="false">IF(B363="","",IF(MONTH(B363)=4,"X",""))</f>
        <v/>
      </c>
      <c r="N363" s="34" t="str">
        <f aca="false">IF(B363="","",IF(MONTH(B363)=5,"X",""))</f>
        <v/>
      </c>
      <c r="O363" s="34" t="str">
        <f aca="false">IF(B363="","",IF(MONTH(B363)=6,"X",""))</f>
        <v/>
      </c>
      <c r="P363" s="34" t="str">
        <f aca="false">IF(B363="","",IF(MONTH(B363)=7,"X",""))</f>
        <v/>
      </c>
      <c r="Q363" s="34" t="str">
        <f aca="false">IF(B363="","",IF(MONTH(B363)=8,"X",""))</f>
        <v/>
      </c>
      <c r="R363" s="34" t="str">
        <f aca="false">IF(B363="","",IF(MONTH(B363)=9,"X",""))</f>
        <v/>
      </c>
      <c r="S363" s="34" t="str">
        <f aca="false">IF(B363="","",IF(MONTH(B363)=10,"X",""))</f>
        <v/>
      </c>
      <c r="T363" s="34" t="str">
        <f aca="false">IF(B363="","",IF(MONTH(B363)=11,"X",""))</f>
        <v/>
      </c>
      <c r="U363" s="34" t="str">
        <f aca="false">IF(B363="","",IF(MONTH(B363)=12,"X",""))</f>
        <v/>
      </c>
      <c r="V363" s="24" t="str">
        <f aca="false">IF(E363="","",COUNTIF($E$5:$E$1000,E363))</f>
        <v/>
      </c>
      <c r="W363" s="35" t="str">
        <f aca="false">IF(E363="","",_xlfn.TEXTJOIN(" + ",TRUE(),IF(COUNTIFS($E$5:$E$1000,E363,$C$5:$C$1000,"Auditoría Interna")&gt;0,"Interna",""),IF(COUNTIFS($E$5:$E$1000,E363,$C$5:$C$1000,"Auditoría Externa")&gt;0,"Externa",""),IF(COUNTIFS($E$5:$E$1000,E363,$C$5:$C$1000,"SSF")&gt;0,"SSF",""),IF(COUNTIFS($E$5:$E$1000,E363,$C$5:$C$1000,"Comité de Supervisión")&gt;0,"Comité Sup.",""),IF(COUNTIFS($E$5:$E$1000,E363,$C$5:$C$1000,"Consejo de Administración")&gt;0,"Consejo",""),IF(COUNTIFS($E$5:$E$1000,E363,$C$5:$C$1000,"Otros")&gt;0,"Otros","")))</f>
        <v/>
      </c>
      <c r="X363" s="24" t="str">
        <f aca="false">IF(E363="","",COUNTIFS($E$5:$E$1000,E363,$AB$5:$AB$1000,AB363,$C$5:$C$1000,"&lt;&gt;"&amp;C363))</f>
        <v/>
      </c>
      <c r="Y363" s="33"/>
      <c r="Z363" s="31"/>
      <c r="AA363" s="33"/>
      <c r="AB363" s="37" t="str">
        <f aca="false">IF(B363="","",YEAR(B363)*100+MONTH(B363))</f>
        <v/>
      </c>
      <c r="AC363" s="37" t="str">
        <f aca="false">IF(AND(E363&lt;&gt;"",E363=Cruce!$C$5),COUNTIF($E$5:E363,E363),"")</f>
        <v/>
      </c>
      <c r="AD363" s="37" t="str">
        <f aca="false">IF(E363="","",C363&amp;"|"&amp;Y363&amp;"|"&amp;IF(B363="","s/f",TEXT(B363,"yyyymmdd")))</f>
        <v/>
      </c>
      <c r="AE363" s="37" t="n">
        <f aca="false">IF(E363="",0,IF(COUNTIFS($E$5:E363,E363,$AD$5:AD363,AD363)=1,1,0))</f>
        <v>0</v>
      </c>
    </row>
    <row r="364" customFormat="false" ht="15" hidden="false" customHeight="true" outlineLevel="0" collapsed="false">
      <c r="A364" s="31"/>
      <c r="B364" s="30"/>
      <c r="C364" s="31"/>
      <c r="D364" s="31"/>
      <c r="E364" s="32"/>
      <c r="F364" s="32"/>
      <c r="G364" s="33"/>
      <c r="H364" s="31"/>
      <c r="I364" s="24" t="str">
        <f aca="false">IF(B364="","",YEAR(B364))</f>
        <v/>
      </c>
      <c r="J364" s="34" t="str">
        <f aca="false">IF(B364="","",IF(MONTH(B364)=1,"X",""))</f>
        <v/>
      </c>
      <c r="K364" s="34" t="str">
        <f aca="false">IF(B364="","",IF(MONTH(B364)=2,"X",""))</f>
        <v/>
      </c>
      <c r="L364" s="34" t="str">
        <f aca="false">IF(B364="","",IF(MONTH(B364)=3,"X",""))</f>
        <v/>
      </c>
      <c r="M364" s="34" t="str">
        <f aca="false">IF(B364="","",IF(MONTH(B364)=4,"X",""))</f>
        <v/>
      </c>
      <c r="N364" s="34" t="str">
        <f aca="false">IF(B364="","",IF(MONTH(B364)=5,"X",""))</f>
        <v/>
      </c>
      <c r="O364" s="34" t="str">
        <f aca="false">IF(B364="","",IF(MONTH(B364)=6,"X",""))</f>
        <v/>
      </c>
      <c r="P364" s="34" t="str">
        <f aca="false">IF(B364="","",IF(MONTH(B364)=7,"X",""))</f>
        <v/>
      </c>
      <c r="Q364" s="34" t="str">
        <f aca="false">IF(B364="","",IF(MONTH(B364)=8,"X",""))</f>
        <v/>
      </c>
      <c r="R364" s="34" t="str">
        <f aca="false">IF(B364="","",IF(MONTH(B364)=9,"X",""))</f>
        <v/>
      </c>
      <c r="S364" s="34" t="str">
        <f aca="false">IF(B364="","",IF(MONTH(B364)=10,"X",""))</f>
        <v/>
      </c>
      <c r="T364" s="34" t="str">
        <f aca="false">IF(B364="","",IF(MONTH(B364)=11,"X",""))</f>
        <v/>
      </c>
      <c r="U364" s="34" t="str">
        <f aca="false">IF(B364="","",IF(MONTH(B364)=12,"X",""))</f>
        <v/>
      </c>
      <c r="V364" s="24" t="str">
        <f aca="false">IF(E364="","",COUNTIF($E$5:$E$1000,E364))</f>
        <v/>
      </c>
      <c r="W364" s="35" t="str">
        <f aca="false">IF(E364="","",_xlfn.TEXTJOIN(" + ",TRUE(),IF(COUNTIFS($E$5:$E$1000,E364,$C$5:$C$1000,"Auditoría Interna")&gt;0,"Interna",""),IF(COUNTIFS($E$5:$E$1000,E364,$C$5:$C$1000,"Auditoría Externa")&gt;0,"Externa",""),IF(COUNTIFS($E$5:$E$1000,E364,$C$5:$C$1000,"SSF")&gt;0,"SSF",""),IF(COUNTIFS($E$5:$E$1000,E364,$C$5:$C$1000,"Comité de Supervisión")&gt;0,"Comité Sup.",""),IF(COUNTIFS($E$5:$E$1000,E364,$C$5:$C$1000,"Consejo de Administración")&gt;0,"Consejo",""),IF(COUNTIFS($E$5:$E$1000,E364,$C$5:$C$1000,"Otros")&gt;0,"Otros","")))</f>
        <v/>
      </c>
      <c r="X364" s="24" t="str">
        <f aca="false">IF(E364="","",COUNTIFS($E$5:$E$1000,E364,$AB$5:$AB$1000,AB364,$C$5:$C$1000,"&lt;&gt;"&amp;C364))</f>
        <v/>
      </c>
      <c r="Y364" s="33"/>
      <c r="Z364" s="31"/>
      <c r="AA364" s="33"/>
      <c r="AB364" s="37" t="str">
        <f aca="false">IF(B364="","",YEAR(B364)*100+MONTH(B364))</f>
        <v/>
      </c>
      <c r="AC364" s="37" t="str">
        <f aca="false">IF(AND(E364&lt;&gt;"",E364=Cruce!$C$5),COUNTIF($E$5:E364,E364),"")</f>
        <v/>
      </c>
      <c r="AD364" s="37" t="str">
        <f aca="false">IF(E364="","",C364&amp;"|"&amp;Y364&amp;"|"&amp;IF(B364="","s/f",TEXT(B364,"yyyymmdd")))</f>
        <v/>
      </c>
      <c r="AE364" s="37" t="n">
        <f aca="false">IF(E364="",0,IF(COUNTIFS($E$5:E364,E364,$AD$5:AD364,AD364)=1,1,0))</f>
        <v>0</v>
      </c>
    </row>
    <row r="365" customFormat="false" ht="15" hidden="false" customHeight="true" outlineLevel="0" collapsed="false">
      <c r="A365" s="31"/>
      <c r="B365" s="30"/>
      <c r="C365" s="31"/>
      <c r="D365" s="31"/>
      <c r="E365" s="32"/>
      <c r="F365" s="32"/>
      <c r="G365" s="33"/>
      <c r="H365" s="31"/>
      <c r="I365" s="24" t="str">
        <f aca="false">IF(B365="","",YEAR(B365))</f>
        <v/>
      </c>
      <c r="J365" s="34" t="str">
        <f aca="false">IF(B365="","",IF(MONTH(B365)=1,"X",""))</f>
        <v/>
      </c>
      <c r="K365" s="34" t="str">
        <f aca="false">IF(B365="","",IF(MONTH(B365)=2,"X",""))</f>
        <v/>
      </c>
      <c r="L365" s="34" t="str">
        <f aca="false">IF(B365="","",IF(MONTH(B365)=3,"X",""))</f>
        <v/>
      </c>
      <c r="M365" s="34" t="str">
        <f aca="false">IF(B365="","",IF(MONTH(B365)=4,"X",""))</f>
        <v/>
      </c>
      <c r="N365" s="34" t="str">
        <f aca="false">IF(B365="","",IF(MONTH(B365)=5,"X",""))</f>
        <v/>
      </c>
      <c r="O365" s="34" t="str">
        <f aca="false">IF(B365="","",IF(MONTH(B365)=6,"X",""))</f>
        <v/>
      </c>
      <c r="P365" s="34" t="str">
        <f aca="false">IF(B365="","",IF(MONTH(B365)=7,"X",""))</f>
        <v/>
      </c>
      <c r="Q365" s="34" t="str">
        <f aca="false">IF(B365="","",IF(MONTH(B365)=8,"X",""))</f>
        <v/>
      </c>
      <c r="R365" s="34" t="str">
        <f aca="false">IF(B365="","",IF(MONTH(B365)=9,"X",""))</f>
        <v/>
      </c>
      <c r="S365" s="34" t="str">
        <f aca="false">IF(B365="","",IF(MONTH(B365)=10,"X",""))</f>
        <v/>
      </c>
      <c r="T365" s="34" t="str">
        <f aca="false">IF(B365="","",IF(MONTH(B365)=11,"X",""))</f>
        <v/>
      </c>
      <c r="U365" s="34" t="str">
        <f aca="false">IF(B365="","",IF(MONTH(B365)=12,"X",""))</f>
        <v/>
      </c>
      <c r="V365" s="24" t="str">
        <f aca="false">IF(E365="","",COUNTIF($E$5:$E$1000,E365))</f>
        <v/>
      </c>
      <c r="W365" s="35" t="str">
        <f aca="false">IF(E365="","",_xlfn.TEXTJOIN(" + ",TRUE(),IF(COUNTIFS($E$5:$E$1000,E365,$C$5:$C$1000,"Auditoría Interna")&gt;0,"Interna",""),IF(COUNTIFS($E$5:$E$1000,E365,$C$5:$C$1000,"Auditoría Externa")&gt;0,"Externa",""),IF(COUNTIFS($E$5:$E$1000,E365,$C$5:$C$1000,"SSF")&gt;0,"SSF",""),IF(COUNTIFS($E$5:$E$1000,E365,$C$5:$C$1000,"Comité de Supervisión")&gt;0,"Comité Sup.",""),IF(COUNTIFS($E$5:$E$1000,E365,$C$5:$C$1000,"Consejo de Administración")&gt;0,"Consejo",""),IF(COUNTIFS($E$5:$E$1000,E365,$C$5:$C$1000,"Otros")&gt;0,"Otros","")))</f>
        <v/>
      </c>
      <c r="X365" s="24" t="str">
        <f aca="false">IF(E365="","",COUNTIFS($E$5:$E$1000,E365,$AB$5:$AB$1000,AB365,$C$5:$C$1000,"&lt;&gt;"&amp;C365))</f>
        <v/>
      </c>
      <c r="Y365" s="33"/>
      <c r="Z365" s="31"/>
      <c r="AA365" s="33"/>
      <c r="AB365" s="37" t="str">
        <f aca="false">IF(B365="","",YEAR(B365)*100+MONTH(B365))</f>
        <v/>
      </c>
      <c r="AC365" s="37" t="str">
        <f aca="false">IF(AND(E365&lt;&gt;"",E365=Cruce!$C$5),COUNTIF($E$5:E365,E365),"")</f>
        <v/>
      </c>
      <c r="AD365" s="37" t="str">
        <f aca="false">IF(E365="","",C365&amp;"|"&amp;Y365&amp;"|"&amp;IF(B365="","s/f",TEXT(B365,"yyyymmdd")))</f>
        <v/>
      </c>
      <c r="AE365" s="37" t="n">
        <f aca="false">IF(E365="",0,IF(COUNTIFS($E$5:E365,E365,$AD$5:AD365,AD365)=1,1,0))</f>
        <v>0</v>
      </c>
    </row>
    <row r="366" customFormat="false" ht="15" hidden="false" customHeight="true" outlineLevel="0" collapsed="false">
      <c r="A366" s="31"/>
      <c r="B366" s="30"/>
      <c r="C366" s="31"/>
      <c r="D366" s="31"/>
      <c r="E366" s="32"/>
      <c r="F366" s="32"/>
      <c r="G366" s="33"/>
      <c r="H366" s="31"/>
      <c r="I366" s="24" t="str">
        <f aca="false">IF(B366="","",YEAR(B366))</f>
        <v/>
      </c>
      <c r="J366" s="34" t="str">
        <f aca="false">IF(B366="","",IF(MONTH(B366)=1,"X",""))</f>
        <v/>
      </c>
      <c r="K366" s="34" t="str">
        <f aca="false">IF(B366="","",IF(MONTH(B366)=2,"X",""))</f>
        <v/>
      </c>
      <c r="L366" s="34" t="str">
        <f aca="false">IF(B366="","",IF(MONTH(B366)=3,"X",""))</f>
        <v/>
      </c>
      <c r="M366" s="34" t="str">
        <f aca="false">IF(B366="","",IF(MONTH(B366)=4,"X",""))</f>
        <v/>
      </c>
      <c r="N366" s="34" t="str">
        <f aca="false">IF(B366="","",IF(MONTH(B366)=5,"X",""))</f>
        <v/>
      </c>
      <c r="O366" s="34" t="str">
        <f aca="false">IF(B366="","",IF(MONTH(B366)=6,"X",""))</f>
        <v/>
      </c>
      <c r="P366" s="34" t="str">
        <f aca="false">IF(B366="","",IF(MONTH(B366)=7,"X",""))</f>
        <v/>
      </c>
      <c r="Q366" s="34" t="str">
        <f aca="false">IF(B366="","",IF(MONTH(B366)=8,"X",""))</f>
        <v/>
      </c>
      <c r="R366" s="34" t="str">
        <f aca="false">IF(B366="","",IF(MONTH(B366)=9,"X",""))</f>
        <v/>
      </c>
      <c r="S366" s="34" t="str">
        <f aca="false">IF(B366="","",IF(MONTH(B366)=10,"X",""))</f>
        <v/>
      </c>
      <c r="T366" s="34" t="str">
        <f aca="false">IF(B366="","",IF(MONTH(B366)=11,"X",""))</f>
        <v/>
      </c>
      <c r="U366" s="34" t="str">
        <f aca="false">IF(B366="","",IF(MONTH(B366)=12,"X",""))</f>
        <v/>
      </c>
      <c r="V366" s="24" t="str">
        <f aca="false">IF(E366="","",COUNTIF($E$5:$E$1000,E366))</f>
        <v/>
      </c>
      <c r="W366" s="35" t="str">
        <f aca="false">IF(E366="","",_xlfn.TEXTJOIN(" + ",TRUE(),IF(COUNTIFS($E$5:$E$1000,E366,$C$5:$C$1000,"Auditoría Interna")&gt;0,"Interna",""),IF(COUNTIFS($E$5:$E$1000,E366,$C$5:$C$1000,"Auditoría Externa")&gt;0,"Externa",""),IF(COUNTIFS($E$5:$E$1000,E366,$C$5:$C$1000,"SSF")&gt;0,"SSF",""),IF(COUNTIFS($E$5:$E$1000,E366,$C$5:$C$1000,"Comité de Supervisión")&gt;0,"Comité Sup.",""),IF(COUNTIFS($E$5:$E$1000,E366,$C$5:$C$1000,"Consejo de Administración")&gt;0,"Consejo",""),IF(COUNTIFS($E$5:$E$1000,E366,$C$5:$C$1000,"Otros")&gt;0,"Otros","")))</f>
        <v/>
      </c>
      <c r="X366" s="24" t="str">
        <f aca="false">IF(E366="","",COUNTIFS($E$5:$E$1000,E366,$AB$5:$AB$1000,AB366,$C$5:$C$1000,"&lt;&gt;"&amp;C366))</f>
        <v/>
      </c>
      <c r="Y366" s="33"/>
      <c r="Z366" s="31"/>
      <c r="AA366" s="33"/>
      <c r="AB366" s="37" t="str">
        <f aca="false">IF(B366="","",YEAR(B366)*100+MONTH(B366))</f>
        <v/>
      </c>
      <c r="AC366" s="37" t="str">
        <f aca="false">IF(AND(E366&lt;&gt;"",E366=Cruce!$C$5),COUNTIF($E$5:E366,E366),"")</f>
        <v/>
      </c>
      <c r="AD366" s="37" t="str">
        <f aca="false">IF(E366="","",C366&amp;"|"&amp;Y366&amp;"|"&amp;IF(B366="","s/f",TEXT(B366,"yyyymmdd")))</f>
        <v/>
      </c>
      <c r="AE366" s="37" t="n">
        <f aca="false">IF(E366="",0,IF(COUNTIFS($E$5:E366,E366,$AD$5:AD366,AD366)=1,1,0))</f>
        <v>0</v>
      </c>
    </row>
    <row r="367" customFormat="false" ht="15" hidden="false" customHeight="true" outlineLevel="0" collapsed="false">
      <c r="A367" s="31"/>
      <c r="B367" s="30"/>
      <c r="C367" s="31"/>
      <c r="D367" s="31"/>
      <c r="E367" s="32"/>
      <c r="F367" s="32"/>
      <c r="G367" s="33"/>
      <c r="H367" s="31"/>
      <c r="I367" s="24" t="str">
        <f aca="false">IF(B367="","",YEAR(B367))</f>
        <v/>
      </c>
      <c r="J367" s="34" t="str">
        <f aca="false">IF(B367="","",IF(MONTH(B367)=1,"X",""))</f>
        <v/>
      </c>
      <c r="K367" s="34" t="str">
        <f aca="false">IF(B367="","",IF(MONTH(B367)=2,"X",""))</f>
        <v/>
      </c>
      <c r="L367" s="34" t="str">
        <f aca="false">IF(B367="","",IF(MONTH(B367)=3,"X",""))</f>
        <v/>
      </c>
      <c r="M367" s="34" t="str">
        <f aca="false">IF(B367="","",IF(MONTH(B367)=4,"X",""))</f>
        <v/>
      </c>
      <c r="N367" s="34" t="str">
        <f aca="false">IF(B367="","",IF(MONTH(B367)=5,"X",""))</f>
        <v/>
      </c>
      <c r="O367" s="34" t="str">
        <f aca="false">IF(B367="","",IF(MONTH(B367)=6,"X",""))</f>
        <v/>
      </c>
      <c r="P367" s="34" t="str">
        <f aca="false">IF(B367="","",IF(MONTH(B367)=7,"X",""))</f>
        <v/>
      </c>
      <c r="Q367" s="34" t="str">
        <f aca="false">IF(B367="","",IF(MONTH(B367)=8,"X",""))</f>
        <v/>
      </c>
      <c r="R367" s="34" t="str">
        <f aca="false">IF(B367="","",IF(MONTH(B367)=9,"X",""))</f>
        <v/>
      </c>
      <c r="S367" s="34" t="str">
        <f aca="false">IF(B367="","",IF(MONTH(B367)=10,"X",""))</f>
        <v/>
      </c>
      <c r="T367" s="34" t="str">
        <f aca="false">IF(B367="","",IF(MONTH(B367)=11,"X",""))</f>
        <v/>
      </c>
      <c r="U367" s="34" t="str">
        <f aca="false">IF(B367="","",IF(MONTH(B367)=12,"X",""))</f>
        <v/>
      </c>
      <c r="V367" s="24" t="str">
        <f aca="false">IF(E367="","",COUNTIF($E$5:$E$1000,E367))</f>
        <v/>
      </c>
      <c r="W367" s="35" t="str">
        <f aca="false">IF(E367="","",_xlfn.TEXTJOIN(" + ",TRUE(),IF(COUNTIFS($E$5:$E$1000,E367,$C$5:$C$1000,"Auditoría Interna")&gt;0,"Interna",""),IF(COUNTIFS($E$5:$E$1000,E367,$C$5:$C$1000,"Auditoría Externa")&gt;0,"Externa",""),IF(COUNTIFS($E$5:$E$1000,E367,$C$5:$C$1000,"SSF")&gt;0,"SSF",""),IF(COUNTIFS($E$5:$E$1000,E367,$C$5:$C$1000,"Comité de Supervisión")&gt;0,"Comité Sup.",""),IF(COUNTIFS($E$5:$E$1000,E367,$C$5:$C$1000,"Consejo de Administración")&gt;0,"Consejo",""),IF(COUNTIFS($E$5:$E$1000,E367,$C$5:$C$1000,"Otros")&gt;0,"Otros","")))</f>
        <v/>
      </c>
      <c r="X367" s="24" t="str">
        <f aca="false">IF(E367="","",COUNTIFS($E$5:$E$1000,E367,$AB$5:$AB$1000,AB367,$C$5:$C$1000,"&lt;&gt;"&amp;C367))</f>
        <v/>
      </c>
      <c r="Y367" s="33"/>
      <c r="Z367" s="31"/>
      <c r="AA367" s="33"/>
      <c r="AB367" s="37" t="str">
        <f aca="false">IF(B367="","",YEAR(B367)*100+MONTH(B367))</f>
        <v/>
      </c>
      <c r="AC367" s="37" t="str">
        <f aca="false">IF(AND(E367&lt;&gt;"",E367=Cruce!$C$5),COUNTIF($E$5:E367,E367),"")</f>
        <v/>
      </c>
      <c r="AD367" s="37" t="str">
        <f aca="false">IF(E367="","",C367&amp;"|"&amp;Y367&amp;"|"&amp;IF(B367="","s/f",TEXT(B367,"yyyymmdd")))</f>
        <v/>
      </c>
      <c r="AE367" s="37" t="n">
        <f aca="false">IF(E367="",0,IF(COUNTIFS($E$5:E367,E367,$AD$5:AD367,AD367)=1,1,0))</f>
        <v>0</v>
      </c>
    </row>
    <row r="368" customFormat="false" ht="15" hidden="false" customHeight="true" outlineLevel="0" collapsed="false">
      <c r="A368" s="31"/>
      <c r="B368" s="30"/>
      <c r="C368" s="31"/>
      <c r="D368" s="31"/>
      <c r="E368" s="32"/>
      <c r="F368" s="32"/>
      <c r="G368" s="33"/>
      <c r="H368" s="31"/>
      <c r="I368" s="24" t="str">
        <f aca="false">IF(B368="","",YEAR(B368))</f>
        <v/>
      </c>
      <c r="J368" s="34" t="str">
        <f aca="false">IF(B368="","",IF(MONTH(B368)=1,"X",""))</f>
        <v/>
      </c>
      <c r="K368" s="34" t="str">
        <f aca="false">IF(B368="","",IF(MONTH(B368)=2,"X",""))</f>
        <v/>
      </c>
      <c r="L368" s="34" t="str">
        <f aca="false">IF(B368="","",IF(MONTH(B368)=3,"X",""))</f>
        <v/>
      </c>
      <c r="M368" s="34" t="str">
        <f aca="false">IF(B368="","",IF(MONTH(B368)=4,"X",""))</f>
        <v/>
      </c>
      <c r="N368" s="34" t="str">
        <f aca="false">IF(B368="","",IF(MONTH(B368)=5,"X",""))</f>
        <v/>
      </c>
      <c r="O368" s="34" t="str">
        <f aca="false">IF(B368="","",IF(MONTH(B368)=6,"X",""))</f>
        <v/>
      </c>
      <c r="P368" s="34" t="str">
        <f aca="false">IF(B368="","",IF(MONTH(B368)=7,"X",""))</f>
        <v/>
      </c>
      <c r="Q368" s="34" t="str">
        <f aca="false">IF(B368="","",IF(MONTH(B368)=8,"X",""))</f>
        <v/>
      </c>
      <c r="R368" s="34" t="str">
        <f aca="false">IF(B368="","",IF(MONTH(B368)=9,"X",""))</f>
        <v/>
      </c>
      <c r="S368" s="34" t="str">
        <f aca="false">IF(B368="","",IF(MONTH(B368)=10,"X",""))</f>
        <v/>
      </c>
      <c r="T368" s="34" t="str">
        <f aca="false">IF(B368="","",IF(MONTH(B368)=11,"X",""))</f>
        <v/>
      </c>
      <c r="U368" s="34" t="str">
        <f aca="false">IF(B368="","",IF(MONTH(B368)=12,"X",""))</f>
        <v/>
      </c>
      <c r="V368" s="24" t="str">
        <f aca="false">IF(E368="","",COUNTIF($E$5:$E$1000,E368))</f>
        <v/>
      </c>
      <c r="W368" s="35" t="str">
        <f aca="false">IF(E368="","",_xlfn.TEXTJOIN(" + ",TRUE(),IF(COUNTIFS($E$5:$E$1000,E368,$C$5:$C$1000,"Auditoría Interna")&gt;0,"Interna",""),IF(COUNTIFS($E$5:$E$1000,E368,$C$5:$C$1000,"Auditoría Externa")&gt;0,"Externa",""),IF(COUNTIFS($E$5:$E$1000,E368,$C$5:$C$1000,"SSF")&gt;0,"SSF",""),IF(COUNTIFS($E$5:$E$1000,E368,$C$5:$C$1000,"Comité de Supervisión")&gt;0,"Comité Sup.",""),IF(COUNTIFS($E$5:$E$1000,E368,$C$5:$C$1000,"Consejo de Administración")&gt;0,"Consejo",""),IF(COUNTIFS($E$5:$E$1000,E368,$C$5:$C$1000,"Otros")&gt;0,"Otros","")))</f>
        <v/>
      </c>
      <c r="X368" s="24" t="str">
        <f aca="false">IF(E368="","",COUNTIFS($E$5:$E$1000,E368,$AB$5:$AB$1000,AB368,$C$5:$C$1000,"&lt;&gt;"&amp;C368))</f>
        <v/>
      </c>
      <c r="Y368" s="33"/>
      <c r="Z368" s="31"/>
      <c r="AA368" s="33"/>
      <c r="AB368" s="37" t="str">
        <f aca="false">IF(B368="","",YEAR(B368)*100+MONTH(B368))</f>
        <v/>
      </c>
      <c r="AC368" s="37" t="str">
        <f aca="false">IF(AND(E368&lt;&gt;"",E368=Cruce!$C$5),COUNTIF($E$5:E368,E368),"")</f>
        <v/>
      </c>
      <c r="AD368" s="37" t="str">
        <f aca="false">IF(E368="","",C368&amp;"|"&amp;Y368&amp;"|"&amp;IF(B368="","s/f",TEXT(B368,"yyyymmdd")))</f>
        <v/>
      </c>
      <c r="AE368" s="37" t="n">
        <f aca="false">IF(E368="",0,IF(COUNTIFS($E$5:E368,E368,$AD$5:AD368,AD368)=1,1,0))</f>
        <v>0</v>
      </c>
    </row>
    <row r="369" customFormat="false" ht="15" hidden="false" customHeight="true" outlineLevel="0" collapsed="false">
      <c r="A369" s="31"/>
      <c r="B369" s="30"/>
      <c r="C369" s="31"/>
      <c r="D369" s="31"/>
      <c r="E369" s="32"/>
      <c r="F369" s="32"/>
      <c r="G369" s="33"/>
      <c r="H369" s="31"/>
      <c r="I369" s="24" t="str">
        <f aca="false">IF(B369="","",YEAR(B369))</f>
        <v/>
      </c>
      <c r="J369" s="34" t="str">
        <f aca="false">IF(B369="","",IF(MONTH(B369)=1,"X",""))</f>
        <v/>
      </c>
      <c r="K369" s="34" t="str">
        <f aca="false">IF(B369="","",IF(MONTH(B369)=2,"X",""))</f>
        <v/>
      </c>
      <c r="L369" s="34" t="str">
        <f aca="false">IF(B369="","",IF(MONTH(B369)=3,"X",""))</f>
        <v/>
      </c>
      <c r="M369" s="34" t="str">
        <f aca="false">IF(B369="","",IF(MONTH(B369)=4,"X",""))</f>
        <v/>
      </c>
      <c r="N369" s="34" t="str">
        <f aca="false">IF(B369="","",IF(MONTH(B369)=5,"X",""))</f>
        <v/>
      </c>
      <c r="O369" s="34" t="str">
        <f aca="false">IF(B369="","",IF(MONTH(B369)=6,"X",""))</f>
        <v/>
      </c>
      <c r="P369" s="34" t="str">
        <f aca="false">IF(B369="","",IF(MONTH(B369)=7,"X",""))</f>
        <v/>
      </c>
      <c r="Q369" s="34" t="str">
        <f aca="false">IF(B369="","",IF(MONTH(B369)=8,"X",""))</f>
        <v/>
      </c>
      <c r="R369" s="34" t="str">
        <f aca="false">IF(B369="","",IF(MONTH(B369)=9,"X",""))</f>
        <v/>
      </c>
      <c r="S369" s="34" t="str">
        <f aca="false">IF(B369="","",IF(MONTH(B369)=10,"X",""))</f>
        <v/>
      </c>
      <c r="T369" s="34" t="str">
        <f aca="false">IF(B369="","",IF(MONTH(B369)=11,"X",""))</f>
        <v/>
      </c>
      <c r="U369" s="34" t="str">
        <f aca="false">IF(B369="","",IF(MONTH(B369)=12,"X",""))</f>
        <v/>
      </c>
      <c r="V369" s="24" t="str">
        <f aca="false">IF(E369="","",COUNTIF($E$5:$E$1000,E369))</f>
        <v/>
      </c>
      <c r="W369" s="35" t="str">
        <f aca="false">IF(E369="","",_xlfn.TEXTJOIN(" + ",TRUE(),IF(COUNTIFS($E$5:$E$1000,E369,$C$5:$C$1000,"Auditoría Interna")&gt;0,"Interna",""),IF(COUNTIFS($E$5:$E$1000,E369,$C$5:$C$1000,"Auditoría Externa")&gt;0,"Externa",""),IF(COUNTIFS($E$5:$E$1000,E369,$C$5:$C$1000,"SSF")&gt;0,"SSF",""),IF(COUNTIFS($E$5:$E$1000,E369,$C$5:$C$1000,"Comité de Supervisión")&gt;0,"Comité Sup.",""),IF(COUNTIFS($E$5:$E$1000,E369,$C$5:$C$1000,"Consejo de Administración")&gt;0,"Consejo",""),IF(COUNTIFS($E$5:$E$1000,E369,$C$5:$C$1000,"Otros")&gt;0,"Otros","")))</f>
        <v/>
      </c>
      <c r="X369" s="24" t="str">
        <f aca="false">IF(E369="","",COUNTIFS($E$5:$E$1000,E369,$AB$5:$AB$1000,AB369,$C$5:$C$1000,"&lt;&gt;"&amp;C369))</f>
        <v/>
      </c>
      <c r="Y369" s="33"/>
      <c r="Z369" s="31"/>
      <c r="AA369" s="33"/>
      <c r="AB369" s="37" t="str">
        <f aca="false">IF(B369="","",YEAR(B369)*100+MONTH(B369))</f>
        <v/>
      </c>
      <c r="AC369" s="37" t="str">
        <f aca="false">IF(AND(E369&lt;&gt;"",E369=Cruce!$C$5),COUNTIF($E$5:E369,E369),"")</f>
        <v/>
      </c>
      <c r="AD369" s="37" t="str">
        <f aca="false">IF(E369="","",C369&amp;"|"&amp;Y369&amp;"|"&amp;IF(B369="","s/f",TEXT(B369,"yyyymmdd")))</f>
        <v/>
      </c>
      <c r="AE369" s="37" t="n">
        <f aca="false">IF(E369="",0,IF(COUNTIFS($E$5:E369,E369,$AD$5:AD369,AD369)=1,1,0))</f>
        <v>0</v>
      </c>
    </row>
    <row r="370" customFormat="false" ht="15" hidden="false" customHeight="true" outlineLevel="0" collapsed="false">
      <c r="A370" s="31"/>
      <c r="B370" s="30"/>
      <c r="C370" s="31"/>
      <c r="D370" s="31"/>
      <c r="E370" s="32"/>
      <c r="F370" s="32"/>
      <c r="G370" s="33"/>
      <c r="H370" s="31"/>
      <c r="I370" s="24" t="str">
        <f aca="false">IF(B370="","",YEAR(B370))</f>
        <v/>
      </c>
      <c r="J370" s="34" t="str">
        <f aca="false">IF(B370="","",IF(MONTH(B370)=1,"X",""))</f>
        <v/>
      </c>
      <c r="K370" s="34" t="str">
        <f aca="false">IF(B370="","",IF(MONTH(B370)=2,"X",""))</f>
        <v/>
      </c>
      <c r="L370" s="34" t="str">
        <f aca="false">IF(B370="","",IF(MONTH(B370)=3,"X",""))</f>
        <v/>
      </c>
      <c r="M370" s="34" t="str">
        <f aca="false">IF(B370="","",IF(MONTH(B370)=4,"X",""))</f>
        <v/>
      </c>
      <c r="N370" s="34" t="str">
        <f aca="false">IF(B370="","",IF(MONTH(B370)=5,"X",""))</f>
        <v/>
      </c>
      <c r="O370" s="34" t="str">
        <f aca="false">IF(B370="","",IF(MONTH(B370)=6,"X",""))</f>
        <v/>
      </c>
      <c r="P370" s="34" t="str">
        <f aca="false">IF(B370="","",IF(MONTH(B370)=7,"X",""))</f>
        <v/>
      </c>
      <c r="Q370" s="34" t="str">
        <f aca="false">IF(B370="","",IF(MONTH(B370)=8,"X",""))</f>
        <v/>
      </c>
      <c r="R370" s="34" t="str">
        <f aca="false">IF(B370="","",IF(MONTH(B370)=9,"X",""))</f>
        <v/>
      </c>
      <c r="S370" s="34" t="str">
        <f aca="false">IF(B370="","",IF(MONTH(B370)=10,"X",""))</f>
        <v/>
      </c>
      <c r="T370" s="34" t="str">
        <f aca="false">IF(B370="","",IF(MONTH(B370)=11,"X",""))</f>
        <v/>
      </c>
      <c r="U370" s="34" t="str">
        <f aca="false">IF(B370="","",IF(MONTH(B370)=12,"X",""))</f>
        <v/>
      </c>
      <c r="V370" s="24" t="str">
        <f aca="false">IF(E370="","",COUNTIF($E$5:$E$1000,E370))</f>
        <v/>
      </c>
      <c r="W370" s="35" t="str">
        <f aca="false">IF(E370="","",_xlfn.TEXTJOIN(" + ",TRUE(),IF(COUNTIFS($E$5:$E$1000,E370,$C$5:$C$1000,"Auditoría Interna")&gt;0,"Interna",""),IF(COUNTIFS($E$5:$E$1000,E370,$C$5:$C$1000,"Auditoría Externa")&gt;0,"Externa",""),IF(COUNTIFS($E$5:$E$1000,E370,$C$5:$C$1000,"SSF")&gt;0,"SSF",""),IF(COUNTIFS($E$5:$E$1000,E370,$C$5:$C$1000,"Comité de Supervisión")&gt;0,"Comité Sup.",""),IF(COUNTIFS($E$5:$E$1000,E370,$C$5:$C$1000,"Consejo de Administración")&gt;0,"Consejo",""),IF(COUNTIFS($E$5:$E$1000,E370,$C$5:$C$1000,"Otros")&gt;0,"Otros","")))</f>
        <v/>
      </c>
      <c r="X370" s="24" t="str">
        <f aca="false">IF(E370="","",COUNTIFS($E$5:$E$1000,E370,$AB$5:$AB$1000,AB370,$C$5:$C$1000,"&lt;&gt;"&amp;C370))</f>
        <v/>
      </c>
      <c r="Y370" s="33"/>
      <c r="Z370" s="31"/>
      <c r="AA370" s="33"/>
      <c r="AB370" s="37" t="str">
        <f aca="false">IF(B370="","",YEAR(B370)*100+MONTH(B370))</f>
        <v/>
      </c>
      <c r="AC370" s="37" t="str">
        <f aca="false">IF(AND(E370&lt;&gt;"",E370=Cruce!$C$5),COUNTIF($E$5:E370,E370),"")</f>
        <v/>
      </c>
      <c r="AD370" s="37" t="str">
        <f aca="false">IF(E370="","",C370&amp;"|"&amp;Y370&amp;"|"&amp;IF(B370="","s/f",TEXT(B370,"yyyymmdd")))</f>
        <v/>
      </c>
      <c r="AE370" s="37" t="n">
        <f aca="false">IF(E370="",0,IF(COUNTIFS($E$5:E370,E370,$AD$5:AD370,AD370)=1,1,0))</f>
        <v>0</v>
      </c>
    </row>
    <row r="371" customFormat="false" ht="15" hidden="false" customHeight="true" outlineLevel="0" collapsed="false">
      <c r="A371" s="31"/>
      <c r="B371" s="30"/>
      <c r="C371" s="31"/>
      <c r="D371" s="31"/>
      <c r="E371" s="32"/>
      <c r="F371" s="32"/>
      <c r="G371" s="33"/>
      <c r="H371" s="31"/>
      <c r="I371" s="24" t="str">
        <f aca="false">IF(B371="","",YEAR(B371))</f>
        <v/>
      </c>
      <c r="J371" s="34" t="str">
        <f aca="false">IF(B371="","",IF(MONTH(B371)=1,"X",""))</f>
        <v/>
      </c>
      <c r="K371" s="34" t="str">
        <f aca="false">IF(B371="","",IF(MONTH(B371)=2,"X",""))</f>
        <v/>
      </c>
      <c r="L371" s="34" t="str">
        <f aca="false">IF(B371="","",IF(MONTH(B371)=3,"X",""))</f>
        <v/>
      </c>
      <c r="M371" s="34" t="str">
        <f aca="false">IF(B371="","",IF(MONTH(B371)=4,"X",""))</f>
        <v/>
      </c>
      <c r="N371" s="34" t="str">
        <f aca="false">IF(B371="","",IF(MONTH(B371)=5,"X",""))</f>
        <v/>
      </c>
      <c r="O371" s="34" t="str">
        <f aca="false">IF(B371="","",IF(MONTH(B371)=6,"X",""))</f>
        <v/>
      </c>
      <c r="P371" s="34" t="str">
        <f aca="false">IF(B371="","",IF(MONTH(B371)=7,"X",""))</f>
        <v/>
      </c>
      <c r="Q371" s="34" t="str">
        <f aca="false">IF(B371="","",IF(MONTH(B371)=8,"X",""))</f>
        <v/>
      </c>
      <c r="R371" s="34" t="str">
        <f aca="false">IF(B371="","",IF(MONTH(B371)=9,"X",""))</f>
        <v/>
      </c>
      <c r="S371" s="34" t="str">
        <f aca="false">IF(B371="","",IF(MONTH(B371)=10,"X",""))</f>
        <v/>
      </c>
      <c r="T371" s="34" t="str">
        <f aca="false">IF(B371="","",IF(MONTH(B371)=11,"X",""))</f>
        <v/>
      </c>
      <c r="U371" s="34" t="str">
        <f aca="false">IF(B371="","",IF(MONTH(B371)=12,"X",""))</f>
        <v/>
      </c>
      <c r="V371" s="24" t="str">
        <f aca="false">IF(E371="","",COUNTIF($E$5:$E$1000,E371))</f>
        <v/>
      </c>
      <c r="W371" s="35" t="str">
        <f aca="false">IF(E371="","",_xlfn.TEXTJOIN(" + ",TRUE(),IF(COUNTIFS($E$5:$E$1000,E371,$C$5:$C$1000,"Auditoría Interna")&gt;0,"Interna",""),IF(COUNTIFS($E$5:$E$1000,E371,$C$5:$C$1000,"Auditoría Externa")&gt;0,"Externa",""),IF(COUNTIFS($E$5:$E$1000,E371,$C$5:$C$1000,"SSF")&gt;0,"SSF",""),IF(COUNTIFS($E$5:$E$1000,E371,$C$5:$C$1000,"Comité de Supervisión")&gt;0,"Comité Sup.",""),IF(COUNTIFS($E$5:$E$1000,E371,$C$5:$C$1000,"Consejo de Administración")&gt;0,"Consejo",""),IF(COUNTIFS($E$5:$E$1000,E371,$C$5:$C$1000,"Otros")&gt;0,"Otros","")))</f>
        <v/>
      </c>
      <c r="X371" s="24" t="str">
        <f aca="false">IF(E371="","",COUNTIFS($E$5:$E$1000,E371,$AB$5:$AB$1000,AB371,$C$5:$C$1000,"&lt;&gt;"&amp;C371))</f>
        <v/>
      </c>
      <c r="Y371" s="33"/>
      <c r="Z371" s="31"/>
      <c r="AA371" s="33"/>
      <c r="AB371" s="37" t="str">
        <f aca="false">IF(B371="","",YEAR(B371)*100+MONTH(B371))</f>
        <v/>
      </c>
      <c r="AC371" s="37" t="str">
        <f aca="false">IF(AND(E371&lt;&gt;"",E371=Cruce!$C$5),COUNTIF($E$5:E371,E371),"")</f>
        <v/>
      </c>
      <c r="AD371" s="37" t="str">
        <f aca="false">IF(E371="","",C371&amp;"|"&amp;Y371&amp;"|"&amp;IF(B371="","s/f",TEXT(B371,"yyyymmdd")))</f>
        <v/>
      </c>
      <c r="AE371" s="37" t="n">
        <f aca="false">IF(E371="",0,IF(COUNTIFS($E$5:E371,E371,$AD$5:AD371,AD371)=1,1,0))</f>
        <v>0</v>
      </c>
    </row>
    <row r="372" customFormat="false" ht="15" hidden="false" customHeight="true" outlineLevel="0" collapsed="false">
      <c r="A372" s="31"/>
      <c r="B372" s="30"/>
      <c r="C372" s="31"/>
      <c r="D372" s="31"/>
      <c r="E372" s="32"/>
      <c r="F372" s="32"/>
      <c r="G372" s="33"/>
      <c r="H372" s="31"/>
      <c r="I372" s="24" t="str">
        <f aca="false">IF(B372="","",YEAR(B372))</f>
        <v/>
      </c>
      <c r="J372" s="34" t="str">
        <f aca="false">IF(B372="","",IF(MONTH(B372)=1,"X",""))</f>
        <v/>
      </c>
      <c r="K372" s="34" t="str">
        <f aca="false">IF(B372="","",IF(MONTH(B372)=2,"X",""))</f>
        <v/>
      </c>
      <c r="L372" s="34" t="str">
        <f aca="false">IF(B372="","",IF(MONTH(B372)=3,"X",""))</f>
        <v/>
      </c>
      <c r="M372" s="34" t="str">
        <f aca="false">IF(B372="","",IF(MONTH(B372)=4,"X",""))</f>
        <v/>
      </c>
      <c r="N372" s="34" t="str">
        <f aca="false">IF(B372="","",IF(MONTH(B372)=5,"X",""))</f>
        <v/>
      </c>
      <c r="O372" s="34" t="str">
        <f aca="false">IF(B372="","",IF(MONTH(B372)=6,"X",""))</f>
        <v/>
      </c>
      <c r="P372" s="34" t="str">
        <f aca="false">IF(B372="","",IF(MONTH(B372)=7,"X",""))</f>
        <v/>
      </c>
      <c r="Q372" s="34" t="str">
        <f aca="false">IF(B372="","",IF(MONTH(B372)=8,"X",""))</f>
        <v/>
      </c>
      <c r="R372" s="34" t="str">
        <f aca="false">IF(B372="","",IF(MONTH(B372)=9,"X",""))</f>
        <v/>
      </c>
      <c r="S372" s="34" t="str">
        <f aca="false">IF(B372="","",IF(MONTH(B372)=10,"X",""))</f>
        <v/>
      </c>
      <c r="T372" s="34" t="str">
        <f aca="false">IF(B372="","",IF(MONTH(B372)=11,"X",""))</f>
        <v/>
      </c>
      <c r="U372" s="34" t="str">
        <f aca="false">IF(B372="","",IF(MONTH(B372)=12,"X",""))</f>
        <v/>
      </c>
      <c r="V372" s="24" t="str">
        <f aca="false">IF(E372="","",COUNTIF($E$5:$E$1000,E372))</f>
        <v/>
      </c>
      <c r="W372" s="35" t="str">
        <f aca="false">IF(E372="","",_xlfn.TEXTJOIN(" + ",TRUE(),IF(COUNTIFS($E$5:$E$1000,E372,$C$5:$C$1000,"Auditoría Interna")&gt;0,"Interna",""),IF(COUNTIFS($E$5:$E$1000,E372,$C$5:$C$1000,"Auditoría Externa")&gt;0,"Externa",""),IF(COUNTIFS($E$5:$E$1000,E372,$C$5:$C$1000,"SSF")&gt;0,"SSF",""),IF(COUNTIFS($E$5:$E$1000,E372,$C$5:$C$1000,"Comité de Supervisión")&gt;0,"Comité Sup.",""),IF(COUNTIFS($E$5:$E$1000,E372,$C$5:$C$1000,"Consejo de Administración")&gt;0,"Consejo",""),IF(COUNTIFS($E$5:$E$1000,E372,$C$5:$C$1000,"Otros")&gt;0,"Otros","")))</f>
        <v/>
      </c>
      <c r="X372" s="24" t="str">
        <f aca="false">IF(E372="","",COUNTIFS($E$5:$E$1000,E372,$AB$5:$AB$1000,AB372,$C$5:$C$1000,"&lt;&gt;"&amp;C372))</f>
        <v/>
      </c>
      <c r="Y372" s="33"/>
      <c r="Z372" s="31"/>
      <c r="AA372" s="33"/>
      <c r="AB372" s="37" t="str">
        <f aca="false">IF(B372="","",YEAR(B372)*100+MONTH(B372))</f>
        <v/>
      </c>
      <c r="AC372" s="37" t="str">
        <f aca="false">IF(AND(E372&lt;&gt;"",E372=Cruce!$C$5),COUNTIF($E$5:E372,E372),"")</f>
        <v/>
      </c>
      <c r="AD372" s="37" t="str">
        <f aca="false">IF(E372="","",C372&amp;"|"&amp;Y372&amp;"|"&amp;IF(B372="","s/f",TEXT(B372,"yyyymmdd")))</f>
        <v/>
      </c>
      <c r="AE372" s="37" t="n">
        <f aca="false">IF(E372="",0,IF(COUNTIFS($E$5:E372,E372,$AD$5:AD372,AD372)=1,1,0))</f>
        <v>0</v>
      </c>
    </row>
    <row r="373" customFormat="false" ht="15" hidden="false" customHeight="true" outlineLevel="0" collapsed="false">
      <c r="A373" s="31"/>
      <c r="B373" s="30"/>
      <c r="C373" s="31"/>
      <c r="D373" s="31"/>
      <c r="E373" s="32"/>
      <c r="F373" s="32"/>
      <c r="G373" s="33"/>
      <c r="H373" s="31"/>
      <c r="I373" s="24" t="str">
        <f aca="false">IF(B373="","",YEAR(B373))</f>
        <v/>
      </c>
      <c r="J373" s="34" t="str">
        <f aca="false">IF(B373="","",IF(MONTH(B373)=1,"X",""))</f>
        <v/>
      </c>
      <c r="K373" s="34" t="str">
        <f aca="false">IF(B373="","",IF(MONTH(B373)=2,"X",""))</f>
        <v/>
      </c>
      <c r="L373" s="34" t="str">
        <f aca="false">IF(B373="","",IF(MONTH(B373)=3,"X",""))</f>
        <v/>
      </c>
      <c r="M373" s="34" t="str">
        <f aca="false">IF(B373="","",IF(MONTH(B373)=4,"X",""))</f>
        <v/>
      </c>
      <c r="N373" s="34" t="str">
        <f aca="false">IF(B373="","",IF(MONTH(B373)=5,"X",""))</f>
        <v/>
      </c>
      <c r="O373" s="34" t="str">
        <f aca="false">IF(B373="","",IF(MONTH(B373)=6,"X",""))</f>
        <v/>
      </c>
      <c r="P373" s="34" t="str">
        <f aca="false">IF(B373="","",IF(MONTH(B373)=7,"X",""))</f>
        <v/>
      </c>
      <c r="Q373" s="34" t="str">
        <f aca="false">IF(B373="","",IF(MONTH(B373)=8,"X",""))</f>
        <v/>
      </c>
      <c r="R373" s="34" t="str">
        <f aca="false">IF(B373="","",IF(MONTH(B373)=9,"X",""))</f>
        <v/>
      </c>
      <c r="S373" s="34" t="str">
        <f aca="false">IF(B373="","",IF(MONTH(B373)=10,"X",""))</f>
        <v/>
      </c>
      <c r="T373" s="34" t="str">
        <f aca="false">IF(B373="","",IF(MONTH(B373)=11,"X",""))</f>
        <v/>
      </c>
      <c r="U373" s="34" t="str">
        <f aca="false">IF(B373="","",IF(MONTH(B373)=12,"X",""))</f>
        <v/>
      </c>
      <c r="V373" s="24" t="str">
        <f aca="false">IF(E373="","",COUNTIF($E$5:$E$1000,E373))</f>
        <v/>
      </c>
      <c r="W373" s="35" t="str">
        <f aca="false">IF(E373="","",_xlfn.TEXTJOIN(" + ",TRUE(),IF(COUNTIFS($E$5:$E$1000,E373,$C$5:$C$1000,"Auditoría Interna")&gt;0,"Interna",""),IF(COUNTIFS($E$5:$E$1000,E373,$C$5:$C$1000,"Auditoría Externa")&gt;0,"Externa",""),IF(COUNTIFS($E$5:$E$1000,E373,$C$5:$C$1000,"SSF")&gt;0,"SSF",""),IF(COUNTIFS($E$5:$E$1000,E373,$C$5:$C$1000,"Comité de Supervisión")&gt;0,"Comité Sup.",""),IF(COUNTIFS($E$5:$E$1000,E373,$C$5:$C$1000,"Consejo de Administración")&gt;0,"Consejo",""),IF(COUNTIFS($E$5:$E$1000,E373,$C$5:$C$1000,"Otros")&gt;0,"Otros","")))</f>
        <v/>
      </c>
      <c r="X373" s="24" t="str">
        <f aca="false">IF(E373="","",COUNTIFS($E$5:$E$1000,E373,$AB$5:$AB$1000,AB373,$C$5:$C$1000,"&lt;&gt;"&amp;C373))</f>
        <v/>
      </c>
      <c r="Y373" s="33"/>
      <c r="Z373" s="31"/>
      <c r="AA373" s="33"/>
      <c r="AB373" s="37" t="str">
        <f aca="false">IF(B373="","",YEAR(B373)*100+MONTH(B373))</f>
        <v/>
      </c>
      <c r="AC373" s="37" t="str">
        <f aca="false">IF(AND(E373&lt;&gt;"",E373=Cruce!$C$5),COUNTIF($E$5:E373,E373),"")</f>
        <v/>
      </c>
      <c r="AD373" s="37" t="str">
        <f aca="false">IF(E373="","",C373&amp;"|"&amp;Y373&amp;"|"&amp;IF(B373="","s/f",TEXT(B373,"yyyymmdd")))</f>
        <v/>
      </c>
      <c r="AE373" s="37" t="n">
        <f aca="false">IF(E373="",0,IF(COUNTIFS($E$5:E373,E373,$AD$5:AD373,AD373)=1,1,0))</f>
        <v>0</v>
      </c>
    </row>
    <row r="374" customFormat="false" ht="15" hidden="false" customHeight="true" outlineLevel="0" collapsed="false">
      <c r="A374" s="31"/>
      <c r="B374" s="30"/>
      <c r="C374" s="31"/>
      <c r="D374" s="31"/>
      <c r="E374" s="32"/>
      <c r="F374" s="32"/>
      <c r="G374" s="33"/>
      <c r="H374" s="31"/>
      <c r="I374" s="24" t="str">
        <f aca="false">IF(B374="","",YEAR(B374))</f>
        <v/>
      </c>
      <c r="J374" s="34" t="str">
        <f aca="false">IF(B374="","",IF(MONTH(B374)=1,"X",""))</f>
        <v/>
      </c>
      <c r="K374" s="34" t="str">
        <f aca="false">IF(B374="","",IF(MONTH(B374)=2,"X",""))</f>
        <v/>
      </c>
      <c r="L374" s="34" t="str">
        <f aca="false">IF(B374="","",IF(MONTH(B374)=3,"X",""))</f>
        <v/>
      </c>
      <c r="M374" s="34" t="str">
        <f aca="false">IF(B374="","",IF(MONTH(B374)=4,"X",""))</f>
        <v/>
      </c>
      <c r="N374" s="34" t="str">
        <f aca="false">IF(B374="","",IF(MONTH(B374)=5,"X",""))</f>
        <v/>
      </c>
      <c r="O374" s="34" t="str">
        <f aca="false">IF(B374="","",IF(MONTH(B374)=6,"X",""))</f>
        <v/>
      </c>
      <c r="P374" s="34" t="str">
        <f aca="false">IF(B374="","",IF(MONTH(B374)=7,"X",""))</f>
        <v/>
      </c>
      <c r="Q374" s="34" t="str">
        <f aca="false">IF(B374="","",IF(MONTH(B374)=8,"X",""))</f>
        <v/>
      </c>
      <c r="R374" s="34" t="str">
        <f aca="false">IF(B374="","",IF(MONTH(B374)=9,"X",""))</f>
        <v/>
      </c>
      <c r="S374" s="34" t="str">
        <f aca="false">IF(B374="","",IF(MONTH(B374)=10,"X",""))</f>
        <v/>
      </c>
      <c r="T374" s="34" t="str">
        <f aca="false">IF(B374="","",IF(MONTH(B374)=11,"X",""))</f>
        <v/>
      </c>
      <c r="U374" s="34" t="str">
        <f aca="false">IF(B374="","",IF(MONTH(B374)=12,"X",""))</f>
        <v/>
      </c>
      <c r="V374" s="24" t="str">
        <f aca="false">IF(E374="","",COUNTIF($E$5:$E$1000,E374))</f>
        <v/>
      </c>
      <c r="W374" s="35" t="str">
        <f aca="false">IF(E374="","",_xlfn.TEXTJOIN(" + ",TRUE(),IF(COUNTIFS($E$5:$E$1000,E374,$C$5:$C$1000,"Auditoría Interna")&gt;0,"Interna",""),IF(COUNTIFS($E$5:$E$1000,E374,$C$5:$C$1000,"Auditoría Externa")&gt;0,"Externa",""),IF(COUNTIFS($E$5:$E$1000,E374,$C$5:$C$1000,"SSF")&gt;0,"SSF",""),IF(COUNTIFS($E$5:$E$1000,E374,$C$5:$C$1000,"Comité de Supervisión")&gt;0,"Comité Sup.",""),IF(COUNTIFS($E$5:$E$1000,E374,$C$5:$C$1000,"Consejo de Administración")&gt;0,"Consejo",""),IF(COUNTIFS($E$5:$E$1000,E374,$C$5:$C$1000,"Otros")&gt;0,"Otros","")))</f>
        <v/>
      </c>
      <c r="X374" s="24" t="str">
        <f aca="false">IF(E374="","",COUNTIFS($E$5:$E$1000,E374,$AB$5:$AB$1000,AB374,$C$5:$C$1000,"&lt;&gt;"&amp;C374))</f>
        <v/>
      </c>
      <c r="Y374" s="33"/>
      <c r="Z374" s="31"/>
      <c r="AA374" s="33"/>
      <c r="AB374" s="37" t="str">
        <f aca="false">IF(B374="","",YEAR(B374)*100+MONTH(B374))</f>
        <v/>
      </c>
      <c r="AC374" s="37" t="str">
        <f aca="false">IF(AND(E374&lt;&gt;"",E374=Cruce!$C$5),COUNTIF($E$5:E374,E374),"")</f>
        <v/>
      </c>
      <c r="AD374" s="37" t="str">
        <f aca="false">IF(E374="","",C374&amp;"|"&amp;Y374&amp;"|"&amp;IF(B374="","s/f",TEXT(B374,"yyyymmdd")))</f>
        <v/>
      </c>
      <c r="AE374" s="37" t="n">
        <f aca="false">IF(E374="",0,IF(COUNTIFS($E$5:E374,E374,$AD$5:AD374,AD374)=1,1,0))</f>
        <v>0</v>
      </c>
    </row>
    <row r="375" customFormat="false" ht="15" hidden="false" customHeight="true" outlineLevel="0" collapsed="false">
      <c r="A375" s="31"/>
      <c r="B375" s="30"/>
      <c r="C375" s="31"/>
      <c r="D375" s="31"/>
      <c r="E375" s="32"/>
      <c r="F375" s="32"/>
      <c r="G375" s="33"/>
      <c r="H375" s="31"/>
      <c r="I375" s="24" t="str">
        <f aca="false">IF(B375="","",YEAR(B375))</f>
        <v/>
      </c>
      <c r="J375" s="34" t="str">
        <f aca="false">IF(B375="","",IF(MONTH(B375)=1,"X",""))</f>
        <v/>
      </c>
      <c r="K375" s="34" t="str">
        <f aca="false">IF(B375="","",IF(MONTH(B375)=2,"X",""))</f>
        <v/>
      </c>
      <c r="L375" s="34" t="str">
        <f aca="false">IF(B375="","",IF(MONTH(B375)=3,"X",""))</f>
        <v/>
      </c>
      <c r="M375" s="34" t="str">
        <f aca="false">IF(B375="","",IF(MONTH(B375)=4,"X",""))</f>
        <v/>
      </c>
      <c r="N375" s="34" t="str">
        <f aca="false">IF(B375="","",IF(MONTH(B375)=5,"X",""))</f>
        <v/>
      </c>
      <c r="O375" s="34" t="str">
        <f aca="false">IF(B375="","",IF(MONTH(B375)=6,"X",""))</f>
        <v/>
      </c>
      <c r="P375" s="34" t="str">
        <f aca="false">IF(B375="","",IF(MONTH(B375)=7,"X",""))</f>
        <v/>
      </c>
      <c r="Q375" s="34" t="str">
        <f aca="false">IF(B375="","",IF(MONTH(B375)=8,"X",""))</f>
        <v/>
      </c>
      <c r="R375" s="34" t="str">
        <f aca="false">IF(B375="","",IF(MONTH(B375)=9,"X",""))</f>
        <v/>
      </c>
      <c r="S375" s="34" t="str">
        <f aca="false">IF(B375="","",IF(MONTH(B375)=10,"X",""))</f>
        <v/>
      </c>
      <c r="T375" s="34" t="str">
        <f aca="false">IF(B375="","",IF(MONTH(B375)=11,"X",""))</f>
        <v/>
      </c>
      <c r="U375" s="34" t="str">
        <f aca="false">IF(B375="","",IF(MONTH(B375)=12,"X",""))</f>
        <v/>
      </c>
      <c r="V375" s="24" t="str">
        <f aca="false">IF(E375="","",COUNTIF($E$5:$E$1000,E375))</f>
        <v/>
      </c>
      <c r="W375" s="35" t="str">
        <f aca="false">IF(E375="","",_xlfn.TEXTJOIN(" + ",TRUE(),IF(COUNTIFS($E$5:$E$1000,E375,$C$5:$C$1000,"Auditoría Interna")&gt;0,"Interna",""),IF(COUNTIFS($E$5:$E$1000,E375,$C$5:$C$1000,"Auditoría Externa")&gt;0,"Externa",""),IF(COUNTIFS($E$5:$E$1000,E375,$C$5:$C$1000,"SSF")&gt;0,"SSF",""),IF(COUNTIFS($E$5:$E$1000,E375,$C$5:$C$1000,"Comité de Supervisión")&gt;0,"Comité Sup.",""),IF(COUNTIFS($E$5:$E$1000,E375,$C$5:$C$1000,"Consejo de Administración")&gt;0,"Consejo",""),IF(COUNTIFS($E$5:$E$1000,E375,$C$5:$C$1000,"Otros")&gt;0,"Otros","")))</f>
        <v/>
      </c>
      <c r="X375" s="24" t="str">
        <f aca="false">IF(E375="","",COUNTIFS($E$5:$E$1000,E375,$AB$5:$AB$1000,AB375,$C$5:$C$1000,"&lt;&gt;"&amp;C375))</f>
        <v/>
      </c>
      <c r="Y375" s="33"/>
      <c r="Z375" s="31"/>
      <c r="AA375" s="33"/>
      <c r="AB375" s="37" t="str">
        <f aca="false">IF(B375="","",YEAR(B375)*100+MONTH(B375))</f>
        <v/>
      </c>
      <c r="AC375" s="37" t="str">
        <f aca="false">IF(AND(E375&lt;&gt;"",E375=Cruce!$C$5),COUNTIF($E$5:E375,E375),"")</f>
        <v/>
      </c>
      <c r="AD375" s="37" t="str">
        <f aca="false">IF(E375="","",C375&amp;"|"&amp;Y375&amp;"|"&amp;IF(B375="","s/f",TEXT(B375,"yyyymmdd")))</f>
        <v/>
      </c>
      <c r="AE375" s="37" t="n">
        <f aca="false">IF(E375="",0,IF(COUNTIFS($E$5:E375,E375,$AD$5:AD375,AD375)=1,1,0))</f>
        <v>0</v>
      </c>
    </row>
    <row r="376" customFormat="false" ht="15" hidden="false" customHeight="true" outlineLevel="0" collapsed="false">
      <c r="A376" s="31"/>
      <c r="B376" s="30"/>
      <c r="C376" s="31"/>
      <c r="D376" s="31"/>
      <c r="E376" s="32"/>
      <c r="F376" s="32"/>
      <c r="G376" s="33"/>
      <c r="H376" s="31"/>
      <c r="I376" s="24" t="str">
        <f aca="false">IF(B376="","",YEAR(B376))</f>
        <v/>
      </c>
      <c r="J376" s="34" t="str">
        <f aca="false">IF(B376="","",IF(MONTH(B376)=1,"X",""))</f>
        <v/>
      </c>
      <c r="K376" s="34" t="str">
        <f aca="false">IF(B376="","",IF(MONTH(B376)=2,"X",""))</f>
        <v/>
      </c>
      <c r="L376" s="34" t="str">
        <f aca="false">IF(B376="","",IF(MONTH(B376)=3,"X",""))</f>
        <v/>
      </c>
      <c r="M376" s="34" t="str">
        <f aca="false">IF(B376="","",IF(MONTH(B376)=4,"X",""))</f>
        <v/>
      </c>
      <c r="N376" s="34" t="str">
        <f aca="false">IF(B376="","",IF(MONTH(B376)=5,"X",""))</f>
        <v/>
      </c>
      <c r="O376" s="34" t="str">
        <f aca="false">IF(B376="","",IF(MONTH(B376)=6,"X",""))</f>
        <v/>
      </c>
      <c r="P376" s="34" t="str">
        <f aca="false">IF(B376="","",IF(MONTH(B376)=7,"X",""))</f>
        <v/>
      </c>
      <c r="Q376" s="34" t="str">
        <f aca="false">IF(B376="","",IF(MONTH(B376)=8,"X",""))</f>
        <v/>
      </c>
      <c r="R376" s="34" t="str">
        <f aca="false">IF(B376="","",IF(MONTH(B376)=9,"X",""))</f>
        <v/>
      </c>
      <c r="S376" s="34" t="str">
        <f aca="false">IF(B376="","",IF(MONTH(B376)=10,"X",""))</f>
        <v/>
      </c>
      <c r="T376" s="34" t="str">
        <f aca="false">IF(B376="","",IF(MONTH(B376)=11,"X",""))</f>
        <v/>
      </c>
      <c r="U376" s="34" t="str">
        <f aca="false">IF(B376="","",IF(MONTH(B376)=12,"X",""))</f>
        <v/>
      </c>
      <c r="V376" s="24" t="str">
        <f aca="false">IF(E376="","",COUNTIF($E$5:$E$1000,E376))</f>
        <v/>
      </c>
      <c r="W376" s="35" t="str">
        <f aca="false">IF(E376="","",_xlfn.TEXTJOIN(" + ",TRUE(),IF(COUNTIFS($E$5:$E$1000,E376,$C$5:$C$1000,"Auditoría Interna")&gt;0,"Interna",""),IF(COUNTIFS($E$5:$E$1000,E376,$C$5:$C$1000,"Auditoría Externa")&gt;0,"Externa",""),IF(COUNTIFS($E$5:$E$1000,E376,$C$5:$C$1000,"SSF")&gt;0,"SSF",""),IF(COUNTIFS($E$5:$E$1000,E376,$C$5:$C$1000,"Comité de Supervisión")&gt;0,"Comité Sup.",""),IF(COUNTIFS($E$5:$E$1000,E376,$C$5:$C$1000,"Consejo de Administración")&gt;0,"Consejo",""),IF(COUNTIFS($E$5:$E$1000,E376,$C$5:$C$1000,"Otros")&gt;0,"Otros","")))</f>
        <v/>
      </c>
      <c r="X376" s="24" t="str">
        <f aca="false">IF(E376="","",COUNTIFS($E$5:$E$1000,E376,$AB$5:$AB$1000,AB376,$C$5:$C$1000,"&lt;&gt;"&amp;C376))</f>
        <v/>
      </c>
      <c r="Y376" s="33"/>
      <c r="Z376" s="31"/>
      <c r="AA376" s="33"/>
      <c r="AB376" s="37" t="str">
        <f aca="false">IF(B376="","",YEAR(B376)*100+MONTH(B376))</f>
        <v/>
      </c>
      <c r="AC376" s="37" t="str">
        <f aca="false">IF(AND(E376&lt;&gt;"",E376=Cruce!$C$5),COUNTIF($E$5:E376,E376),"")</f>
        <v/>
      </c>
      <c r="AD376" s="37" t="str">
        <f aca="false">IF(E376="","",C376&amp;"|"&amp;Y376&amp;"|"&amp;IF(B376="","s/f",TEXT(B376,"yyyymmdd")))</f>
        <v/>
      </c>
      <c r="AE376" s="37" t="n">
        <f aca="false">IF(E376="",0,IF(COUNTIFS($E$5:E376,E376,$AD$5:AD376,AD376)=1,1,0))</f>
        <v>0</v>
      </c>
    </row>
    <row r="377" customFormat="false" ht="15" hidden="false" customHeight="true" outlineLevel="0" collapsed="false">
      <c r="A377" s="31"/>
      <c r="B377" s="30"/>
      <c r="C377" s="31"/>
      <c r="D377" s="31"/>
      <c r="E377" s="32"/>
      <c r="F377" s="32"/>
      <c r="G377" s="33"/>
      <c r="H377" s="31"/>
      <c r="I377" s="24" t="str">
        <f aca="false">IF(B377="","",YEAR(B377))</f>
        <v/>
      </c>
      <c r="J377" s="34" t="str">
        <f aca="false">IF(B377="","",IF(MONTH(B377)=1,"X",""))</f>
        <v/>
      </c>
      <c r="K377" s="34" t="str">
        <f aca="false">IF(B377="","",IF(MONTH(B377)=2,"X",""))</f>
        <v/>
      </c>
      <c r="L377" s="34" t="str">
        <f aca="false">IF(B377="","",IF(MONTH(B377)=3,"X",""))</f>
        <v/>
      </c>
      <c r="M377" s="34" t="str">
        <f aca="false">IF(B377="","",IF(MONTH(B377)=4,"X",""))</f>
        <v/>
      </c>
      <c r="N377" s="34" t="str">
        <f aca="false">IF(B377="","",IF(MONTH(B377)=5,"X",""))</f>
        <v/>
      </c>
      <c r="O377" s="34" t="str">
        <f aca="false">IF(B377="","",IF(MONTH(B377)=6,"X",""))</f>
        <v/>
      </c>
      <c r="P377" s="34" t="str">
        <f aca="false">IF(B377="","",IF(MONTH(B377)=7,"X",""))</f>
        <v/>
      </c>
      <c r="Q377" s="34" t="str">
        <f aca="false">IF(B377="","",IF(MONTH(B377)=8,"X",""))</f>
        <v/>
      </c>
      <c r="R377" s="34" t="str">
        <f aca="false">IF(B377="","",IF(MONTH(B377)=9,"X",""))</f>
        <v/>
      </c>
      <c r="S377" s="34" t="str">
        <f aca="false">IF(B377="","",IF(MONTH(B377)=10,"X",""))</f>
        <v/>
      </c>
      <c r="T377" s="34" t="str">
        <f aca="false">IF(B377="","",IF(MONTH(B377)=11,"X",""))</f>
        <v/>
      </c>
      <c r="U377" s="34" t="str">
        <f aca="false">IF(B377="","",IF(MONTH(B377)=12,"X",""))</f>
        <v/>
      </c>
      <c r="V377" s="24" t="str">
        <f aca="false">IF(E377="","",COUNTIF($E$5:$E$1000,E377))</f>
        <v/>
      </c>
      <c r="W377" s="35" t="str">
        <f aca="false">IF(E377="","",_xlfn.TEXTJOIN(" + ",TRUE(),IF(COUNTIFS($E$5:$E$1000,E377,$C$5:$C$1000,"Auditoría Interna")&gt;0,"Interna",""),IF(COUNTIFS($E$5:$E$1000,E377,$C$5:$C$1000,"Auditoría Externa")&gt;0,"Externa",""),IF(COUNTIFS($E$5:$E$1000,E377,$C$5:$C$1000,"SSF")&gt;0,"SSF",""),IF(COUNTIFS($E$5:$E$1000,E377,$C$5:$C$1000,"Comité de Supervisión")&gt;0,"Comité Sup.",""),IF(COUNTIFS($E$5:$E$1000,E377,$C$5:$C$1000,"Consejo de Administración")&gt;0,"Consejo",""),IF(COUNTIFS($E$5:$E$1000,E377,$C$5:$C$1000,"Otros")&gt;0,"Otros","")))</f>
        <v/>
      </c>
      <c r="X377" s="24" t="str">
        <f aca="false">IF(E377="","",COUNTIFS($E$5:$E$1000,E377,$AB$5:$AB$1000,AB377,$C$5:$C$1000,"&lt;&gt;"&amp;C377))</f>
        <v/>
      </c>
      <c r="Y377" s="33"/>
      <c r="Z377" s="31"/>
      <c r="AA377" s="33"/>
      <c r="AB377" s="37" t="str">
        <f aca="false">IF(B377="","",YEAR(B377)*100+MONTH(B377))</f>
        <v/>
      </c>
      <c r="AC377" s="37" t="str">
        <f aca="false">IF(AND(E377&lt;&gt;"",E377=Cruce!$C$5),COUNTIF($E$5:E377,E377),"")</f>
        <v/>
      </c>
      <c r="AD377" s="37" t="str">
        <f aca="false">IF(E377="","",C377&amp;"|"&amp;Y377&amp;"|"&amp;IF(B377="","s/f",TEXT(B377,"yyyymmdd")))</f>
        <v/>
      </c>
      <c r="AE377" s="37" t="n">
        <f aca="false">IF(E377="",0,IF(COUNTIFS($E$5:E377,E377,$AD$5:AD377,AD377)=1,1,0))</f>
        <v>0</v>
      </c>
    </row>
    <row r="378" customFormat="false" ht="15" hidden="false" customHeight="true" outlineLevel="0" collapsed="false">
      <c r="A378" s="31"/>
      <c r="B378" s="30"/>
      <c r="C378" s="31"/>
      <c r="D378" s="31"/>
      <c r="E378" s="32"/>
      <c r="F378" s="32"/>
      <c r="G378" s="33"/>
      <c r="H378" s="31"/>
      <c r="I378" s="24" t="str">
        <f aca="false">IF(B378="","",YEAR(B378))</f>
        <v/>
      </c>
      <c r="J378" s="34" t="str">
        <f aca="false">IF(B378="","",IF(MONTH(B378)=1,"X",""))</f>
        <v/>
      </c>
      <c r="K378" s="34" t="str">
        <f aca="false">IF(B378="","",IF(MONTH(B378)=2,"X",""))</f>
        <v/>
      </c>
      <c r="L378" s="34" t="str">
        <f aca="false">IF(B378="","",IF(MONTH(B378)=3,"X",""))</f>
        <v/>
      </c>
      <c r="M378" s="34" t="str">
        <f aca="false">IF(B378="","",IF(MONTH(B378)=4,"X",""))</f>
        <v/>
      </c>
      <c r="N378" s="34" t="str">
        <f aca="false">IF(B378="","",IF(MONTH(B378)=5,"X",""))</f>
        <v/>
      </c>
      <c r="O378" s="34" t="str">
        <f aca="false">IF(B378="","",IF(MONTH(B378)=6,"X",""))</f>
        <v/>
      </c>
      <c r="P378" s="34" t="str">
        <f aca="false">IF(B378="","",IF(MONTH(B378)=7,"X",""))</f>
        <v/>
      </c>
      <c r="Q378" s="34" t="str">
        <f aca="false">IF(B378="","",IF(MONTH(B378)=8,"X",""))</f>
        <v/>
      </c>
      <c r="R378" s="34" t="str">
        <f aca="false">IF(B378="","",IF(MONTH(B378)=9,"X",""))</f>
        <v/>
      </c>
      <c r="S378" s="34" t="str">
        <f aca="false">IF(B378="","",IF(MONTH(B378)=10,"X",""))</f>
        <v/>
      </c>
      <c r="T378" s="34" t="str">
        <f aca="false">IF(B378="","",IF(MONTH(B378)=11,"X",""))</f>
        <v/>
      </c>
      <c r="U378" s="34" t="str">
        <f aca="false">IF(B378="","",IF(MONTH(B378)=12,"X",""))</f>
        <v/>
      </c>
      <c r="V378" s="24" t="str">
        <f aca="false">IF(E378="","",COUNTIF($E$5:$E$1000,E378))</f>
        <v/>
      </c>
      <c r="W378" s="35" t="str">
        <f aca="false">IF(E378="","",_xlfn.TEXTJOIN(" + ",TRUE(),IF(COUNTIFS($E$5:$E$1000,E378,$C$5:$C$1000,"Auditoría Interna")&gt;0,"Interna",""),IF(COUNTIFS($E$5:$E$1000,E378,$C$5:$C$1000,"Auditoría Externa")&gt;0,"Externa",""),IF(COUNTIFS($E$5:$E$1000,E378,$C$5:$C$1000,"SSF")&gt;0,"SSF",""),IF(COUNTIFS($E$5:$E$1000,E378,$C$5:$C$1000,"Comité de Supervisión")&gt;0,"Comité Sup.",""),IF(COUNTIFS($E$5:$E$1000,E378,$C$5:$C$1000,"Consejo de Administración")&gt;0,"Consejo",""),IF(COUNTIFS($E$5:$E$1000,E378,$C$5:$C$1000,"Otros")&gt;0,"Otros","")))</f>
        <v/>
      </c>
      <c r="X378" s="24" t="str">
        <f aca="false">IF(E378="","",COUNTIFS($E$5:$E$1000,E378,$AB$5:$AB$1000,AB378,$C$5:$C$1000,"&lt;&gt;"&amp;C378))</f>
        <v/>
      </c>
      <c r="Y378" s="33"/>
      <c r="Z378" s="31"/>
      <c r="AA378" s="33"/>
      <c r="AB378" s="37" t="str">
        <f aca="false">IF(B378="","",YEAR(B378)*100+MONTH(B378))</f>
        <v/>
      </c>
      <c r="AC378" s="37" t="str">
        <f aca="false">IF(AND(E378&lt;&gt;"",E378=Cruce!$C$5),COUNTIF($E$5:E378,E378),"")</f>
        <v/>
      </c>
      <c r="AD378" s="37" t="str">
        <f aca="false">IF(E378="","",C378&amp;"|"&amp;Y378&amp;"|"&amp;IF(B378="","s/f",TEXT(B378,"yyyymmdd")))</f>
        <v/>
      </c>
      <c r="AE378" s="37" t="n">
        <f aca="false">IF(E378="",0,IF(COUNTIFS($E$5:E378,E378,$AD$5:AD378,AD378)=1,1,0))</f>
        <v>0</v>
      </c>
    </row>
    <row r="379" customFormat="false" ht="15" hidden="false" customHeight="true" outlineLevel="0" collapsed="false">
      <c r="A379" s="31"/>
      <c r="B379" s="30"/>
      <c r="C379" s="31"/>
      <c r="D379" s="31"/>
      <c r="E379" s="32"/>
      <c r="F379" s="32"/>
      <c r="G379" s="33"/>
      <c r="H379" s="31"/>
      <c r="I379" s="24" t="str">
        <f aca="false">IF(B379="","",YEAR(B379))</f>
        <v/>
      </c>
      <c r="J379" s="34" t="str">
        <f aca="false">IF(B379="","",IF(MONTH(B379)=1,"X",""))</f>
        <v/>
      </c>
      <c r="K379" s="34" t="str">
        <f aca="false">IF(B379="","",IF(MONTH(B379)=2,"X",""))</f>
        <v/>
      </c>
      <c r="L379" s="34" t="str">
        <f aca="false">IF(B379="","",IF(MONTH(B379)=3,"X",""))</f>
        <v/>
      </c>
      <c r="M379" s="34" t="str">
        <f aca="false">IF(B379="","",IF(MONTH(B379)=4,"X",""))</f>
        <v/>
      </c>
      <c r="N379" s="34" t="str">
        <f aca="false">IF(B379="","",IF(MONTH(B379)=5,"X",""))</f>
        <v/>
      </c>
      <c r="O379" s="34" t="str">
        <f aca="false">IF(B379="","",IF(MONTH(B379)=6,"X",""))</f>
        <v/>
      </c>
      <c r="P379" s="34" t="str">
        <f aca="false">IF(B379="","",IF(MONTH(B379)=7,"X",""))</f>
        <v/>
      </c>
      <c r="Q379" s="34" t="str">
        <f aca="false">IF(B379="","",IF(MONTH(B379)=8,"X",""))</f>
        <v/>
      </c>
      <c r="R379" s="34" t="str">
        <f aca="false">IF(B379="","",IF(MONTH(B379)=9,"X",""))</f>
        <v/>
      </c>
      <c r="S379" s="34" t="str">
        <f aca="false">IF(B379="","",IF(MONTH(B379)=10,"X",""))</f>
        <v/>
      </c>
      <c r="T379" s="34" t="str">
        <f aca="false">IF(B379="","",IF(MONTH(B379)=11,"X",""))</f>
        <v/>
      </c>
      <c r="U379" s="34" t="str">
        <f aca="false">IF(B379="","",IF(MONTH(B379)=12,"X",""))</f>
        <v/>
      </c>
      <c r="V379" s="24" t="str">
        <f aca="false">IF(E379="","",COUNTIF($E$5:$E$1000,E379))</f>
        <v/>
      </c>
      <c r="W379" s="35" t="str">
        <f aca="false">IF(E379="","",_xlfn.TEXTJOIN(" + ",TRUE(),IF(COUNTIFS($E$5:$E$1000,E379,$C$5:$C$1000,"Auditoría Interna")&gt;0,"Interna",""),IF(COUNTIFS($E$5:$E$1000,E379,$C$5:$C$1000,"Auditoría Externa")&gt;0,"Externa",""),IF(COUNTIFS($E$5:$E$1000,E379,$C$5:$C$1000,"SSF")&gt;0,"SSF",""),IF(COUNTIFS($E$5:$E$1000,E379,$C$5:$C$1000,"Comité de Supervisión")&gt;0,"Comité Sup.",""),IF(COUNTIFS($E$5:$E$1000,E379,$C$5:$C$1000,"Consejo de Administración")&gt;0,"Consejo",""),IF(COUNTIFS($E$5:$E$1000,E379,$C$5:$C$1000,"Otros")&gt;0,"Otros","")))</f>
        <v/>
      </c>
      <c r="X379" s="24" t="str">
        <f aca="false">IF(E379="","",COUNTIFS($E$5:$E$1000,E379,$AB$5:$AB$1000,AB379,$C$5:$C$1000,"&lt;&gt;"&amp;C379))</f>
        <v/>
      </c>
      <c r="Y379" s="33"/>
      <c r="Z379" s="31"/>
      <c r="AA379" s="33"/>
      <c r="AB379" s="37" t="str">
        <f aca="false">IF(B379="","",YEAR(B379)*100+MONTH(B379))</f>
        <v/>
      </c>
      <c r="AC379" s="37" t="str">
        <f aca="false">IF(AND(E379&lt;&gt;"",E379=Cruce!$C$5),COUNTIF($E$5:E379,E379),"")</f>
        <v/>
      </c>
      <c r="AD379" s="37" t="str">
        <f aca="false">IF(E379="","",C379&amp;"|"&amp;Y379&amp;"|"&amp;IF(B379="","s/f",TEXT(B379,"yyyymmdd")))</f>
        <v/>
      </c>
      <c r="AE379" s="37" t="n">
        <f aca="false">IF(E379="",0,IF(COUNTIFS($E$5:E379,E379,$AD$5:AD379,AD379)=1,1,0))</f>
        <v>0</v>
      </c>
    </row>
    <row r="380" customFormat="false" ht="15" hidden="false" customHeight="true" outlineLevel="0" collapsed="false">
      <c r="A380" s="31"/>
      <c r="B380" s="30"/>
      <c r="C380" s="31"/>
      <c r="D380" s="31"/>
      <c r="E380" s="32"/>
      <c r="F380" s="32"/>
      <c r="G380" s="33"/>
      <c r="H380" s="31"/>
      <c r="I380" s="24" t="str">
        <f aca="false">IF(B380="","",YEAR(B380))</f>
        <v/>
      </c>
      <c r="J380" s="34" t="str">
        <f aca="false">IF(B380="","",IF(MONTH(B380)=1,"X",""))</f>
        <v/>
      </c>
      <c r="K380" s="34" t="str">
        <f aca="false">IF(B380="","",IF(MONTH(B380)=2,"X",""))</f>
        <v/>
      </c>
      <c r="L380" s="34" t="str">
        <f aca="false">IF(B380="","",IF(MONTH(B380)=3,"X",""))</f>
        <v/>
      </c>
      <c r="M380" s="34" t="str">
        <f aca="false">IF(B380="","",IF(MONTH(B380)=4,"X",""))</f>
        <v/>
      </c>
      <c r="N380" s="34" t="str">
        <f aca="false">IF(B380="","",IF(MONTH(B380)=5,"X",""))</f>
        <v/>
      </c>
      <c r="O380" s="34" t="str">
        <f aca="false">IF(B380="","",IF(MONTH(B380)=6,"X",""))</f>
        <v/>
      </c>
      <c r="P380" s="34" t="str">
        <f aca="false">IF(B380="","",IF(MONTH(B380)=7,"X",""))</f>
        <v/>
      </c>
      <c r="Q380" s="34" t="str">
        <f aca="false">IF(B380="","",IF(MONTH(B380)=8,"X",""))</f>
        <v/>
      </c>
      <c r="R380" s="34" t="str">
        <f aca="false">IF(B380="","",IF(MONTH(B380)=9,"X",""))</f>
        <v/>
      </c>
      <c r="S380" s="34" t="str">
        <f aca="false">IF(B380="","",IF(MONTH(B380)=10,"X",""))</f>
        <v/>
      </c>
      <c r="T380" s="34" t="str">
        <f aca="false">IF(B380="","",IF(MONTH(B380)=11,"X",""))</f>
        <v/>
      </c>
      <c r="U380" s="34" t="str">
        <f aca="false">IF(B380="","",IF(MONTH(B380)=12,"X",""))</f>
        <v/>
      </c>
      <c r="V380" s="24" t="str">
        <f aca="false">IF(E380="","",COUNTIF($E$5:$E$1000,E380))</f>
        <v/>
      </c>
      <c r="W380" s="35" t="str">
        <f aca="false">IF(E380="","",_xlfn.TEXTJOIN(" + ",TRUE(),IF(COUNTIFS($E$5:$E$1000,E380,$C$5:$C$1000,"Auditoría Interna")&gt;0,"Interna",""),IF(COUNTIFS($E$5:$E$1000,E380,$C$5:$C$1000,"Auditoría Externa")&gt;0,"Externa",""),IF(COUNTIFS($E$5:$E$1000,E380,$C$5:$C$1000,"SSF")&gt;0,"SSF",""),IF(COUNTIFS($E$5:$E$1000,E380,$C$5:$C$1000,"Comité de Supervisión")&gt;0,"Comité Sup.",""),IF(COUNTIFS($E$5:$E$1000,E380,$C$5:$C$1000,"Consejo de Administración")&gt;0,"Consejo",""),IF(COUNTIFS($E$5:$E$1000,E380,$C$5:$C$1000,"Otros")&gt;0,"Otros","")))</f>
        <v/>
      </c>
      <c r="X380" s="24" t="str">
        <f aca="false">IF(E380="","",COUNTIFS($E$5:$E$1000,E380,$AB$5:$AB$1000,AB380,$C$5:$C$1000,"&lt;&gt;"&amp;C380))</f>
        <v/>
      </c>
      <c r="Y380" s="33"/>
      <c r="Z380" s="31"/>
      <c r="AA380" s="33"/>
      <c r="AB380" s="37" t="str">
        <f aca="false">IF(B380="","",YEAR(B380)*100+MONTH(B380))</f>
        <v/>
      </c>
      <c r="AC380" s="37" t="str">
        <f aca="false">IF(AND(E380&lt;&gt;"",E380=Cruce!$C$5),COUNTIF($E$5:E380,E380),"")</f>
        <v/>
      </c>
      <c r="AD380" s="37" t="str">
        <f aca="false">IF(E380="","",C380&amp;"|"&amp;Y380&amp;"|"&amp;IF(B380="","s/f",TEXT(B380,"yyyymmdd")))</f>
        <v/>
      </c>
      <c r="AE380" s="37" t="n">
        <f aca="false">IF(E380="",0,IF(COUNTIFS($E$5:E380,E380,$AD$5:AD380,AD380)=1,1,0))</f>
        <v>0</v>
      </c>
    </row>
    <row r="381" customFormat="false" ht="15" hidden="false" customHeight="true" outlineLevel="0" collapsed="false">
      <c r="A381" s="31"/>
      <c r="B381" s="30"/>
      <c r="C381" s="31"/>
      <c r="D381" s="31"/>
      <c r="E381" s="32"/>
      <c r="F381" s="32"/>
      <c r="G381" s="33"/>
      <c r="H381" s="31"/>
      <c r="I381" s="24" t="str">
        <f aca="false">IF(B381="","",YEAR(B381))</f>
        <v/>
      </c>
      <c r="J381" s="34" t="str">
        <f aca="false">IF(B381="","",IF(MONTH(B381)=1,"X",""))</f>
        <v/>
      </c>
      <c r="K381" s="34" t="str">
        <f aca="false">IF(B381="","",IF(MONTH(B381)=2,"X",""))</f>
        <v/>
      </c>
      <c r="L381" s="34" t="str">
        <f aca="false">IF(B381="","",IF(MONTH(B381)=3,"X",""))</f>
        <v/>
      </c>
      <c r="M381" s="34" t="str">
        <f aca="false">IF(B381="","",IF(MONTH(B381)=4,"X",""))</f>
        <v/>
      </c>
      <c r="N381" s="34" t="str">
        <f aca="false">IF(B381="","",IF(MONTH(B381)=5,"X",""))</f>
        <v/>
      </c>
      <c r="O381" s="34" t="str">
        <f aca="false">IF(B381="","",IF(MONTH(B381)=6,"X",""))</f>
        <v/>
      </c>
      <c r="P381" s="34" t="str">
        <f aca="false">IF(B381="","",IF(MONTH(B381)=7,"X",""))</f>
        <v/>
      </c>
      <c r="Q381" s="34" t="str">
        <f aca="false">IF(B381="","",IF(MONTH(B381)=8,"X",""))</f>
        <v/>
      </c>
      <c r="R381" s="34" t="str">
        <f aca="false">IF(B381="","",IF(MONTH(B381)=9,"X",""))</f>
        <v/>
      </c>
      <c r="S381" s="34" t="str">
        <f aca="false">IF(B381="","",IF(MONTH(B381)=10,"X",""))</f>
        <v/>
      </c>
      <c r="T381" s="34" t="str">
        <f aca="false">IF(B381="","",IF(MONTH(B381)=11,"X",""))</f>
        <v/>
      </c>
      <c r="U381" s="34" t="str">
        <f aca="false">IF(B381="","",IF(MONTH(B381)=12,"X",""))</f>
        <v/>
      </c>
      <c r="V381" s="24" t="str">
        <f aca="false">IF(E381="","",COUNTIF($E$5:$E$1000,E381))</f>
        <v/>
      </c>
      <c r="W381" s="35" t="str">
        <f aca="false">IF(E381="","",_xlfn.TEXTJOIN(" + ",TRUE(),IF(COUNTIFS($E$5:$E$1000,E381,$C$5:$C$1000,"Auditoría Interna")&gt;0,"Interna",""),IF(COUNTIFS($E$5:$E$1000,E381,$C$5:$C$1000,"Auditoría Externa")&gt;0,"Externa",""),IF(COUNTIFS($E$5:$E$1000,E381,$C$5:$C$1000,"SSF")&gt;0,"SSF",""),IF(COUNTIFS($E$5:$E$1000,E381,$C$5:$C$1000,"Comité de Supervisión")&gt;0,"Comité Sup.",""),IF(COUNTIFS($E$5:$E$1000,E381,$C$5:$C$1000,"Consejo de Administración")&gt;0,"Consejo",""),IF(COUNTIFS($E$5:$E$1000,E381,$C$5:$C$1000,"Otros")&gt;0,"Otros","")))</f>
        <v/>
      </c>
      <c r="X381" s="24" t="str">
        <f aca="false">IF(E381="","",COUNTIFS($E$5:$E$1000,E381,$AB$5:$AB$1000,AB381,$C$5:$C$1000,"&lt;&gt;"&amp;C381))</f>
        <v/>
      </c>
      <c r="Y381" s="33"/>
      <c r="Z381" s="31"/>
      <c r="AA381" s="33"/>
      <c r="AB381" s="37" t="str">
        <f aca="false">IF(B381="","",YEAR(B381)*100+MONTH(B381))</f>
        <v/>
      </c>
      <c r="AC381" s="37" t="str">
        <f aca="false">IF(AND(E381&lt;&gt;"",E381=Cruce!$C$5),COUNTIF($E$5:E381,E381),"")</f>
        <v/>
      </c>
      <c r="AD381" s="37" t="str">
        <f aca="false">IF(E381="","",C381&amp;"|"&amp;Y381&amp;"|"&amp;IF(B381="","s/f",TEXT(B381,"yyyymmdd")))</f>
        <v/>
      </c>
      <c r="AE381" s="37" t="n">
        <f aca="false">IF(E381="",0,IF(COUNTIFS($E$5:E381,E381,$AD$5:AD381,AD381)=1,1,0))</f>
        <v>0</v>
      </c>
    </row>
    <row r="382" customFormat="false" ht="15" hidden="false" customHeight="true" outlineLevel="0" collapsed="false">
      <c r="A382" s="31"/>
      <c r="B382" s="30"/>
      <c r="C382" s="31"/>
      <c r="D382" s="31"/>
      <c r="E382" s="32"/>
      <c r="F382" s="32"/>
      <c r="G382" s="33"/>
      <c r="H382" s="31"/>
      <c r="I382" s="24" t="str">
        <f aca="false">IF(B382="","",YEAR(B382))</f>
        <v/>
      </c>
      <c r="J382" s="34" t="str">
        <f aca="false">IF(B382="","",IF(MONTH(B382)=1,"X",""))</f>
        <v/>
      </c>
      <c r="K382" s="34" t="str">
        <f aca="false">IF(B382="","",IF(MONTH(B382)=2,"X",""))</f>
        <v/>
      </c>
      <c r="L382" s="34" t="str">
        <f aca="false">IF(B382="","",IF(MONTH(B382)=3,"X",""))</f>
        <v/>
      </c>
      <c r="M382" s="34" t="str">
        <f aca="false">IF(B382="","",IF(MONTH(B382)=4,"X",""))</f>
        <v/>
      </c>
      <c r="N382" s="34" t="str">
        <f aca="false">IF(B382="","",IF(MONTH(B382)=5,"X",""))</f>
        <v/>
      </c>
      <c r="O382" s="34" t="str">
        <f aca="false">IF(B382="","",IF(MONTH(B382)=6,"X",""))</f>
        <v/>
      </c>
      <c r="P382" s="34" t="str">
        <f aca="false">IF(B382="","",IF(MONTH(B382)=7,"X",""))</f>
        <v/>
      </c>
      <c r="Q382" s="34" t="str">
        <f aca="false">IF(B382="","",IF(MONTH(B382)=8,"X",""))</f>
        <v/>
      </c>
      <c r="R382" s="34" t="str">
        <f aca="false">IF(B382="","",IF(MONTH(B382)=9,"X",""))</f>
        <v/>
      </c>
      <c r="S382" s="34" t="str">
        <f aca="false">IF(B382="","",IF(MONTH(B382)=10,"X",""))</f>
        <v/>
      </c>
      <c r="T382" s="34" t="str">
        <f aca="false">IF(B382="","",IF(MONTH(B382)=11,"X",""))</f>
        <v/>
      </c>
      <c r="U382" s="34" t="str">
        <f aca="false">IF(B382="","",IF(MONTH(B382)=12,"X",""))</f>
        <v/>
      </c>
      <c r="V382" s="24" t="str">
        <f aca="false">IF(E382="","",COUNTIF($E$5:$E$1000,E382))</f>
        <v/>
      </c>
      <c r="W382" s="35" t="str">
        <f aca="false">IF(E382="","",_xlfn.TEXTJOIN(" + ",TRUE(),IF(COUNTIFS($E$5:$E$1000,E382,$C$5:$C$1000,"Auditoría Interna")&gt;0,"Interna",""),IF(COUNTIFS($E$5:$E$1000,E382,$C$5:$C$1000,"Auditoría Externa")&gt;0,"Externa",""),IF(COUNTIFS($E$5:$E$1000,E382,$C$5:$C$1000,"SSF")&gt;0,"SSF",""),IF(COUNTIFS($E$5:$E$1000,E382,$C$5:$C$1000,"Comité de Supervisión")&gt;0,"Comité Sup.",""),IF(COUNTIFS($E$5:$E$1000,E382,$C$5:$C$1000,"Consejo de Administración")&gt;0,"Consejo",""),IF(COUNTIFS($E$5:$E$1000,E382,$C$5:$C$1000,"Otros")&gt;0,"Otros","")))</f>
        <v/>
      </c>
      <c r="X382" s="24" t="str">
        <f aca="false">IF(E382="","",COUNTIFS($E$5:$E$1000,E382,$AB$5:$AB$1000,AB382,$C$5:$C$1000,"&lt;&gt;"&amp;C382))</f>
        <v/>
      </c>
      <c r="Y382" s="33"/>
      <c r="Z382" s="31"/>
      <c r="AA382" s="33"/>
      <c r="AB382" s="37" t="str">
        <f aca="false">IF(B382="","",YEAR(B382)*100+MONTH(B382))</f>
        <v/>
      </c>
      <c r="AC382" s="37" t="str">
        <f aca="false">IF(AND(E382&lt;&gt;"",E382=Cruce!$C$5),COUNTIF($E$5:E382,E382),"")</f>
        <v/>
      </c>
      <c r="AD382" s="37" t="str">
        <f aca="false">IF(E382="","",C382&amp;"|"&amp;Y382&amp;"|"&amp;IF(B382="","s/f",TEXT(B382,"yyyymmdd")))</f>
        <v/>
      </c>
      <c r="AE382" s="37" t="n">
        <f aca="false">IF(E382="",0,IF(COUNTIFS($E$5:E382,E382,$AD$5:AD382,AD382)=1,1,0))</f>
        <v>0</v>
      </c>
    </row>
    <row r="383" customFormat="false" ht="15" hidden="false" customHeight="true" outlineLevel="0" collapsed="false">
      <c r="A383" s="31"/>
      <c r="B383" s="30"/>
      <c r="C383" s="31"/>
      <c r="D383" s="31"/>
      <c r="E383" s="32"/>
      <c r="F383" s="32"/>
      <c r="G383" s="33"/>
      <c r="H383" s="31"/>
      <c r="I383" s="24" t="str">
        <f aca="false">IF(B383="","",YEAR(B383))</f>
        <v/>
      </c>
      <c r="J383" s="34" t="str">
        <f aca="false">IF(B383="","",IF(MONTH(B383)=1,"X",""))</f>
        <v/>
      </c>
      <c r="K383" s="34" t="str">
        <f aca="false">IF(B383="","",IF(MONTH(B383)=2,"X",""))</f>
        <v/>
      </c>
      <c r="L383" s="34" t="str">
        <f aca="false">IF(B383="","",IF(MONTH(B383)=3,"X",""))</f>
        <v/>
      </c>
      <c r="M383" s="34" t="str">
        <f aca="false">IF(B383="","",IF(MONTH(B383)=4,"X",""))</f>
        <v/>
      </c>
      <c r="N383" s="34" t="str">
        <f aca="false">IF(B383="","",IF(MONTH(B383)=5,"X",""))</f>
        <v/>
      </c>
      <c r="O383" s="34" t="str">
        <f aca="false">IF(B383="","",IF(MONTH(B383)=6,"X",""))</f>
        <v/>
      </c>
      <c r="P383" s="34" t="str">
        <f aca="false">IF(B383="","",IF(MONTH(B383)=7,"X",""))</f>
        <v/>
      </c>
      <c r="Q383" s="34" t="str">
        <f aca="false">IF(B383="","",IF(MONTH(B383)=8,"X",""))</f>
        <v/>
      </c>
      <c r="R383" s="34" t="str">
        <f aca="false">IF(B383="","",IF(MONTH(B383)=9,"X",""))</f>
        <v/>
      </c>
      <c r="S383" s="34" t="str">
        <f aca="false">IF(B383="","",IF(MONTH(B383)=10,"X",""))</f>
        <v/>
      </c>
      <c r="T383" s="34" t="str">
        <f aca="false">IF(B383="","",IF(MONTH(B383)=11,"X",""))</f>
        <v/>
      </c>
      <c r="U383" s="34" t="str">
        <f aca="false">IF(B383="","",IF(MONTH(B383)=12,"X",""))</f>
        <v/>
      </c>
      <c r="V383" s="24" t="str">
        <f aca="false">IF(E383="","",COUNTIF($E$5:$E$1000,E383))</f>
        <v/>
      </c>
      <c r="W383" s="35" t="str">
        <f aca="false">IF(E383="","",_xlfn.TEXTJOIN(" + ",TRUE(),IF(COUNTIFS($E$5:$E$1000,E383,$C$5:$C$1000,"Auditoría Interna")&gt;0,"Interna",""),IF(COUNTIFS($E$5:$E$1000,E383,$C$5:$C$1000,"Auditoría Externa")&gt;0,"Externa",""),IF(COUNTIFS($E$5:$E$1000,E383,$C$5:$C$1000,"SSF")&gt;0,"SSF",""),IF(COUNTIFS($E$5:$E$1000,E383,$C$5:$C$1000,"Comité de Supervisión")&gt;0,"Comité Sup.",""),IF(COUNTIFS($E$5:$E$1000,E383,$C$5:$C$1000,"Consejo de Administración")&gt;0,"Consejo",""),IF(COUNTIFS($E$5:$E$1000,E383,$C$5:$C$1000,"Otros")&gt;0,"Otros","")))</f>
        <v/>
      </c>
      <c r="X383" s="24" t="str">
        <f aca="false">IF(E383="","",COUNTIFS($E$5:$E$1000,E383,$AB$5:$AB$1000,AB383,$C$5:$C$1000,"&lt;&gt;"&amp;C383))</f>
        <v/>
      </c>
      <c r="Y383" s="33"/>
      <c r="Z383" s="31"/>
      <c r="AA383" s="33"/>
      <c r="AB383" s="37" t="str">
        <f aca="false">IF(B383="","",YEAR(B383)*100+MONTH(B383))</f>
        <v/>
      </c>
      <c r="AC383" s="37" t="str">
        <f aca="false">IF(AND(E383&lt;&gt;"",E383=Cruce!$C$5),COUNTIF($E$5:E383,E383),"")</f>
        <v/>
      </c>
      <c r="AD383" s="37" t="str">
        <f aca="false">IF(E383="","",C383&amp;"|"&amp;Y383&amp;"|"&amp;IF(B383="","s/f",TEXT(B383,"yyyymmdd")))</f>
        <v/>
      </c>
      <c r="AE383" s="37" t="n">
        <f aca="false">IF(E383="",0,IF(COUNTIFS($E$5:E383,E383,$AD$5:AD383,AD383)=1,1,0))</f>
        <v>0</v>
      </c>
    </row>
    <row r="384" customFormat="false" ht="15" hidden="false" customHeight="true" outlineLevel="0" collapsed="false">
      <c r="A384" s="31"/>
      <c r="B384" s="30"/>
      <c r="C384" s="31"/>
      <c r="D384" s="31"/>
      <c r="E384" s="32"/>
      <c r="F384" s="32"/>
      <c r="G384" s="33"/>
      <c r="H384" s="31"/>
      <c r="I384" s="24" t="str">
        <f aca="false">IF(B384="","",YEAR(B384))</f>
        <v/>
      </c>
      <c r="J384" s="34" t="str">
        <f aca="false">IF(B384="","",IF(MONTH(B384)=1,"X",""))</f>
        <v/>
      </c>
      <c r="K384" s="34" t="str">
        <f aca="false">IF(B384="","",IF(MONTH(B384)=2,"X",""))</f>
        <v/>
      </c>
      <c r="L384" s="34" t="str">
        <f aca="false">IF(B384="","",IF(MONTH(B384)=3,"X",""))</f>
        <v/>
      </c>
      <c r="M384" s="34" t="str">
        <f aca="false">IF(B384="","",IF(MONTH(B384)=4,"X",""))</f>
        <v/>
      </c>
      <c r="N384" s="34" t="str">
        <f aca="false">IF(B384="","",IF(MONTH(B384)=5,"X",""))</f>
        <v/>
      </c>
      <c r="O384" s="34" t="str">
        <f aca="false">IF(B384="","",IF(MONTH(B384)=6,"X",""))</f>
        <v/>
      </c>
      <c r="P384" s="34" t="str">
        <f aca="false">IF(B384="","",IF(MONTH(B384)=7,"X",""))</f>
        <v/>
      </c>
      <c r="Q384" s="34" t="str">
        <f aca="false">IF(B384="","",IF(MONTH(B384)=8,"X",""))</f>
        <v/>
      </c>
      <c r="R384" s="34" t="str">
        <f aca="false">IF(B384="","",IF(MONTH(B384)=9,"X",""))</f>
        <v/>
      </c>
      <c r="S384" s="34" t="str">
        <f aca="false">IF(B384="","",IF(MONTH(B384)=10,"X",""))</f>
        <v/>
      </c>
      <c r="T384" s="34" t="str">
        <f aca="false">IF(B384="","",IF(MONTH(B384)=11,"X",""))</f>
        <v/>
      </c>
      <c r="U384" s="34" t="str">
        <f aca="false">IF(B384="","",IF(MONTH(B384)=12,"X",""))</f>
        <v/>
      </c>
      <c r="V384" s="24" t="str">
        <f aca="false">IF(E384="","",COUNTIF($E$5:$E$1000,E384))</f>
        <v/>
      </c>
      <c r="W384" s="35" t="str">
        <f aca="false">IF(E384="","",_xlfn.TEXTJOIN(" + ",TRUE(),IF(COUNTIFS($E$5:$E$1000,E384,$C$5:$C$1000,"Auditoría Interna")&gt;0,"Interna",""),IF(COUNTIFS($E$5:$E$1000,E384,$C$5:$C$1000,"Auditoría Externa")&gt;0,"Externa",""),IF(COUNTIFS($E$5:$E$1000,E384,$C$5:$C$1000,"SSF")&gt;0,"SSF",""),IF(COUNTIFS($E$5:$E$1000,E384,$C$5:$C$1000,"Comité de Supervisión")&gt;0,"Comité Sup.",""),IF(COUNTIFS($E$5:$E$1000,E384,$C$5:$C$1000,"Consejo de Administración")&gt;0,"Consejo",""),IF(COUNTIFS($E$5:$E$1000,E384,$C$5:$C$1000,"Otros")&gt;0,"Otros","")))</f>
        <v/>
      </c>
      <c r="X384" s="24" t="str">
        <f aca="false">IF(E384="","",COUNTIFS($E$5:$E$1000,E384,$AB$5:$AB$1000,AB384,$C$5:$C$1000,"&lt;&gt;"&amp;C384))</f>
        <v/>
      </c>
      <c r="Y384" s="33"/>
      <c r="Z384" s="31"/>
      <c r="AA384" s="33"/>
      <c r="AB384" s="37" t="str">
        <f aca="false">IF(B384="","",YEAR(B384)*100+MONTH(B384))</f>
        <v/>
      </c>
      <c r="AC384" s="37" t="str">
        <f aca="false">IF(AND(E384&lt;&gt;"",E384=Cruce!$C$5),COUNTIF($E$5:E384,E384),"")</f>
        <v/>
      </c>
      <c r="AD384" s="37" t="str">
        <f aca="false">IF(E384="","",C384&amp;"|"&amp;Y384&amp;"|"&amp;IF(B384="","s/f",TEXT(B384,"yyyymmdd")))</f>
        <v/>
      </c>
      <c r="AE384" s="37" t="n">
        <f aca="false">IF(E384="",0,IF(COUNTIFS($E$5:E384,E384,$AD$5:AD384,AD384)=1,1,0))</f>
        <v>0</v>
      </c>
    </row>
    <row r="385" customFormat="false" ht="15" hidden="false" customHeight="true" outlineLevel="0" collapsed="false">
      <c r="A385" s="31"/>
      <c r="B385" s="30"/>
      <c r="C385" s="31"/>
      <c r="D385" s="31"/>
      <c r="E385" s="32"/>
      <c r="F385" s="32"/>
      <c r="G385" s="33"/>
      <c r="H385" s="31"/>
      <c r="I385" s="24" t="str">
        <f aca="false">IF(B385="","",YEAR(B385))</f>
        <v/>
      </c>
      <c r="J385" s="34" t="str">
        <f aca="false">IF(B385="","",IF(MONTH(B385)=1,"X",""))</f>
        <v/>
      </c>
      <c r="K385" s="34" t="str">
        <f aca="false">IF(B385="","",IF(MONTH(B385)=2,"X",""))</f>
        <v/>
      </c>
      <c r="L385" s="34" t="str">
        <f aca="false">IF(B385="","",IF(MONTH(B385)=3,"X",""))</f>
        <v/>
      </c>
      <c r="M385" s="34" t="str">
        <f aca="false">IF(B385="","",IF(MONTH(B385)=4,"X",""))</f>
        <v/>
      </c>
      <c r="N385" s="34" t="str">
        <f aca="false">IF(B385="","",IF(MONTH(B385)=5,"X",""))</f>
        <v/>
      </c>
      <c r="O385" s="34" t="str">
        <f aca="false">IF(B385="","",IF(MONTH(B385)=6,"X",""))</f>
        <v/>
      </c>
      <c r="P385" s="34" t="str">
        <f aca="false">IF(B385="","",IF(MONTH(B385)=7,"X",""))</f>
        <v/>
      </c>
      <c r="Q385" s="34" t="str">
        <f aca="false">IF(B385="","",IF(MONTH(B385)=8,"X",""))</f>
        <v/>
      </c>
      <c r="R385" s="34" t="str">
        <f aca="false">IF(B385="","",IF(MONTH(B385)=9,"X",""))</f>
        <v/>
      </c>
      <c r="S385" s="34" t="str">
        <f aca="false">IF(B385="","",IF(MONTH(B385)=10,"X",""))</f>
        <v/>
      </c>
      <c r="T385" s="34" t="str">
        <f aca="false">IF(B385="","",IF(MONTH(B385)=11,"X",""))</f>
        <v/>
      </c>
      <c r="U385" s="34" t="str">
        <f aca="false">IF(B385="","",IF(MONTH(B385)=12,"X",""))</f>
        <v/>
      </c>
      <c r="V385" s="24" t="str">
        <f aca="false">IF(E385="","",COUNTIF($E$5:$E$1000,E385))</f>
        <v/>
      </c>
      <c r="W385" s="35" t="str">
        <f aca="false">IF(E385="","",_xlfn.TEXTJOIN(" + ",TRUE(),IF(COUNTIFS($E$5:$E$1000,E385,$C$5:$C$1000,"Auditoría Interna")&gt;0,"Interna",""),IF(COUNTIFS($E$5:$E$1000,E385,$C$5:$C$1000,"Auditoría Externa")&gt;0,"Externa",""),IF(COUNTIFS($E$5:$E$1000,E385,$C$5:$C$1000,"SSF")&gt;0,"SSF",""),IF(COUNTIFS($E$5:$E$1000,E385,$C$5:$C$1000,"Comité de Supervisión")&gt;0,"Comité Sup.",""),IF(COUNTIFS($E$5:$E$1000,E385,$C$5:$C$1000,"Consejo de Administración")&gt;0,"Consejo",""),IF(COUNTIFS($E$5:$E$1000,E385,$C$5:$C$1000,"Otros")&gt;0,"Otros","")))</f>
        <v/>
      </c>
      <c r="X385" s="24" t="str">
        <f aca="false">IF(E385="","",COUNTIFS($E$5:$E$1000,E385,$AB$5:$AB$1000,AB385,$C$5:$C$1000,"&lt;&gt;"&amp;C385))</f>
        <v/>
      </c>
      <c r="Y385" s="33"/>
      <c r="Z385" s="31"/>
      <c r="AA385" s="33"/>
      <c r="AB385" s="37" t="str">
        <f aca="false">IF(B385="","",YEAR(B385)*100+MONTH(B385))</f>
        <v/>
      </c>
      <c r="AC385" s="37" t="str">
        <f aca="false">IF(AND(E385&lt;&gt;"",E385=Cruce!$C$5),COUNTIF($E$5:E385,E385),"")</f>
        <v/>
      </c>
      <c r="AD385" s="37" t="str">
        <f aca="false">IF(E385="","",C385&amp;"|"&amp;Y385&amp;"|"&amp;IF(B385="","s/f",TEXT(B385,"yyyymmdd")))</f>
        <v/>
      </c>
      <c r="AE385" s="37" t="n">
        <f aca="false">IF(E385="",0,IF(COUNTIFS($E$5:E385,E385,$AD$5:AD385,AD385)=1,1,0))</f>
        <v>0</v>
      </c>
    </row>
    <row r="386" customFormat="false" ht="15" hidden="false" customHeight="true" outlineLevel="0" collapsed="false">
      <c r="A386" s="31"/>
      <c r="B386" s="30"/>
      <c r="C386" s="31"/>
      <c r="D386" s="31"/>
      <c r="E386" s="32"/>
      <c r="F386" s="32"/>
      <c r="G386" s="33"/>
      <c r="H386" s="31"/>
      <c r="I386" s="24" t="str">
        <f aca="false">IF(B386="","",YEAR(B386))</f>
        <v/>
      </c>
      <c r="J386" s="34" t="str">
        <f aca="false">IF(B386="","",IF(MONTH(B386)=1,"X",""))</f>
        <v/>
      </c>
      <c r="K386" s="34" t="str">
        <f aca="false">IF(B386="","",IF(MONTH(B386)=2,"X",""))</f>
        <v/>
      </c>
      <c r="L386" s="34" t="str">
        <f aca="false">IF(B386="","",IF(MONTH(B386)=3,"X",""))</f>
        <v/>
      </c>
      <c r="M386" s="34" t="str">
        <f aca="false">IF(B386="","",IF(MONTH(B386)=4,"X",""))</f>
        <v/>
      </c>
      <c r="N386" s="34" t="str">
        <f aca="false">IF(B386="","",IF(MONTH(B386)=5,"X",""))</f>
        <v/>
      </c>
      <c r="O386" s="34" t="str">
        <f aca="false">IF(B386="","",IF(MONTH(B386)=6,"X",""))</f>
        <v/>
      </c>
      <c r="P386" s="34" t="str">
        <f aca="false">IF(B386="","",IF(MONTH(B386)=7,"X",""))</f>
        <v/>
      </c>
      <c r="Q386" s="34" t="str">
        <f aca="false">IF(B386="","",IF(MONTH(B386)=8,"X",""))</f>
        <v/>
      </c>
      <c r="R386" s="34" t="str">
        <f aca="false">IF(B386="","",IF(MONTH(B386)=9,"X",""))</f>
        <v/>
      </c>
      <c r="S386" s="34" t="str">
        <f aca="false">IF(B386="","",IF(MONTH(B386)=10,"X",""))</f>
        <v/>
      </c>
      <c r="T386" s="34" t="str">
        <f aca="false">IF(B386="","",IF(MONTH(B386)=11,"X",""))</f>
        <v/>
      </c>
      <c r="U386" s="34" t="str">
        <f aca="false">IF(B386="","",IF(MONTH(B386)=12,"X",""))</f>
        <v/>
      </c>
      <c r="V386" s="24" t="str">
        <f aca="false">IF(E386="","",COUNTIF($E$5:$E$1000,E386))</f>
        <v/>
      </c>
      <c r="W386" s="35" t="str">
        <f aca="false">IF(E386="","",_xlfn.TEXTJOIN(" + ",TRUE(),IF(COUNTIFS($E$5:$E$1000,E386,$C$5:$C$1000,"Auditoría Interna")&gt;0,"Interna",""),IF(COUNTIFS($E$5:$E$1000,E386,$C$5:$C$1000,"Auditoría Externa")&gt;0,"Externa",""),IF(COUNTIFS($E$5:$E$1000,E386,$C$5:$C$1000,"SSF")&gt;0,"SSF",""),IF(COUNTIFS($E$5:$E$1000,E386,$C$5:$C$1000,"Comité de Supervisión")&gt;0,"Comité Sup.",""),IF(COUNTIFS($E$5:$E$1000,E386,$C$5:$C$1000,"Consejo de Administración")&gt;0,"Consejo",""),IF(COUNTIFS($E$5:$E$1000,E386,$C$5:$C$1000,"Otros")&gt;0,"Otros","")))</f>
        <v/>
      </c>
      <c r="X386" s="24" t="str">
        <f aca="false">IF(E386="","",COUNTIFS($E$5:$E$1000,E386,$AB$5:$AB$1000,AB386,$C$5:$C$1000,"&lt;&gt;"&amp;C386))</f>
        <v/>
      </c>
      <c r="Y386" s="33"/>
      <c r="Z386" s="31"/>
      <c r="AA386" s="33"/>
      <c r="AB386" s="37" t="str">
        <f aca="false">IF(B386="","",YEAR(B386)*100+MONTH(B386))</f>
        <v/>
      </c>
      <c r="AC386" s="37" t="str">
        <f aca="false">IF(AND(E386&lt;&gt;"",E386=Cruce!$C$5),COUNTIF($E$5:E386,E386),"")</f>
        <v/>
      </c>
      <c r="AD386" s="37" t="str">
        <f aca="false">IF(E386="","",C386&amp;"|"&amp;Y386&amp;"|"&amp;IF(B386="","s/f",TEXT(B386,"yyyymmdd")))</f>
        <v/>
      </c>
      <c r="AE386" s="37" t="n">
        <f aca="false">IF(E386="",0,IF(COUNTIFS($E$5:E386,E386,$AD$5:AD386,AD386)=1,1,0))</f>
        <v>0</v>
      </c>
    </row>
    <row r="387" customFormat="false" ht="15" hidden="false" customHeight="true" outlineLevel="0" collapsed="false">
      <c r="A387" s="31"/>
      <c r="B387" s="30"/>
      <c r="C387" s="31"/>
      <c r="D387" s="31"/>
      <c r="E387" s="32"/>
      <c r="F387" s="32"/>
      <c r="G387" s="33"/>
      <c r="H387" s="31"/>
      <c r="I387" s="24" t="str">
        <f aca="false">IF(B387="","",YEAR(B387))</f>
        <v/>
      </c>
      <c r="J387" s="34" t="str">
        <f aca="false">IF(B387="","",IF(MONTH(B387)=1,"X",""))</f>
        <v/>
      </c>
      <c r="K387" s="34" t="str">
        <f aca="false">IF(B387="","",IF(MONTH(B387)=2,"X",""))</f>
        <v/>
      </c>
      <c r="L387" s="34" t="str">
        <f aca="false">IF(B387="","",IF(MONTH(B387)=3,"X",""))</f>
        <v/>
      </c>
      <c r="M387" s="34" t="str">
        <f aca="false">IF(B387="","",IF(MONTH(B387)=4,"X",""))</f>
        <v/>
      </c>
      <c r="N387" s="34" t="str">
        <f aca="false">IF(B387="","",IF(MONTH(B387)=5,"X",""))</f>
        <v/>
      </c>
      <c r="O387" s="34" t="str">
        <f aca="false">IF(B387="","",IF(MONTH(B387)=6,"X",""))</f>
        <v/>
      </c>
      <c r="P387" s="34" t="str">
        <f aca="false">IF(B387="","",IF(MONTH(B387)=7,"X",""))</f>
        <v/>
      </c>
      <c r="Q387" s="34" t="str">
        <f aca="false">IF(B387="","",IF(MONTH(B387)=8,"X",""))</f>
        <v/>
      </c>
      <c r="R387" s="34" t="str">
        <f aca="false">IF(B387="","",IF(MONTH(B387)=9,"X",""))</f>
        <v/>
      </c>
      <c r="S387" s="34" t="str">
        <f aca="false">IF(B387="","",IF(MONTH(B387)=10,"X",""))</f>
        <v/>
      </c>
      <c r="T387" s="34" t="str">
        <f aca="false">IF(B387="","",IF(MONTH(B387)=11,"X",""))</f>
        <v/>
      </c>
      <c r="U387" s="34" t="str">
        <f aca="false">IF(B387="","",IF(MONTH(B387)=12,"X",""))</f>
        <v/>
      </c>
      <c r="V387" s="24" t="str">
        <f aca="false">IF(E387="","",COUNTIF($E$5:$E$1000,E387))</f>
        <v/>
      </c>
      <c r="W387" s="35" t="str">
        <f aca="false">IF(E387="","",_xlfn.TEXTJOIN(" + ",TRUE(),IF(COUNTIFS($E$5:$E$1000,E387,$C$5:$C$1000,"Auditoría Interna")&gt;0,"Interna",""),IF(COUNTIFS($E$5:$E$1000,E387,$C$5:$C$1000,"Auditoría Externa")&gt;0,"Externa",""),IF(COUNTIFS($E$5:$E$1000,E387,$C$5:$C$1000,"SSF")&gt;0,"SSF",""),IF(COUNTIFS($E$5:$E$1000,E387,$C$5:$C$1000,"Comité de Supervisión")&gt;0,"Comité Sup.",""),IF(COUNTIFS($E$5:$E$1000,E387,$C$5:$C$1000,"Consejo de Administración")&gt;0,"Consejo",""),IF(COUNTIFS($E$5:$E$1000,E387,$C$5:$C$1000,"Otros")&gt;0,"Otros","")))</f>
        <v/>
      </c>
      <c r="X387" s="24" t="str">
        <f aca="false">IF(E387="","",COUNTIFS($E$5:$E$1000,E387,$AB$5:$AB$1000,AB387,$C$5:$C$1000,"&lt;&gt;"&amp;C387))</f>
        <v/>
      </c>
      <c r="Y387" s="33"/>
      <c r="Z387" s="31"/>
      <c r="AA387" s="33"/>
      <c r="AB387" s="37" t="str">
        <f aca="false">IF(B387="","",YEAR(B387)*100+MONTH(B387))</f>
        <v/>
      </c>
      <c r="AC387" s="37" t="str">
        <f aca="false">IF(AND(E387&lt;&gt;"",E387=Cruce!$C$5),COUNTIF($E$5:E387,E387),"")</f>
        <v/>
      </c>
      <c r="AD387" s="37" t="str">
        <f aca="false">IF(E387="","",C387&amp;"|"&amp;Y387&amp;"|"&amp;IF(B387="","s/f",TEXT(B387,"yyyymmdd")))</f>
        <v/>
      </c>
      <c r="AE387" s="37" t="n">
        <f aca="false">IF(E387="",0,IF(COUNTIFS($E$5:E387,E387,$AD$5:AD387,AD387)=1,1,0))</f>
        <v>0</v>
      </c>
    </row>
    <row r="388" customFormat="false" ht="15" hidden="false" customHeight="true" outlineLevel="0" collapsed="false">
      <c r="A388" s="31"/>
      <c r="B388" s="30"/>
      <c r="C388" s="31"/>
      <c r="D388" s="31"/>
      <c r="E388" s="32"/>
      <c r="F388" s="32"/>
      <c r="G388" s="33"/>
      <c r="H388" s="31"/>
      <c r="I388" s="24" t="str">
        <f aca="false">IF(B388="","",YEAR(B388))</f>
        <v/>
      </c>
      <c r="J388" s="34" t="str">
        <f aca="false">IF(B388="","",IF(MONTH(B388)=1,"X",""))</f>
        <v/>
      </c>
      <c r="K388" s="34" t="str">
        <f aca="false">IF(B388="","",IF(MONTH(B388)=2,"X",""))</f>
        <v/>
      </c>
      <c r="L388" s="34" t="str">
        <f aca="false">IF(B388="","",IF(MONTH(B388)=3,"X",""))</f>
        <v/>
      </c>
      <c r="M388" s="34" t="str">
        <f aca="false">IF(B388="","",IF(MONTH(B388)=4,"X",""))</f>
        <v/>
      </c>
      <c r="N388" s="34" t="str">
        <f aca="false">IF(B388="","",IF(MONTH(B388)=5,"X",""))</f>
        <v/>
      </c>
      <c r="O388" s="34" t="str">
        <f aca="false">IF(B388="","",IF(MONTH(B388)=6,"X",""))</f>
        <v/>
      </c>
      <c r="P388" s="34" t="str">
        <f aca="false">IF(B388="","",IF(MONTH(B388)=7,"X",""))</f>
        <v/>
      </c>
      <c r="Q388" s="34" t="str">
        <f aca="false">IF(B388="","",IF(MONTH(B388)=8,"X",""))</f>
        <v/>
      </c>
      <c r="R388" s="34" t="str">
        <f aca="false">IF(B388="","",IF(MONTH(B388)=9,"X",""))</f>
        <v/>
      </c>
      <c r="S388" s="34" t="str">
        <f aca="false">IF(B388="","",IF(MONTH(B388)=10,"X",""))</f>
        <v/>
      </c>
      <c r="T388" s="34" t="str">
        <f aca="false">IF(B388="","",IF(MONTH(B388)=11,"X",""))</f>
        <v/>
      </c>
      <c r="U388" s="34" t="str">
        <f aca="false">IF(B388="","",IF(MONTH(B388)=12,"X",""))</f>
        <v/>
      </c>
      <c r="V388" s="24" t="str">
        <f aca="false">IF(E388="","",COUNTIF($E$5:$E$1000,E388))</f>
        <v/>
      </c>
      <c r="W388" s="35" t="str">
        <f aca="false">IF(E388="","",_xlfn.TEXTJOIN(" + ",TRUE(),IF(COUNTIFS($E$5:$E$1000,E388,$C$5:$C$1000,"Auditoría Interna")&gt;0,"Interna",""),IF(COUNTIFS($E$5:$E$1000,E388,$C$5:$C$1000,"Auditoría Externa")&gt;0,"Externa",""),IF(COUNTIFS($E$5:$E$1000,E388,$C$5:$C$1000,"SSF")&gt;0,"SSF",""),IF(COUNTIFS($E$5:$E$1000,E388,$C$5:$C$1000,"Comité de Supervisión")&gt;0,"Comité Sup.",""),IF(COUNTIFS($E$5:$E$1000,E388,$C$5:$C$1000,"Consejo de Administración")&gt;0,"Consejo",""),IF(COUNTIFS($E$5:$E$1000,E388,$C$5:$C$1000,"Otros")&gt;0,"Otros","")))</f>
        <v/>
      </c>
      <c r="X388" s="24" t="str">
        <f aca="false">IF(E388="","",COUNTIFS($E$5:$E$1000,E388,$AB$5:$AB$1000,AB388,$C$5:$C$1000,"&lt;&gt;"&amp;C388))</f>
        <v/>
      </c>
      <c r="Y388" s="33"/>
      <c r="Z388" s="31"/>
      <c r="AA388" s="33"/>
      <c r="AB388" s="37" t="str">
        <f aca="false">IF(B388="","",YEAR(B388)*100+MONTH(B388))</f>
        <v/>
      </c>
      <c r="AC388" s="37" t="str">
        <f aca="false">IF(AND(E388&lt;&gt;"",E388=Cruce!$C$5),COUNTIF($E$5:E388,E388),"")</f>
        <v/>
      </c>
      <c r="AD388" s="37" t="str">
        <f aca="false">IF(E388="","",C388&amp;"|"&amp;Y388&amp;"|"&amp;IF(B388="","s/f",TEXT(B388,"yyyymmdd")))</f>
        <v/>
      </c>
      <c r="AE388" s="37" t="n">
        <f aca="false">IF(E388="",0,IF(COUNTIFS($E$5:E388,E388,$AD$5:AD388,AD388)=1,1,0))</f>
        <v>0</v>
      </c>
    </row>
    <row r="389" customFormat="false" ht="15" hidden="false" customHeight="true" outlineLevel="0" collapsed="false">
      <c r="A389" s="31"/>
      <c r="B389" s="30"/>
      <c r="C389" s="31"/>
      <c r="D389" s="31"/>
      <c r="E389" s="32"/>
      <c r="F389" s="32"/>
      <c r="G389" s="33"/>
      <c r="H389" s="31"/>
      <c r="I389" s="24" t="str">
        <f aca="false">IF(B389="","",YEAR(B389))</f>
        <v/>
      </c>
      <c r="J389" s="34" t="str">
        <f aca="false">IF(B389="","",IF(MONTH(B389)=1,"X",""))</f>
        <v/>
      </c>
      <c r="K389" s="34" t="str">
        <f aca="false">IF(B389="","",IF(MONTH(B389)=2,"X",""))</f>
        <v/>
      </c>
      <c r="L389" s="34" t="str">
        <f aca="false">IF(B389="","",IF(MONTH(B389)=3,"X",""))</f>
        <v/>
      </c>
      <c r="M389" s="34" t="str">
        <f aca="false">IF(B389="","",IF(MONTH(B389)=4,"X",""))</f>
        <v/>
      </c>
      <c r="N389" s="34" t="str">
        <f aca="false">IF(B389="","",IF(MONTH(B389)=5,"X",""))</f>
        <v/>
      </c>
      <c r="O389" s="34" t="str">
        <f aca="false">IF(B389="","",IF(MONTH(B389)=6,"X",""))</f>
        <v/>
      </c>
      <c r="P389" s="34" t="str">
        <f aca="false">IF(B389="","",IF(MONTH(B389)=7,"X",""))</f>
        <v/>
      </c>
      <c r="Q389" s="34" t="str">
        <f aca="false">IF(B389="","",IF(MONTH(B389)=8,"X",""))</f>
        <v/>
      </c>
      <c r="R389" s="34" t="str">
        <f aca="false">IF(B389="","",IF(MONTH(B389)=9,"X",""))</f>
        <v/>
      </c>
      <c r="S389" s="34" t="str">
        <f aca="false">IF(B389="","",IF(MONTH(B389)=10,"X",""))</f>
        <v/>
      </c>
      <c r="T389" s="34" t="str">
        <f aca="false">IF(B389="","",IF(MONTH(B389)=11,"X",""))</f>
        <v/>
      </c>
      <c r="U389" s="34" t="str">
        <f aca="false">IF(B389="","",IF(MONTH(B389)=12,"X",""))</f>
        <v/>
      </c>
      <c r="V389" s="24" t="str">
        <f aca="false">IF(E389="","",COUNTIF($E$5:$E$1000,E389))</f>
        <v/>
      </c>
      <c r="W389" s="35" t="str">
        <f aca="false">IF(E389="","",_xlfn.TEXTJOIN(" + ",TRUE(),IF(COUNTIFS($E$5:$E$1000,E389,$C$5:$C$1000,"Auditoría Interna")&gt;0,"Interna",""),IF(COUNTIFS($E$5:$E$1000,E389,$C$5:$C$1000,"Auditoría Externa")&gt;0,"Externa",""),IF(COUNTIFS($E$5:$E$1000,E389,$C$5:$C$1000,"SSF")&gt;0,"SSF",""),IF(COUNTIFS($E$5:$E$1000,E389,$C$5:$C$1000,"Comité de Supervisión")&gt;0,"Comité Sup.",""),IF(COUNTIFS($E$5:$E$1000,E389,$C$5:$C$1000,"Consejo de Administración")&gt;0,"Consejo",""),IF(COUNTIFS($E$5:$E$1000,E389,$C$5:$C$1000,"Otros")&gt;0,"Otros","")))</f>
        <v/>
      </c>
      <c r="X389" s="24" t="str">
        <f aca="false">IF(E389="","",COUNTIFS($E$5:$E$1000,E389,$AB$5:$AB$1000,AB389,$C$5:$C$1000,"&lt;&gt;"&amp;C389))</f>
        <v/>
      </c>
      <c r="Y389" s="33"/>
      <c r="Z389" s="31"/>
      <c r="AA389" s="33"/>
      <c r="AB389" s="37" t="str">
        <f aca="false">IF(B389="","",YEAR(B389)*100+MONTH(B389))</f>
        <v/>
      </c>
      <c r="AC389" s="37" t="str">
        <f aca="false">IF(AND(E389&lt;&gt;"",E389=Cruce!$C$5),COUNTIF($E$5:E389,E389),"")</f>
        <v/>
      </c>
      <c r="AD389" s="37" t="str">
        <f aca="false">IF(E389="","",C389&amp;"|"&amp;Y389&amp;"|"&amp;IF(B389="","s/f",TEXT(B389,"yyyymmdd")))</f>
        <v/>
      </c>
      <c r="AE389" s="37" t="n">
        <f aca="false">IF(E389="",0,IF(COUNTIFS($E$5:E389,E389,$AD$5:AD389,AD389)=1,1,0))</f>
        <v>0</v>
      </c>
    </row>
    <row r="390" customFormat="false" ht="15" hidden="false" customHeight="true" outlineLevel="0" collapsed="false">
      <c r="A390" s="31"/>
      <c r="B390" s="30"/>
      <c r="C390" s="31"/>
      <c r="D390" s="31"/>
      <c r="E390" s="32"/>
      <c r="F390" s="32"/>
      <c r="G390" s="33"/>
      <c r="H390" s="31"/>
      <c r="I390" s="24" t="str">
        <f aca="false">IF(B390="","",YEAR(B390))</f>
        <v/>
      </c>
      <c r="J390" s="34" t="str">
        <f aca="false">IF(B390="","",IF(MONTH(B390)=1,"X",""))</f>
        <v/>
      </c>
      <c r="K390" s="34" t="str">
        <f aca="false">IF(B390="","",IF(MONTH(B390)=2,"X",""))</f>
        <v/>
      </c>
      <c r="L390" s="34" t="str">
        <f aca="false">IF(B390="","",IF(MONTH(B390)=3,"X",""))</f>
        <v/>
      </c>
      <c r="M390" s="34" t="str">
        <f aca="false">IF(B390="","",IF(MONTH(B390)=4,"X",""))</f>
        <v/>
      </c>
      <c r="N390" s="34" t="str">
        <f aca="false">IF(B390="","",IF(MONTH(B390)=5,"X",""))</f>
        <v/>
      </c>
      <c r="O390" s="34" t="str">
        <f aca="false">IF(B390="","",IF(MONTH(B390)=6,"X",""))</f>
        <v/>
      </c>
      <c r="P390" s="34" t="str">
        <f aca="false">IF(B390="","",IF(MONTH(B390)=7,"X",""))</f>
        <v/>
      </c>
      <c r="Q390" s="34" t="str">
        <f aca="false">IF(B390="","",IF(MONTH(B390)=8,"X",""))</f>
        <v/>
      </c>
      <c r="R390" s="34" t="str">
        <f aca="false">IF(B390="","",IF(MONTH(B390)=9,"X",""))</f>
        <v/>
      </c>
      <c r="S390" s="34" t="str">
        <f aca="false">IF(B390="","",IF(MONTH(B390)=10,"X",""))</f>
        <v/>
      </c>
      <c r="T390" s="34" t="str">
        <f aca="false">IF(B390="","",IF(MONTH(B390)=11,"X",""))</f>
        <v/>
      </c>
      <c r="U390" s="34" t="str">
        <f aca="false">IF(B390="","",IF(MONTH(B390)=12,"X",""))</f>
        <v/>
      </c>
      <c r="V390" s="24" t="str">
        <f aca="false">IF(E390="","",COUNTIF($E$5:$E$1000,E390))</f>
        <v/>
      </c>
      <c r="W390" s="35" t="str">
        <f aca="false">IF(E390="","",_xlfn.TEXTJOIN(" + ",TRUE(),IF(COUNTIFS($E$5:$E$1000,E390,$C$5:$C$1000,"Auditoría Interna")&gt;0,"Interna",""),IF(COUNTIFS($E$5:$E$1000,E390,$C$5:$C$1000,"Auditoría Externa")&gt;0,"Externa",""),IF(COUNTIFS($E$5:$E$1000,E390,$C$5:$C$1000,"SSF")&gt;0,"SSF",""),IF(COUNTIFS($E$5:$E$1000,E390,$C$5:$C$1000,"Comité de Supervisión")&gt;0,"Comité Sup.",""),IF(COUNTIFS($E$5:$E$1000,E390,$C$5:$C$1000,"Consejo de Administración")&gt;0,"Consejo",""),IF(COUNTIFS($E$5:$E$1000,E390,$C$5:$C$1000,"Otros")&gt;0,"Otros","")))</f>
        <v/>
      </c>
      <c r="X390" s="24" t="str">
        <f aca="false">IF(E390="","",COUNTIFS($E$5:$E$1000,E390,$AB$5:$AB$1000,AB390,$C$5:$C$1000,"&lt;&gt;"&amp;C390))</f>
        <v/>
      </c>
      <c r="Y390" s="33"/>
      <c r="Z390" s="31"/>
      <c r="AA390" s="33"/>
      <c r="AB390" s="37" t="str">
        <f aca="false">IF(B390="","",YEAR(B390)*100+MONTH(B390))</f>
        <v/>
      </c>
      <c r="AC390" s="37" t="str">
        <f aca="false">IF(AND(E390&lt;&gt;"",E390=Cruce!$C$5),COUNTIF($E$5:E390,E390),"")</f>
        <v/>
      </c>
      <c r="AD390" s="37" t="str">
        <f aca="false">IF(E390="","",C390&amp;"|"&amp;Y390&amp;"|"&amp;IF(B390="","s/f",TEXT(B390,"yyyymmdd")))</f>
        <v/>
      </c>
      <c r="AE390" s="37" t="n">
        <f aca="false">IF(E390="",0,IF(COUNTIFS($E$5:E390,E390,$AD$5:AD390,AD390)=1,1,0))</f>
        <v>0</v>
      </c>
    </row>
    <row r="391" customFormat="false" ht="15" hidden="false" customHeight="true" outlineLevel="0" collapsed="false">
      <c r="A391" s="31"/>
      <c r="B391" s="30"/>
      <c r="C391" s="31"/>
      <c r="D391" s="31"/>
      <c r="E391" s="32"/>
      <c r="F391" s="32"/>
      <c r="G391" s="33"/>
      <c r="H391" s="31"/>
      <c r="I391" s="24" t="str">
        <f aca="false">IF(B391="","",YEAR(B391))</f>
        <v/>
      </c>
      <c r="J391" s="34" t="str">
        <f aca="false">IF(B391="","",IF(MONTH(B391)=1,"X",""))</f>
        <v/>
      </c>
      <c r="K391" s="34" t="str">
        <f aca="false">IF(B391="","",IF(MONTH(B391)=2,"X",""))</f>
        <v/>
      </c>
      <c r="L391" s="34" t="str">
        <f aca="false">IF(B391="","",IF(MONTH(B391)=3,"X",""))</f>
        <v/>
      </c>
      <c r="M391" s="34" t="str">
        <f aca="false">IF(B391="","",IF(MONTH(B391)=4,"X",""))</f>
        <v/>
      </c>
      <c r="N391" s="34" t="str">
        <f aca="false">IF(B391="","",IF(MONTH(B391)=5,"X",""))</f>
        <v/>
      </c>
      <c r="O391" s="34" t="str">
        <f aca="false">IF(B391="","",IF(MONTH(B391)=6,"X",""))</f>
        <v/>
      </c>
      <c r="P391" s="34" t="str">
        <f aca="false">IF(B391="","",IF(MONTH(B391)=7,"X",""))</f>
        <v/>
      </c>
      <c r="Q391" s="34" t="str">
        <f aca="false">IF(B391="","",IF(MONTH(B391)=8,"X",""))</f>
        <v/>
      </c>
      <c r="R391" s="34" t="str">
        <f aca="false">IF(B391="","",IF(MONTH(B391)=9,"X",""))</f>
        <v/>
      </c>
      <c r="S391" s="34" t="str">
        <f aca="false">IF(B391="","",IF(MONTH(B391)=10,"X",""))</f>
        <v/>
      </c>
      <c r="T391" s="34" t="str">
        <f aca="false">IF(B391="","",IF(MONTH(B391)=11,"X",""))</f>
        <v/>
      </c>
      <c r="U391" s="34" t="str">
        <f aca="false">IF(B391="","",IF(MONTH(B391)=12,"X",""))</f>
        <v/>
      </c>
      <c r="V391" s="24" t="str">
        <f aca="false">IF(E391="","",COUNTIF($E$5:$E$1000,E391))</f>
        <v/>
      </c>
      <c r="W391" s="35" t="str">
        <f aca="false">IF(E391="","",_xlfn.TEXTJOIN(" + ",TRUE(),IF(COUNTIFS($E$5:$E$1000,E391,$C$5:$C$1000,"Auditoría Interna")&gt;0,"Interna",""),IF(COUNTIFS($E$5:$E$1000,E391,$C$5:$C$1000,"Auditoría Externa")&gt;0,"Externa",""),IF(COUNTIFS($E$5:$E$1000,E391,$C$5:$C$1000,"SSF")&gt;0,"SSF",""),IF(COUNTIFS($E$5:$E$1000,E391,$C$5:$C$1000,"Comité de Supervisión")&gt;0,"Comité Sup.",""),IF(COUNTIFS($E$5:$E$1000,E391,$C$5:$C$1000,"Consejo de Administración")&gt;0,"Consejo",""),IF(COUNTIFS($E$5:$E$1000,E391,$C$5:$C$1000,"Otros")&gt;0,"Otros","")))</f>
        <v/>
      </c>
      <c r="X391" s="24" t="str">
        <f aca="false">IF(E391="","",COUNTIFS($E$5:$E$1000,E391,$AB$5:$AB$1000,AB391,$C$5:$C$1000,"&lt;&gt;"&amp;C391))</f>
        <v/>
      </c>
      <c r="Y391" s="33"/>
      <c r="Z391" s="31"/>
      <c r="AA391" s="33"/>
      <c r="AB391" s="37" t="str">
        <f aca="false">IF(B391="","",YEAR(B391)*100+MONTH(B391))</f>
        <v/>
      </c>
      <c r="AC391" s="37" t="str">
        <f aca="false">IF(AND(E391&lt;&gt;"",E391=Cruce!$C$5),COUNTIF($E$5:E391,E391),"")</f>
        <v/>
      </c>
      <c r="AD391" s="37" t="str">
        <f aca="false">IF(E391="","",C391&amp;"|"&amp;Y391&amp;"|"&amp;IF(B391="","s/f",TEXT(B391,"yyyymmdd")))</f>
        <v/>
      </c>
      <c r="AE391" s="37" t="n">
        <f aca="false">IF(E391="",0,IF(COUNTIFS($E$5:E391,E391,$AD$5:AD391,AD391)=1,1,0))</f>
        <v>0</v>
      </c>
    </row>
    <row r="392" customFormat="false" ht="15" hidden="false" customHeight="true" outlineLevel="0" collapsed="false">
      <c r="A392" s="31"/>
      <c r="B392" s="30"/>
      <c r="C392" s="31"/>
      <c r="D392" s="31"/>
      <c r="E392" s="32"/>
      <c r="F392" s="32"/>
      <c r="G392" s="33"/>
      <c r="H392" s="31"/>
      <c r="I392" s="24" t="str">
        <f aca="false">IF(B392="","",YEAR(B392))</f>
        <v/>
      </c>
      <c r="J392" s="34" t="str">
        <f aca="false">IF(B392="","",IF(MONTH(B392)=1,"X",""))</f>
        <v/>
      </c>
      <c r="K392" s="34" t="str">
        <f aca="false">IF(B392="","",IF(MONTH(B392)=2,"X",""))</f>
        <v/>
      </c>
      <c r="L392" s="34" t="str">
        <f aca="false">IF(B392="","",IF(MONTH(B392)=3,"X",""))</f>
        <v/>
      </c>
      <c r="M392" s="34" t="str">
        <f aca="false">IF(B392="","",IF(MONTH(B392)=4,"X",""))</f>
        <v/>
      </c>
      <c r="N392" s="34" t="str">
        <f aca="false">IF(B392="","",IF(MONTH(B392)=5,"X",""))</f>
        <v/>
      </c>
      <c r="O392" s="34" t="str">
        <f aca="false">IF(B392="","",IF(MONTH(B392)=6,"X",""))</f>
        <v/>
      </c>
      <c r="P392" s="34" t="str">
        <f aca="false">IF(B392="","",IF(MONTH(B392)=7,"X",""))</f>
        <v/>
      </c>
      <c r="Q392" s="34" t="str">
        <f aca="false">IF(B392="","",IF(MONTH(B392)=8,"X",""))</f>
        <v/>
      </c>
      <c r="R392" s="34" t="str">
        <f aca="false">IF(B392="","",IF(MONTH(B392)=9,"X",""))</f>
        <v/>
      </c>
      <c r="S392" s="34" t="str">
        <f aca="false">IF(B392="","",IF(MONTH(B392)=10,"X",""))</f>
        <v/>
      </c>
      <c r="T392" s="34" t="str">
        <f aca="false">IF(B392="","",IF(MONTH(B392)=11,"X",""))</f>
        <v/>
      </c>
      <c r="U392" s="34" t="str">
        <f aca="false">IF(B392="","",IF(MONTH(B392)=12,"X",""))</f>
        <v/>
      </c>
      <c r="V392" s="24" t="str">
        <f aca="false">IF(E392="","",COUNTIF($E$5:$E$1000,E392))</f>
        <v/>
      </c>
      <c r="W392" s="35" t="str">
        <f aca="false">IF(E392="","",_xlfn.TEXTJOIN(" + ",TRUE(),IF(COUNTIFS($E$5:$E$1000,E392,$C$5:$C$1000,"Auditoría Interna")&gt;0,"Interna",""),IF(COUNTIFS($E$5:$E$1000,E392,$C$5:$C$1000,"Auditoría Externa")&gt;0,"Externa",""),IF(COUNTIFS($E$5:$E$1000,E392,$C$5:$C$1000,"SSF")&gt;0,"SSF",""),IF(COUNTIFS($E$5:$E$1000,E392,$C$5:$C$1000,"Comité de Supervisión")&gt;0,"Comité Sup.",""),IF(COUNTIFS($E$5:$E$1000,E392,$C$5:$C$1000,"Consejo de Administración")&gt;0,"Consejo",""),IF(COUNTIFS($E$5:$E$1000,E392,$C$5:$C$1000,"Otros")&gt;0,"Otros","")))</f>
        <v/>
      </c>
      <c r="X392" s="24" t="str">
        <f aca="false">IF(E392="","",COUNTIFS($E$5:$E$1000,E392,$AB$5:$AB$1000,AB392,$C$5:$C$1000,"&lt;&gt;"&amp;C392))</f>
        <v/>
      </c>
      <c r="Y392" s="33"/>
      <c r="Z392" s="31"/>
      <c r="AA392" s="33"/>
      <c r="AB392" s="37" t="str">
        <f aca="false">IF(B392="","",YEAR(B392)*100+MONTH(B392))</f>
        <v/>
      </c>
      <c r="AC392" s="37" t="str">
        <f aca="false">IF(AND(E392&lt;&gt;"",E392=Cruce!$C$5),COUNTIF($E$5:E392,E392),"")</f>
        <v/>
      </c>
      <c r="AD392" s="37" t="str">
        <f aca="false">IF(E392="","",C392&amp;"|"&amp;Y392&amp;"|"&amp;IF(B392="","s/f",TEXT(B392,"yyyymmdd")))</f>
        <v/>
      </c>
      <c r="AE392" s="37" t="n">
        <f aca="false">IF(E392="",0,IF(COUNTIFS($E$5:E392,E392,$AD$5:AD392,AD392)=1,1,0))</f>
        <v>0</v>
      </c>
    </row>
    <row r="393" customFormat="false" ht="15" hidden="false" customHeight="true" outlineLevel="0" collapsed="false">
      <c r="A393" s="31"/>
      <c r="B393" s="30"/>
      <c r="C393" s="31"/>
      <c r="D393" s="31"/>
      <c r="E393" s="32"/>
      <c r="F393" s="32"/>
      <c r="G393" s="33"/>
      <c r="H393" s="31"/>
      <c r="I393" s="24" t="str">
        <f aca="false">IF(B393="","",YEAR(B393))</f>
        <v/>
      </c>
      <c r="J393" s="34" t="str">
        <f aca="false">IF(B393="","",IF(MONTH(B393)=1,"X",""))</f>
        <v/>
      </c>
      <c r="K393" s="34" t="str">
        <f aca="false">IF(B393="","",IF(MONTH(B393)=2,"X",""))</f>
        <v/>
      </c>
      <c r="L393" s="34" t="str">
        <f aca="false">IF(B393="","",IF(MONTH(B393)=3,"X",""))</f>
        <v/>
      </c>
      <c r="M393" s="34" t="str">
        <f aca="false">IF(B393="","",IF(MONTH(B393)=4,"X",""))</f>
        <v/>
      </c>
      <c r="N393" s="34" t="str">
        <f aca="false">IF(B393="","",IF(MONTH(B393)=5,"X",""))</f>
        <v/>
      </c>
      <c r="O393" s="34" t="str">
        <f aca="false">IF(B393="","",IF(MONTH(B393)=6,"X",""))</f>
        <v/>
      </c>
      <c r="P393" s="34" t="str">
        <f aca="false">IF(B393="","",IF(MONTH(B393)=7,"X",""))</f>
        <v/>
      </c>
      <c r="Q393" s="34" t="str">
        <f aca="false">IF(B393="","",IF(MONTH(B393)=8,"X",""))</f>
        <v/>
      </c>
      <c r="R393" s="34" t="str">
        <f aca="false">IF(B393="","",IF(MONTH(B393)=9,"X",""))</f>
        <v/>
      </c>
      <c r="S393" s="34" t="str">
        <f aca="false">IF(B393="","",IF(MONTH(B393)=10,"X",""))</f>
        <v/>
      </c>
      <c r="T393" s="34" t="str">
        <f aca="false">IF(B393="","",IF(MONTH(B393)=11,"X",""))</f>
        <v/>
      </c>
      <c r="U393" s="34" t="str">
        <f aca="false">IF(B393="","",IF(MONTH(B393)=12,"X",""))</f>
        <v/>
      </c>
      <c r="V393" s="24" t="str">
        <f aca="false">IF(E393="","",COUNTIF($E$5:$E$1000,E393))</f>
        <v/>
      </c>
      <c r="W393" s="35" t="str">
        <f aca="false">IF(E393="","",_xlfn.TEXTJOIN(" + ",TRUE(),IF(COUNTIFS($E$5:$E$1000,E393,$C$5:$C$1000,"Auditoría Interna")&gt;0,"Interna",""),IF(COUNTIFS($E$5:$E$1000,E393,$C$5:$C$1000,"Auditoría Externa")&gt;0,"Externa",""),IF(COUNTIFS($E$5:$E$1000,E393,$C$5:$C$1000,"SSF")&gt;0,"SSF",""),IF(COUNTIFS($E$5:$E$1000,E393,$C$5:$C$1000,"Comité de Supervisión")&gt;0,"Comité Sup.",""),IF(COUNTIFS($E$5:$E$1000,E393,$C$5:$C$1000,"Consejo de Administración")&gt;0,"Consejo",""),IF(COUNTIFS($E$5:$E$1000,E393,$C$5:$C$1000,"Otros")&gt;0,"Otros","")))</f>
        <v/>
      </c>
      <c r="X393" s="24" t="str">
        <f aca="false">IF(E393="","",COUNTIFS($E$5:$E$1000,E393,$AB$5:$AB$1000,AB393,$C$5:$C$1000,"&lt;&gt;"&amp;C393))</f>
        <v/>
      </c>
      <c r="Y393" s="33"/>
      <c r="Z393" s="31"/>
      <c r="AA393" s="33"/>
      <c r="AB393" s="37" t="str">
        <f aca="false">IF(B393="","",YEAR(B393)*100+MONTH(B393))</f>
        <v/>
      </c>
      <c r="AC393" s="37" t="str">
        <f aca="false">IF(AND(E393&lt;&gt;"",E393=Cruce!$C$5),COUNTIF($E$5:E393,E393),"")</f>
        <v/>
      </c>
      <c r="AD393" s="37" t="str">
        <f aca="false">IF(E393="","",C393&amp;"|"&amp;Y393&amp;"|"&amp;IF(B393="","s/f",TEXT(B393,"yyyymmdd")))</f>
        <v/>
      </c>
      <c r="AE393" s="37" t="n">
        <f aca="false">IF(E393="",0,IF(COUNTIFS($E$5:E393,E393,$AD$5:AD393,AD393)=1,1,0))</f>
        <v>0</v>
      </c>
    </row>
    <row r="394" customFormat="false" ht="15" hidden="false" customHeight="true" outlineLevel="0" collapsed="false">
      <c r="A394" s="31"/>
      <c r="B394" s="30"/>
      <c r="C394" s="31"/>
      <c r="D394" s="31"/>
      <c r="E394" s="32"/>
      <c r="F394" s="32"/>
      <c r="G394" s="33"/>
      <c r="H394" s="31"/>
      <c r="I394" s="24" t="str">
        <f aca="false">IF(B394="","",YEAR(B394))</f>
        <v/>
      </c>
      <c r="J394" s="34" t="str">
        <f aca="false">IF(B394="","",IF(MONTH(B394)=1,"X",""))</f>
        <v/>
      </c>
      <c r="K394" s="34" t="str">
        <f aca="false">IF(B394="","",IF(MONTH(B394)=2,"X",""))</f>
        <v/>
      </c>
      <c r="L394" s="34" t="str">
        <f aca="false">IF(B394="","",IF(MONTH(B394)=3,"X",""))</f>
        <v/>
      </c>
      <c r="M394" s="34" t="str">
        <f aca="false">IF(B394="","",IF(MONTH(B394)=4,"X",""))</f>
        <v/>
      </c>
      <c r="N394" s="34" t="str">
        <f aca="false">IF(B394="","",IF(MONTH(B394)=5,"X",""))</f>
        <v/>
      </c>
      <c r="O394" s="34" t="str">
        <f aca="false">IF(B394="","",IF(MONTH(B394)=6,"X",""))</f>
        <v/>
      </c>
      <c r="P394" s="34" t="str">
        <f aca="false">IF(B394="","",IF(MONTH(B394)=7,"X",""))</f>
        <v/>
      </c>
      <c r="Q394" s="34" t="str">
        <f aca="false">IF(B394="","",IF(MONTH(B394)=8,"X",""))</f>
        <v/>
      </c>
      <c r="R394" s="34" t="str">
        <f aca="false">IF(B394="","",IF(MONTH(B394)=9,"X",""))</f>
        <v/>
      </c>
      <c r="S394" s="34" t="str">
        <f aca="false">IF(B394="","",IF(MONTH(B394)=10,"X",""))</f>
        <v/>
      </c>
      <c r="T394" s="34" t="str">
        <f aca="false">IF(B394="","",IF(MONTH(B394)=11,"X",""))</f>
        <v/>
      </c>
      <c r="U394" s="34" t="str">
        <f aca="false">IF(B394="","",IF(MONTH(B394)=12,"X",""))</f>
        <v/>
      </c>
      <c r="V394" s="24" t="str">
        <f aca="false">IF(E394="","",COUNTIF($E$5:$E$1000,E394))</f>
        <v/>
      </c>
      <c r="W394" s="35" t="str">
        <f aca="false">IF(E394="","",_xlfn.TEXTJOIN(" + ",TRUE(),IF(COUNTIFS($E$5:$E$1000,E394,$C$5:$C$1000,"Auditoría Interna")&gt;0,"Interna",""),IF(COUNTIFS($E$5:$E$1000,E394,$C$5:$C$1000,"Auditoría Externa")&gt;0,"Externa",""),IF(COUNTIFS($E$5:$E$1000,E394,$C$5:$C$1000,"SSF")&gt;0,"SSF",""),IF(COUNTIFS($E$5:$E$1000,E394,$C$5:$C$1000,"Comité de Supervisión")&gt;0,"Comité Sup.",""),IF(COUNTIFS($E$5:$E$1000,E394,$C$5:$C$1000,"Consejo de Administración")&gt;0,"Consejo",""),IF(COUNTIFS($E$5:$E$1000,E394,$C$5:$C$1000,"Otros")&gt;0,"Otros","")))</f>
        <v/>
      </c>
      <c r="X394" s="24" t="str">
        <f aca="false">IF(E394="","",COUNTIFS($E$5:$E$1000,E394,$AB$5:$AB$1000,AB394,$C$5:$C$1000,"&lt;&gt;"&amp;C394))</f>
        <v/>
      </c>
      <c r="Y394" s="33"/>
      <c r="Z394" s="31"/>
      <c r="AA394" s="33"/>
      <c r="AB394" s="37" t="str">
        <f aca="false">IF(B394="","",YEAR(B394)*100+MONTH(B394))</f>
        <v/>
      </c>
      <c r="AC394" s="37" t="str">
        <f aca="false">IF(AND(E394&lt;&gt;"",E394=Cruce!$C$5),COUNTIF($E$5:E394,E394),"")</f>
        <v/>
      </c>
      <c r="AD394" s="37" t="str">
        <f aca="false">IF(E394="","",C394&amp;"|"&amp;Y394&amp;"|"&amp;IF(B394="","s/f",TEXT(B394,"yyyymmdd")))</f>
        <v/>
      </c>
      <c r="AE394" s="37" t="n">
        <f aca="false">IF(E394="",0,IF(COUNTIFS($E$5:E394,E394,$AD$5:AD394,AD394)=1,1,0))</f>
        <v>0</v>
      </c>
    </row>
    <row r="395" customFormat="false" ht="15" hidden="false" customHeight="true" outlineLevel="0" collapsed="false">
      <c r="A395" s="31"/>
      <c r="B395" s="30"/>
      <c r="C395" s="31"/>
      <c r="D395" s="31"/>
      <c r="E395" s="32"/>
      <c r="F395" s="32"/>
      <c r="G395" s="33"/>
      <c r="H395" s="31"/>
      <c r="I395" s="24" t="str">
        <f aca="false">IF(B395="","",YEAR(B395))</f>
        <v/>
      </c>
      <c r="J395" s="34" t="str">
        <f aca="false">IF(B395="","",IF(MONTH(B395)=1,"X",""))</f>
        <v/>
      </c>
      <c r="K395" s="34" t="str">
        <f aca="false">IF(B395="","",IF(MONTH(B395)=2,"X",""))</f>
        <v/>
      </c>
      <c r="L395" s="34" t="str">
        <f aca="false">IF(B395="","",IF(MONTH(B395)=3,"X",""))</f>
        <v/>
      </c>
      <c r="M395" s="34" t="str">
        <f aca="false">IF(B395="","",IF(MONTH(B395)=4,"X",""))</f>
        <v/>
      </c>
      <c r="N395" s="34" t="str">
        <f aca="false">IF(B395="","",IF(MONTH(B395)=5,"X",""))</f>
        <v/>
      </c>
      <c r="O395" s="34" t="str">
        <f aca="false">IF(B395="","",IF(MONTH(B395)=6,"X",""))</f>
        <v/>
      </c>
      <c r="P395" s="34" t="str">
        <f aca="false">IF(B395="","",IF(MONTH(B395)=7,"X",""))</f>
        <v/>
      </c>
      <c r="Q395" s="34" t="str">
        <f aca="false">IF(B395="","",IF(MONTH(B395)=8,"X",""))</f>
        <v/>
      </c>
      <c r="R395" s="34" t="str">
        <f aca="false">IF(B395="","",IF(MONTH(B395)=9,"X",""))</f>
        <v/>
      </c>
      <c r="S395" s="34" t="str">
        <f aca="false">IF(B395="","",IF(MONTH(B395)=10,"X",""))</f>
        <v/>
      </c>
      <c r="T395" s="34" t="str">
        <f aca="false">IF(B395="","",IF(MONTH(B395)=11,"X",""))</f>
        <v/>
      </c>
      <c r="U395" s="34" t="str">
        <f aca="false">IF(B395="","",IF(MONTH(B395)=12,"X",""))</f>
        <v/>
      </c>
      <c r="V395" s="24" t="str">
        <f aca="false">IF(E395="","",COUNTIF($E$5:$E$1000,E395))</f>
        <v/>
      </c>
      <c r="W395" s="35" t="str">
        <f aca="false">IF(E395="","",_xlfn.TEXTJOIN(" + ",TRUE(),IF(COUNTIFS($E$5:$E$1000,E395,$C$5:$C$1000,"Auditoría Interna")&gt;0,"Interna",""),IF(COUNTIFS($E$5:$E$1000,E395,$C$5:$C$1000,"Auditoría Externa")&gt;0,"Externa",""),IF(COUNTIFS($E$5:$E$1000,E395,$C$5:$C$1000,"SSF")&gt;0,"SSF",""),IF(COUNTIFS($E$5:$E$1000,E395,$C$5:$C$1000,"Comité de Supervisión")&gt;0,"Comité Sup.",""),IF(COUNTIFS($E$5:$E$1000,E395,$C$5:$C$1000,"Consejo de Administración")&gt;0,"Consejo",""),IF(COUNTIFS($E$5:$E$1000,E395,$C$5:$C$1000,"Otros")&gt;0,"Otros","")))</f>
        <v/>
      </c>
      <c r="X395" s="24" t="str">
        <f aca="false">IF(E395="","",COUNTIFS($E$5:$E$1000,E395,$AB$5:$AB$1000,AB395,$C$5:$C$1000,"&lt;&gt;"&amp;C395))</f>
        <v/>
      </c>
      <c r="Y395" s="33"/>
      <c r="Z395" s="31"/>
      <c r="AA395" s="33"/>
      <c r="AB395" s="37" t="str">
        <f aca="false">IF(B395="","",YEAR(B395)*100+MONTH(B395))</f>
        <v/>
      </c>
      <c r="AC395" s="37" t="str">
        <f aca="false">IF(AND(E395&lt;&gt;"",E395=Cruce!$C$5),COUNTIF($E$5:E395,E395),"")</f>
        <v/>
      </c>
      <c r="AD395" s="37" t="str">
        <f aca="false">IF(E395="","",C395&amp;"|"&amp;Y395&amp;"|"&amp;IF(B395="","s/f",TEXT(B395,"yyyymmdd")))</f>
        <v/>
      </c>
      <c r="AE395" s="37" t="n">
        <f aca="false">IF(E395="",0,IF(COUNTIFS($E$5:E395,E395,$AD$5:AD395,AD395)=1,1,0))</f>
        <v>0</v>
      </c>
    </row>
    <row r="396" customFormat="false" ht="15" hidden="false" customHeight="true" outlineLevel="0" collapsed="false">
      <c r="A396" s="31"/>
      <c r="B396" s="30"/>
      <c r="C396" s="31"/>
      <c r="D396" s="31"/>
      <c r="E396" s="32"/>
      <c r="F396" s="32"/>
      <c r="G396" s="33"/>
      <c r="H396" s="31"/>
      <c r="I396" s="24" t="str">
        <f aca="false">IF(B396="","",YEAR(B396))</f>
        <v/>
      </c>
      <c r="J396" s="34" t="str">
        <f aca="false">IF(B396="","",IF(MONTH(B396)=1,"X",""))</f>
        <v/>
      </c>
      <c r="K396" s="34" t="str">
        <f aca="false">IF(B396="","",IF(MONTH(B396)=2,"X",""))</f>
        <v/>
      </c>
      <c r="L396" s="34" t="str">
        <f aca="false">IF(B396="","",IF(MONTH(B396)=3,"X",""))</f>
        <v/>
      </c>
      <c r="M396" s="34" t="str">
        <f aca="false">IF(B396="","",IF(MONTH(B396)=4,"X",""))</f>
        <v/>
      </c>
      <c r="N396" s="34" t="str">
        <f aca="false">IF(B396="","",IF(MONTH(B396)=5,"X",""))</f>
        <v/>
      </c>
      <c r="O396" s="34" t="str">
        <f aca="false">IF(B396="","",IF(MONTH(B396)=6,"X",""))</f>
        <v/>
      </c>
      <c r="P396" s="34" t="str">
        <f aca="false">IF(B396="","",IF(MONTH(B396)=7,"X",""))</f>
        <v/>
      </c>
      <c r="Q396" s="34" t="str">
        <f aca="false">IF(B396="","",IF(MONTH(B396)=8,"X",""))</f>
        <v/>
      </c>
      <c r="R396" s="34" t="str">
        <f aca="false">IF(B396="","",IF(MONTH(B396)=9,"X",""))</f>
        <v/>
      </c>
      <c r="S396" s="34" t="str">
        <f aca="false">IF(B396="","",IF(MONTH(B396)=10,"X",""))</f>
        <v/>
      </c>
      <c r="T396" s="34" t="str">
        <f aca="false">IF(B396="","",IF(MONTH(B396)=11,"X",""))</f>
        <v/>
      </c>
      <c r="U396" s="34" t="str">
        <f aca="false">IF(B396="","",IF(MONTH(B396)=12,"X",""))</f>
        <v/>
      </c>
      <c r="V396" s="24" t="str">
        <f aca="false">IF(E396="","",COUNTIF($E$5:$E$1000,E396))</f>
        <v/>
      </c>
      <c r="W396" s="35" t="str">
        <f aca="false">IF(E396="","",_xlfn.TEXTJOIN(" + ",TRUE(),IF(COUNTIFS($E$5:$E$1000,E396,$C$5:$C$1000,"Auditoría Interna")&gt;0,"Interna",""),IF(COUNTIFS($E$5:$E$1000,E396,$C$5:$C$1000,"Auditoría Externa")&gt;0,"Externa",""),IF(COUNTIFS($E$5:$E$1000,E396,$C$5:$C$1000,"SSF")&gt;0,"SSF",""),IF(COUNTIFS($E$5:$E$1000,E396,$C$5:$C$1000,"Comité de Supervisión")&gt;0,"Comité Sup.",""),IF(COUNTIFS($E$5:$E$1000,E396,$C$5:$C$1000,"Consejo de Administración")&gt;0,"Consejo",""),IF(COUNTIFS($E$5:$E$1000,E396,$C$5:$C$1000,"Otros")&gt;0,"Otros","")))</f>
        <v/>
      </c>
      <c r="X396" s="24" t="str">
        <f aca="false">IF(E396="","",COUNTIFS($E$5:$E$1000,E396,$AB$5:$AB$1000,AB396,$C$5:$C$1000,"&lt;&gt;"&amp;C396))</f>
        <v/>
      </c>
      <c r="Y396" s="33"/>
      <c r="Z396" s="31"/>
      <c r="AA396" s="33"/>
      <c r="AB396" s="37" t="str">
        <f aca="false">IF(B396="","",YEAR(B396)*100+MONTH(B396))</f>
        <v/>
      </c>
      <c r="AC396" s="37" t="str">
        <f aca="false">IF(AND(E396&lt;&gt;"",E396=Cruce!$C$5),COUNTIF($E$5:E396,E396),"")</f>
        <v/>
      </c>
      <c r="AD396" s="37" t="str">
        <f aca="false">IF(E396="","",C396&amp;"|"&amp;Y396&amp;"|"&amp;IF(B396="","s/f",TEXT(B396,"yyyymmdd")))</f>
        <v/>
      </c>
      <c r="AE396" s="37" t="n">
        <f aca="false">IF(E396="",0,IF(COUNTIFS($E$5:E396,E396,$AD$5:AD396,AD396)=1,1,0))</f>
        <v>0</v>
      </c>
    </row>
    <row r="397" customFormat="false" ht="15" hidden="false" customHeight="true" outlineLevel="0" collapsed="false">
      <c r="A397" s="31"/>
      <c r="B397" s="30"/>
      <c r="C397" s="31"/>
      <c r="D397" s="31"/>
      <c r="E397" s="32"/>
      <c r="F397" s="32"/>
      <c r="G397" s="33"/>
      <c r="H397" s="31"/>
      <c r="I397" s="24" t="str">
        <f aca="false">IF(B397="","",YEAR(B397))</f>
        <v/>
      </c>
      <c r="J397" s="34" t="str">
        <f aca="false">IF(B397="","",IF(MONTH(B397)=1,"X",""))</f>
        <v/>
      </c>
      <c r="K397" s="34" t="str">
        <f aca="false">IF(B397="","",IF(MONTH(B397)=2,"X",""))</f>
        <v/>
      </c>
      <c r="L397" s="34" t="str">
        <f aca="false">IF(B397="","",IF(MONTH(B397)=3,"X",""))</f>
        <v/>
      </c>
      <c r="M397" s="34" t="str">
        <f aca="false">IF(B397="","",IF(MONTH(B397)=4,"X",""))</f>
        <v/>
      </c>
      <c r="N397" s="34" t="str">
        <f aca="false">IF(B397="","",IF(MONTH(B397)=5,"X",""))</f>
        <v/>
      </c>
      <c r="O397" s="34" t="str">
        <f aca="false">IF(B397="","",IF(MONTH(B397)=6,"X",""))</f>
        <v/>
      </c>
      <c r="P397" s="34" t="str">
        <f aca="false">IF(B397="","",IF(MONTH(B397)=7,"X",""))</f>
        <v/>
      </c>
      <c r="Q397" s="34" t="str">
        <f aca="false">IF(B397="","",IF(MONTH(B397)=8,"X",""))</f>
        <v/>
      </c>
      <c r="R397" s="34" t="str">
        <f aca="false">IF(B397="","",IF(MONTH(B397)=9,"X",""))</f>
        <v/>
      </c>
      <c r="S397" s="34" t="str">
        <f aca="false">IF(B397="","",IF(MONTH(B397)=10,"X",""))</f>
        <v/>
      </c>
      <c r="T397" s="34" t="str">
        <f aca="false">IF(B397="","",IF(MONTH(B397)=11,"X",""))</f>
        <v/>
      </c>
      <c r="U397" s="34" t="str">
        <f aca="false">IF(B397="","",IF(MONTH(B397)=12,"X",""))</f>
        <v/>
      </c>
      <c r="V397" s="24" t="str">
        <f aca="false">IF(E397="","",COUNTIF($E$5:$E$1000,E397))</f>
        <v/>
      </c>
      <c r="W397" s="35" t="str">
        <f aca="false">IF(E397="","",_xlfn.TEXTJOIN(" + ",TRUE(),IF(COUNTIFS($E$5:$E$1000,E397,$C$5:$C$1000,"Auditoría Interna")&gt;0,"Interna",""),IF(COUNTIFS($E$5:$E$1000,E397,$C$5:$C$1000,"Auditoría Externa")&gt;0,"Externa",""),IF(COUNTIFS($E$5:$E$1000,E397,$C$5:$C$1000,"SSF")&gt;0,"SSF",""),IF(COUNTIFS($E$5:$E$1000,E397,$C$5:$C$1000,"Comité de Supervisión")&gt;0,"Comité Sup.",""),IF(COUNTIFS($E$5:$E$1000,E397,$C$5:$C$1000,"Consejo de Administración")&gt;0,"Consejo",""),IF(COUNTIFS($E$5:$E$1000,E397,$C$5:$C$1000,"Otros")&gt;0,"Otros","")))</f>
        <v/>
      </c>
      <c r="X397" s="24" t="str">
        <f aca="false">IF(E397="","",COUNTIFS($E$5:$E$1000,E397,$AB$5:$AB$1000,AB397,$C$5:$C$1000,"&lt;&gt;"&amp;C397))</f>
        <v/>
      </c>
      <c r="Y397" s="33"/>
      <c r="Z397" s="31"/>
      <c r="AA397" s="33"/>
      <c r="AB397" s="37" t="str">
        <f aca="false">IF(B397="","",YEAR(B397)*100+MONTH(B397))</f>
        <v/>
      </c>
      <c r="AC397" s="37" t="str">
        <f aca="false">IF(AND(E397&lt;&gt;"",E397=Cruce!$C$5),COUNTIF($E$5:E397,E397),"")</f>
        <v/>
      </c>
      <c r="AD397" s="37" t="str">
        <f aca="false">IF(E397="","",C397&amp;"|"&amp;Y397&amp;"|"&amp;IF(B397="","s/f",TEXT(B397,"yyyymmdd")))</f>
        <v/>
      </c>
      <c r="AE397" s="37" t="n">
        <f aca="false">IF(E397="",0,IF(COUNTIFS($E$5:E397,E397,$AD$5:AD397,AD397)=1,1,0))</f>
        <v>0</v>
      </c>
    </row>
    <row r="398" customFormat="false" ht="15" hidden="false" customHeight="true" outlineLevel="0" collapsed="false">
      <c r="A398" s="31"/>
      <c r="B398" s="30"/>
      <c r="C398" s="31"/>
      <c r="D398" s="31"/>
      <c r="E398" s="32"/>
      <c r="F398" s="32"/>
      <c r="G398" s="33"/>
      <c r="H398" s="31"/>
      <c r="I398" s="24" t="str">
        <f aca="false">IF(B398="","",YEAR(B398))</f>
        <v/>
      </c>
      <c r="J398" s="34" t="str">
        <f aca="false">IF(B398="","",IF(MONTH(B398)=1,"X",""))</f>
        <v/>
      </c>
      <c r="K398" s="34" t="str">
        <f aca="false">IF(B398="","",IF(MONTH(B398)=2,"X",""))</f>
        <v/>
      </c>
      <c r="L398" s="34" t="str">
        <f aca="false">IF(B398="","",IF(MONTH(B398)=3,"X",""))</f>
        <v/>
      </c>
      <c r="M398" s="34" t="str">
        <f aca="false">IF(B398="","",IF(MONTH(B398)=4,"X",""))</f>
        <v/>
      </c>
      <c r="N398" s="34" t="str">
        <f aca="false">IF(B398="","",IF(MONTH(B398)=5,"X",""))</f>
        <v/>
      </c>
      <c r="O398" s="34" t="str">
        <f aca="false">IF(B398="","",IF(MONTH(B398)=6,"X",""))</f>
        <v/>
      </c>
      <c r="P398" s="34" t="str">
        <f aca="false">IF(B398="","",IF(MONTH(B398)=7,"X",""))</f>
        <v/>
      </c>
      <c r="Q398" s="34" t="str">
        <f aca="false">IF(B398="","",IF(MONTH(B398)=8,"X",""))</f>
        <v/>
      </c>
      <c r="R398" s="34" t="str">
        <f aca="false">IF(B398="","",IF(MONTH(B398)=9,"X",""))</f>
        <v/>
      </c>
      <c r="S398" s="34" t="str">
        <f aca="false">IF(B398="","",IF(MONTH(B398)=10,"X",""))</f>
        <v/>
      </c>
      <c r="T398" s="34" t="str">
        <f aca="false">IF(B398="","",IF(MONTH(B398)=11,"X",""))</f>
        <v/>
      </c>
      <c r="U398" s="34" t="str">
        <f aca="false">IF(B398="","",IF(MONTH(B398)=12,"X",""))</f>
        <v/>
      </c>
      <c r="V398" s="24" t="str">
        <f aca="false">IF(E398="","",COUNTIF($E$5:$E$1000,E398))</f>
        <v/>
      </c>
      <c r="W398" s="35" t="str">
        <f aca="false">IF(E398="","",_xlfn.TEXTJOIN(" + ",TRUE(),IF(COUNTIFS($E$5:$E$1000,E398,$C$5:$C$1000,"Auditoría Interna")&gt;0,"Interna",""),IF(COUNTIFS($E$5:$E$1000,E398,$C$5:$C$1000,"Auditoría Externa")&gt;0,"Externa",""),IF(COUNTIFS($E$5:$E$1000,E398,$C$5:$C$1000,"SSF")&gt;0,"SSF",""),IF(COUNTIFS($E$5:$E$1000,E398,$C$5:$C$1000,"Comité de Supervisión")&gt;0,"Comité Sup.",""),IF(COUNTIFS($E$5:$E$1000,E398,$C$5:$C$1000,"Consejo de Administración")&gt;0,"Consejo",""),IF(COUNTIFS($E$5:$E$1000,E398,$C$5:$C$1000,"Otros")&gt;0,"Otros","")))</f>
        <v/>
      </c>
      <c r="X398" s="24" t="str">
        <f aca="false">IF(E398="","",COUNTIFS($E$5:$E$1000,E398,$AB$5:$AB$1000,AB398,$C$5:$C$1000,"&lt;&gt;"&amp;C398))</f>
        <v/>
      </c>
      <c r="Y398" s="33"/>
      <c r="Z398" s="31"/>
      <c r="AA398" s="33"/>
      <c r="AB398" s="37" t="str">
        <f aca="false">IF(B398="","",YEAR(B398)*100+MONTH(B398))</f>
        <v/>
      </c>
      <c r="AC398" s="37" t="str">
        <f aca="false">IF(AND(E398&lt;&gt;"",E398=Cruce!$C$5),COUNTIF($E$5:E398,E398),"")</f>
        <v/>
      </c>
      <c r="AD398" s="37" t="str">
        <f aca="false">IF(E398="","",C398&amp;"|"&amp;Y398&amp;"|"&amp;IF(B398="","s/f",TEXT(B398,"yyyymmdd")))</f>
        <v/>
      </c>
      <c r="AE398" s="37" t="n">
        <f aca="false">IF(E398="",0,IF(COUNTIFS($E$5:E398,E398,$AD$5:AD398,AD398)=1,1,0))</f>
        <v>0</v>
      </c>
    </row>
    <row r="399" customFormat="false" ht="15" hidden="false" customHeight="true" outlineLevel="0" collapsed="false">
      <c r="A399" s="31"/>
      <c r="B399" s="30"/>
      <c r="C399" s="31"/>
      <c r="D399" s="31"/>
      <c r="E399" s="32"/>
      <c r="F399" s="32"/>
      <c r="G399" s="33"/>
      <c r="H399" s="31"/>
      <c r="I399" s="24" t="str">
        <f aca="false">IF(B399="","",YEAR(B399))</f>
        <v/>
      </c>
      <c r="J399" s="34" t="str">
        <f aca="false">IF(B399="","",IF(MONTH(B399)=1,"X",""))</f>
        <v/>
      </c>
      <c r="K399" s="34" t="str">
        <f aca="false">IF(B399="","",IF(MONTH(B399)=2,"X",""))</f>
        <v/>
      </c>
      <c r="L399" s="34" t="str">
        <f aca="false">IF(B399="","",IF(MONTH(B399)=3,"X",""))</f>
        <v/>
      </c>
      <c r="M399" s="34" t="str">
        <f aca="false">IF(B399="","",IF(MONTH(B399)=4,"X",""))</f>
        <v/>
      </c>
      <c r="N399" s="34" t="str">
        <f aca="false">IF(B399="","",IF(MONTH(B399)=5,"X",""))</f>
        <v/>
      </c>
      <c r="O399" s="34" t="str">
        <f aca="false">IF(B399="","",IF(MONTH(B399)=6,"X",""))</f>
        <v/>
      </c>
      <c r="P399" s="34" t="str">
        <f aca="false">IF(B399="","",IF(MONTH(B399)=7,"X",""))</f>
        <v/>
      </c>
      <c r="Q399" s="34" t="str">
        <f aca="false">IF(B399="","",IF(MONTH(B399)=8,"X",""))</f>
        <v/>
      </c>
      <c r="R399" s="34" t="str">
        <f aca="false">IF(B399="","",IF(MONTH(B399)=9,"X",""))</f>
        <v/>
      </c>
      <c r="S399" s="34" t="str">
        <f aca="false">IF(B399="","",IF(MONTH(B399)=10,"X",""))</f>
        <v/>
      </c>
      <c r="T399" s="34" t="str">
        <f aca="false">IF(B399="","",IF(MONTH(B399)=11,"X",""))</f>
        <v/>
      </c>
      <c r="U399" s="34" t="str">
        <f aca="false">IF(B399="","",IF(MONTH(B399)=12,"X",""))</f>
        <v/>
      </c>
      <c r="V399" s="24" t="str">
        <f aca="false">IF(E399="","",COUNTIF($E$5:$E$1000,E399))</f>
        <v/>
      </c>
      <c r="W399" s="35" t="str">
        <f aca="false">IF(E399="","",_xlfn.TEXTJOIN(" + ",TRUE(),IF(COUNTIFS($E$5:$E$1000,E399,$C$5:$C$1000,"Auditoría Interna")&gt;0,"Interna",""),IF(COUNTIFS($E$5:$E$1000,E399,$C$5:$C$1000,"Auditoría Externa")&gt;0,"Externa",""),IF(COUNTIFS($E$5:$E$1000,E399,$C$5:$C$1000,"SSF")&gt;0,"SSF",""),IF(COUNTIFS($E$5:$E$1000,E399,$C$5:$C$1000,"Comité de Supervisión")&gt;0,"Comité Sup.",""),IF(COUNTIFS($E$5:$E$1000,E399,$C$5:$C$1000,"Consejo de Administración")&gt;0,"Consejo",""),IF(COUNTIFS($E$5:$E$1000,E399,$C$5:$C$1000,"Otros")&gt;0,"Otros","")))</f>
        <v/>
      </c>
      <c r="X399" s="24" t="str">
        <f aca="false">IF(E399="","",COUNTIFS($E$5:$E$1000,E399,$AB$5:$AB$1000,AB399,$C$5:$C$1000,"&lt;&gt;"&amp;C399))</f>
        <v/>
      </c>
      <c r="Y399" s="33"/>
      <c r="Z399" s="31"/>
      <c r="AA399" s="33"/>
      <c r="AB399" s="37" t="str">
        <f aca="false">IF(B399="","",YEAR(B399)*100+MONTH(B399))</f>
        <v/>
      </c>
      <c r="AC399" s="37" t="str">
        <f aca="false">IF(AND(E399&lt;&gt;"",E399=Cruce!$C$5),COUNTIF($E$5:E399,E399),"")</f>
        <v/>
      </c>
      <c r="AD399" s="37" t="str">
        <f aca="false">IF(E399="","",C399&amp;"|"&amp;Y399&amp;"|"&amp;IF(B399="","s/f",TEXT(B399,"yyyymmdd")))</f>
        <v/>
      </c>
      <c r="AE399" s="37" t="n">
        <f aca="false">IF(E399="",0,IF(COUNTIFS($E$5:E399,E399,$AD$5:AD399,AD399)=1,1,0))</f>
        <v>0</v>
      </c>
    </row>
    <row r="400" customFormat="false" ht="15" hidden="false" customHeight="true" outlineLevel="0" collapsed="false">
      <c r="A400" s="31"/>
      <c r="B400" s="30"/>
      <c r="C400" s="31"/>
      <c r="D400" s="31"/>
      <c r="E400" s="32"/>
      <c r="F400" s="32"/>
      <c r="G400" s="33"/>
      <c r="H400" s="31"/>
      <c r="I400" s="24" t="str">
        <f aca="false">IF(B400="","",YEAR(B400))</f>
        <v/>
      </c>
      <c r="J400" s="34" t="str">
        <f aca="false">IF(B400="","",IF(MONTH(B400)=1,"X",""))</f>
        <v/>
      </c>
      <c r="K400" s="34" t="str">
        <f aca="false">IF(B400="","",IF(MONTH(B400)=2,"X",""))</f>
        <v/>
      </c>
      <c r="L400" s="34" t="str">
        <f aca="false">IF(B400="","",IF(MONTH(B400)=3,"X",""))</f>
        <v/>
      </c>
      <c r="M400" s="34" t="str">
        <f aca="false">IF(B400="","",IF(MONTH(B400)=4,"X",""))</f>
        <v/>
      </c>
      <c r="N400" s="34" t="str">
        <f aca="false">IF(B400="","",IF(MONTH(B400)=5,"X",""))</f>
        <v/>
      </c>
      <c r="O400" s="34" t="str">
        <f aca="false">IF(B400="","",IF(MONTH(B400)=6,"X",""))</f>
        <v/>
      </c>
      <c r="P400" s="34" t="str">
        <f aca="false">IF(B400="","",IF(MONTH(B400)=7,"X",""))</f>
        <v/>
      </c>
      <c r="Q400" s="34" t="str">
        <f aca="false">IF(B400="","",IF(MONTH(B400)=8,"X",""))</f>
        <v/>
      </c>
      <c r="R400" s="34" t="str">
        <f aca="false">IF(B400="","",IF(MONTH(B400)=9,"X",""))</f>
        <v/>
      </c>
      <c r="S400" s="34" t="str">
        <f aca="false">IF(B400="","",IF(MONTH(B400)=10,"X",""))</f>
        <v/>
      </c>
      <c r="T400" s="34" t="str">
        <f aca="false">IF(B400="","",IF(MONTH(B400)=11,"X",""))</f>
        <v/>
      </c>
      <c r="U400" s="34" t="str">
        <f aca="false">IF(B400="","",IF(MONTH(B400)=12,"X",""))</f>
        <v/>
      </c>
      <c r="V400" s="24" t="str">
        <f aca="false">IF(E400="","",COUNTIF($E$5:$E$1000,E400))</f>
        <v/>
      </c>
      <c r="W400" s="35" t="str">
        <f aca="false">IF(E400="","",_xlfn.TEXTJOIN(" + ",TRUE(),IF(COUNTIFS($E$5:$E$1000,E400,$C$5:$C$1000,"Auditoría Interna")&gt;0,"Interna",""),IF(COUNTIFS($E$5:$E$1000,E400,$C$5:$C$1000,"Auditoría Externa")&gt;0,"Externa",""),IF(COUNTIFS($E$5:$E$1000,E400,$C$5:$C$1000,"SSF")&gt;0,"SSF",""),IF(COUNTIFS($E$5:$E$1000,E400,$C$5:$C$1000,"Comité de Supervisión")&gt;0,"Comité Sup.",""),IF(COUNTIFS($E$5:$E$1000,E400,$C$5:$C$1000,"Consejo de Administración")&gt;0,"Consejo",""),IF(COUNTIFS($E$5:$E$1000,E400,$C$5:$C$1000,"Otros")&gt;0,"Otros","")))</f>
        <v/>
      </c>
      <c r="X400" s="24" t="str">
        <f aca="false">IF(E400="","",COUNTIFS($E$5:$E$1000,E400,$AB$5:$AB$1000,AB400,$C$5:$C$1000,"&lt;&gt;"&amp;C400))</f>
        <v/>
      </c>
      <c r="Y400" s="33"/>
      <c r="Z400" s="31"/>
      <c r="AA400" s="33"/>
      <c r="AB400" s="37" t="str">
        <f aca="false">IF(B400="","",YEAR(B400)*100+MONTH(B400))</f>
        <v/>
      </c>
      <c r="AC400" s="37" t="str">
        <f aca="false">IF(AND(E400&lt;&gt;"",E400=Cruce!$C$5),COUNTIF($E$5:E400,E400),"")</f>
        <v/>
      </c>
      <c r="AD400" s="37" t="str">
        <f aca="false">IF(E400="","",C400&amp;"|"&amp;Y400&amp;"|"&amp;IF(B400="","s/f",TEXT(B400,"yyyymmdd")))</f>
        <v/>
      </c>
      <c r="AE400" s="37" t="n">
        <f aca="false">IF(E400="",0,IF(COUNTIFS($E$5:E400,E400,$AD$5:AD400,AD400)=1,1,0))</f>
        <v>0</v>
      </c>
    </row>
    <row r="401" customFormat="false" ht="15" hidden="false" customHeight="true" outlineLevel="0" collapsed="false">
      <c r="A401" s="31"/>
      <c r="B401" s="30"/>
      <c r="C401" s="31"/>
      <c r="D401" s="31"/>
      <c r="E401" s="32"/>
      <c r="F401" s="32"/>
      <c r="G401" s="33"/>
      <c r="H401" s="31"/>
      <c r="I401" s="24" t="str">
        <f aca="false">IF(B401="","",YEAR(B401))</f>
        <v/>
      </c>
      <c r="J401" s="34" t="str">
        <f aca="false">IF(B401="","",IF(MONTH(B401)=1,"X",""))</f>
        <v/>
      </c>
      <c r="K401" s="34" t="str">
        <f aca="false">IF(B401="","",IF(MONTH(B401)=2,"X",""))</f>
        <v/>
      </c>
      <c r="L401" s="34" t="str">
        <f aca="false">IF(B401="","",IF(MONTH(B401)=3,"X",""))</f>
        <v/>
      </c>
      <c r="M401" s="34" t="str">
        <f aca="false">IF(B401="","",IF(MONTH(B401)=4,"X",""))</f>
        <v/>
      </c>
      <c r="N401" s="34" t="str">
        <f aca="false">IF(B401="","",IF(MONTH(B401)=5,"X",""))</f>
        <v/>
      </c>
      <c r="O401" s="34" t="str">
        <f aca="false">IF(B401="","",IF(MONTH(B401)=6,"X",""))</f>
        <v/>
      </c>
      <c r="P401" s="34" t="str">
        <f aca="false">IF(B401="","",IF(MONTH(B401)=7,"X",""))</f>
        <v/>
      </c>
      <c r="Q401" s="34" t="str">
        <f aca="false">IF(B401="","",IF(MONTH(B401)=8,"X",""))</f>
        <v/>
      </c>
      <c r="R401" s="34" t="str">
        <f aca="false">IF(B401="","",IF(MONTH(B401)=9,"X",""))</f>
        <v/>
      </c>
      <c r="S401" s="34" t="str">
        <f aca="false">IF(B401="","",IF(MONTH(B401)=10,"X",""))</f>
        <v/>
      </c>
      <c r="T401" s="34" t="str">
        <f aca="false">IF(B401="","",IF(MONTH(B401)=11,"X",""))</f>
        <v/>
      </c>
      <c r="U401" s="34" t="str">
        <f aca="false">IF(B401="","",IF(MONTH(B401)=12,"X",""))</f>
        <v/>
      </c>
      <c r="V401" s="24" t="str">
        <f aca="false">IF(E401="","",COUNTIF($E$5:$E$1000,E401))</f>
        <v/>
      </c>
      <c r="W401" s="35" t="str">
        <f aca="false">IF(E401="","",_xlfn.TEXTJOIN(" + ",TRUE(),IF(COUNTIFS($E$5:$E$1000,E401,$C$5:$C$1000,"Auditoría Interna")&gt;0,"Interna",""),IF(COUNTIFS($E$5:$E$1000,E401,$C$5:$C$1000,"Auditoría Externa")&gt;0,"Externa",""),IF(COUNTIFS($E$5:$E$1000,E401,$C$5:$C$1000,"SSF")&gt;0,"SSF",""),IF(COUNTIFS($E$5:$E$1000,E401,$C$5:$C$1000,"Comité de Supervisión")&gt;0,"Comité Sup.",""),IF(COUNTIFS($E$5:$E$1000,E401,$C$5:$C$1000,"Consejo de Administración")&gt;0,"Consejo",""),IF(COUNTIFS($E$5:$E$1000,E401,$C$5:$C$1000,"Otros")&gt;0,"Otros","")))</f>
        <v/>
      </c>
      <c r="X401" s="24" t="str">
        <f aca="false">IF(E401="","",COUNTIFS($E$5:$E$1000,E401,$AB$5:$AB$1000,AB401,$C$5:$C$1000,"&lt;&gt;"&amp;C401))</f>
        <v/>
      </c>
      <c r="Y401" s="33"/>
      <c r="Z401" s="31"/>
      <c r="AA401" s="33"/>
      <c r="AB401" s="37" t="str">
        <f aca="false">IF(B401="","",YEAR(B401)*100+MONTH(B401))</f>
        <v/>
      </c>
      <c r="AC401" s="37" t="str">
        <f aca="false">IF(AND(E401&lt;&gt;"",E401=Cruce!$C$5),COUNTIF($E$5:E401,E401),"")</f>
        <v/>
      </c>
      <c r="AD401" s="37" t="str">
        <f aca="false">IF(E401="","",C401&amp;"|"&amp;Y401&amp;"|"&amp;IF(B401="","s/f",TEXT(B401,"yyyymmdd")))</f>
        <v/>
      </c>
      <c r="AE401" s="37" t="n">
        <f aca="false">IF(E401="",0,IF(COUNTIFS($E$5:E401,E401,$AD$5:AD401,AD401)=1,1,0))</f>
        <v>0</v>
      </c>
    </row>
    <row r="402" customFormat="false" ht="15" hidden="false" customHeight="true" outlineLevel="0" collapsed="false">
      <c r="A402" s="31"/>
      <c r="B402" s="30"/>
      <c r="C402" s="31"/>
      <c r="D402" s="31"/>
      <c r="E402" s="32"/>
      <c r="F402" s="32"/>
      <c r="G402" s="33"/>
      <c r="H402" s="31"/>
      <c r="I402" s="24" t="str">
        <f aca="false">IF(B402="","",YEAR(B402))</f>
        <v/>
      </c>
      <c r="J402" s="34" t="str">
        <f aca="false">IF(B402="","",IF(MONTH(B402)=1,"X",""))</f>
        <v/>
      </c>
      <c r="K402" s="34" t="str">
        <f aca="false">IF(B402="","",IF(MONTH(B402)=2,"X",""))</f>
        <v/>
      </c>
      <c r="L402" s="34" t="str">
        <f aca="false">IF(B402="","",IF(MONTH(B402)=3,"X",""))</f>
        <v/>
      </c>
      <c r="M402" s="34" t="str">
        <f aca="false">IF(B402="","",IF(MONTH(B402)=4,"X",""))</f>
        <v/>
      </c>
      <c r="N402" s="34" t="str">
        <f aca="false">IF(B402="","",IF(MONTH(B402)=5,"X",""))</f>
        <v/>
      </c>
      <c r="O402" s="34" t="str">
        <f aca="false">IF(B402="","",IF(MONTH(B402)=6,"X",""))</f>
        <v/>
      </c>
      <c r="P402" s="34" t="str">
        <f aca="false">IF(B402="","",IF(MONTH(B402)=7,"X",""))</f>
        <v/>
      </c>
      <c r="Q402" s="34" t="str">
        <f aca="false">IF(B402="","",IF(MONTH(B402)=8,"X",""))</f>
        <v/>
      </c>
      <c r="R402" s="34" t="str">
        <f aca="false">IF(B402="","",IF(MONTH(B402)=9,"X",""))</f>
        <v/>
      </c>
      <c r="S402" s="34" t="str">
        <f aca="false">IF(B402="","",IF(MONTH(B402)=10,"X",""))</f>
        <v/>
      </c>
      <c r="T402" s="34" t="str">
        <f aca="false">IF(B402="","",IF(MONTH(B402)=11,"X",""))</f>
        <v/>
      </c>
      <c r="U402" s="34" t="str">
        <f aca="false">IF(B402="","",IF(MONTH(B402)=12,"X",""))</f>
        <v/>
      </c>
      <c r="V402" s="24" t="str">
        <f aca="false">IF(E402="","",COUNTIF($E$5:$E$1000,E402))</f>
        <v/>
      </c>
      <c r="W402" s="35" t="str">
        <f aca="false">IF(E402="","",_xlfn.TEXTJOIN(" + ",TRUE(),IF(COUNTIFS($E$5:$E$1000,E402,$C$5:$C$1000,"Auditoría Interna")&gt;0,"Interna",""),IF(COUNTIFS($E$5:$E$1000,E402,$C$5:$C$1000,"Auditoría Externa")&gt;0,"Externa",""),IF(COUNTIFS($E$5:$E$1000,E402,$C$5:$C$1000,"SSF")&gt;0,"SSF",""),IF(COUNTIFS($E$5:$E$1000,E402,$C$5:$C$1000,"Comité de Supervisión")&gt;0,"Comité Sup.",""),IF(COUNTIFS($E$5:$E$1000,E402,$C$5:$C$1000,"Consejo de Administración")&gt;0,"Consejo",""),IF(COUNTIFS($E$5:$E$1000,E402,$C$5:$C$1000,"Otros")&gt;0,"Otros","")))</f>
        <v/>
      </c>
      <c r="X402" s="24" t="str">
        <f aca="false">IF(E402="","",COUNTIFS($E$5:$E$1000,E402,$AB$5:$AB$1000,AB402,$C$5:$C$1000,"&lt;&gt;"&amp;C402))</f>
        <v/>
      </c>
      <c r="Y402" s="33"/>
      <c r="Z402" s="31"/>
      <c r="AA402" s="33"/>
      <c r="AB402" s="37" t="str">
        <f aca="false">IF(B402="","",YEAR(B402)*100+MONTH(B402))</f>
        <v/>
      </c>
      <c r="AC402" s="37" t="str">
        <f aca="false">IF(AND(E402&lt;&gt;"",E402=Cruce!$C$5),COUNTIF($E$5:E402,E402),"")</f>
        <v/>
      </c>
      <c r="AD402" s="37" t="str">
        <f aca="false">IF(E402="","",C402&amp;"|"&amp;Y402&amp;"|"&amp;IF(B402="","s/f",TEXT(B402,"yyyymmdd")))</f>
        <v/>
      </c>
      <c r="AE402" s="37" t="n">
        <f aca="false">IF(E402="",0,IF(COUNTIFS($E$5:E402,E402,$AD$5:AD402,AD402)=1,1,0))</f>
        <v>0</v>
      </c>
    </row>
    <row r="403" customFormat="false" ht="15" hidden="false" customHeight="true" outlineLevel="0" collapsed="false">
      <c r="A403" s="31"/>
      <c r="B403" s="30"/>
      <c r="C403" s="31"/>
      <c r="D403" s="31"/>
      <c r="E403" s="32"/>
      <c r="F403" s="32"/>
      <c r="G403" s="33"/>
      <c r="H403" s="31"/>
      <c r="I403" s="24" t="str">
        <f aca="false">IF(B403="","",YEAR(B403))</f>
        <v/>
      </c>
      <c r="J403" s="34" t="str">
        <f aca="false">IF(B403="","",IF(MONTH(B403)=1,"X",""))</f>
        <v/>
      </c>
      <c r="K403" s="34" t="str">
        <f aca="false">IF(B403="","",IF(MONTH(B403)=2,"X",""))</f>
        <v/>
      </c>
      <c r="L403" s="34" t="str">
        <f aca="false">IF(B403="","",IF(MONTH(B403)=3,"X",""))</f>
        <v/>
      </c>
      <c r="M403" s="34" t="str">
        <f aca="false">IF(B403="","",IF(MONTH(B403)=4,"X",""))</f>
        <v/>
      </c>
      <c r="N403" s="34" t="str">
        <f aca="false">IF(B403="","",IF(MONTH(B403)=5,"X",""))</f>
        <v/>
      </c>
      <c r="O403" s="34" t="str">
        <f aca="false">IF(B403="","",IF(MONTH(B403)=6,"X",""))</f>
        <v/>
      </c>
      <c r="P403" s="34" t="str">
        <f aca="false">IF(B403="","",IF(MONTH(B403)=7,"X",""))</f>
        <v/>
      </c>
      <c r="Q403" s="34" t="str">
        <f aca="false">IF(B403="","",IF(MONTH(B403)=8,"X",""))</f>
        <v/>
      </c>
      <c r="R403" s="34" t="str">
        <f aca="false">IF(B403="","",IF(MONTH(B403)=9,"X",""))</f>
        <v/>
      </c>
      <c r="S403" s="34" t="str">
        <f aca="false">IF(B403="","",IF(MONTH(B403)=10,"X",""))</f>
        <v/>
      </c>
      <c r="T403" s="34" t="str">
        <f aca="false">IF(B403="","",IF(MONTH(B403)=11,"X",""))</f>
        <v/>
      </c>
      <c r="U403" s="34" t="str">
        <f aca="false">IF(B403="","",IF(MONTH(B403)=12,"X",""))</f>
        <v/>
      </c>
      <c r="V403" s="24" t="str">
        <f aca="false">IF(E403="","",COUNTIF($E$5:$E$1000,E403))</f>
        <v/>
      </c>
      <c r="W403" s="35" t="str">
        <f aca="false">IF(E403="","",_xlfn.TEXTJOIN(" + ",TRUE(),IF(COUNTIFS($E$5:$E$1000,E403,$C$5:$C$1000,"Auditoría Interna")&gt;0,"Interna",""),IF(COUNTIFS($E$5:$E$1000,E403,$C$5:$C$1000,"Auditoría Externa")&gt;0,"Externa",""),IF(COUNTIFS($E$5:$E$1000,E403,$C$5:$C$1000,"SSF")&gt;0,"SSF",""),IF(COUNTIFS($E$5:$E$1000,E403,$C$5:$C$1000,"Comité de Supervisión")&gt;0,"Comité Sup.",""),IF(COUNTIFS($E$5:$E$1000,E403,$C$5:$C$1000,"Consejo de Administración")&gt;0,"Consejo",""),IF(COUNTIFS($E$5:$E$1000,E403,$C$5:$C$1000,"Otros")&gt;0,"Otros","")))</f>
        <v/>
      </c>
      <c r="X403" s="24" t="str">
        <f aca="false">IF(E403="","",COUNTIFS($E$5:$E$1000,E403,$AB$5:$AB$1000,AB403,$C$5:$C$1000,"&lt;&gt;"&amp;C403))</f>
        <v/>
      </c>
      <c r="Y403" s="33"/>
      <c r="Z403" s="31"/>
      <c r="AA403" s="33"/>
      <c r="AB403" s="37" t="str">
        <f aca="false">IF(B403="","",YEAR(B403)*100+MONTH(B403))</f>
        <v/>
      </c>
      <c r="AC403" s="37" t="str">
        <f aca="false">IF(AND(E403&lt;&gt;"",E403=Cruce!$C$5),COUNTIF($E$5:E403,E403),"")</f>
        <v/>
      </c>
      <c r="AD403" s="37" t="str">
        <f aca="false">IF(E403="","",C403&amp;"|"&amp;Y403&amp;"|"&amp;IF(B403="","s/f",TEXT(B403,"yyyymmdd")))</f>
        <v/>
      </c>
      <c r="AE403" s="37" t="n">
        <f aca="false">IF(E403="",0,IF(COUNTIFS($E$5:E403,E403,$AD$5:AD403,AD403)=1,1,0))</f>
        <v>0</v>
      </c>
    </row>
    <row r="404" customFormat="false" ht="15" hidden="false" customHeight="true" outlineLevel="0" collapsed="false">
      <c r="A404" s="31"/>
      <c r="B404" s="30"/>
      <c r="C404" s="31"/>
      <c r="D404" s="31"/>
      <c r="E404" s="32"/>
      <c r="F404" s="32"/>
      <c r="G404" s="33"/>
      <c r="H404" s="31"/>
      <c r="I404" s="24" t="str">
        <f aca="false">IF(B404="","",YEAR(B404))</f>
        <v/>
      </c>
      <c r="J404" s="34" t="str">
        <f aca="false">IF(B404="","",IF(MONTH(B404)=1,"X",""))</f>
        <v/>
      </c>
      <c r="K404" s="34" t="str">
        <f aca="false">IF(B404="","",IF(MONTH(B404)=2,"X",""))</f>
        <v/>
      </c>
      <c r="L404" s="34" t="str">
        <f aca="false">IF(B404="","",IF(MONTH(B404)=3,"X",""))</f>
        <v/>
      </c>
      <c r="M404" s="34" t="str">
        <f aca="false">IF(B404="","",IF(MONTH(B404)=4,"X",""))</f>
        <v/>
      </c>
      <c r="N404" s="34" t="str">
        <f aca="false">IF(B404="","",IF(MONTH(B404)=5,"X",""))</f>
        <v/>
      </c>
      <c r="O404" s="34" t="str">
        <f aca="false">IF(B404="","",IF(MONTH(B404)=6,"X",""))</f>
        <v/>
      </c>
      <c r="P404" s="34" t="str">
        <f aca="false">IF(B404="","",IF(MONTH(B404)=7,"X",""))</f>
        <v/>
      </c>
      <c r="Q404" s="34" t="str">
        <f aca="false">IF(B404="","",IF(MONTH(B404)=8,"X",""))</f>
        <v/>
      </c>
      <c r="R404" s="34" t="str">
        <f aca="false">IF(B404="","",IF(MONTH(B404)=9,"X",""))</f>
        <v/>
      </c>
      <c r="S404" s="34" t="str">
        <f aca="false">IF(B404="","",IF(MONTH(B404)=10,"X",""))</f>
        <v/>
      </c>
      <c r="T404" s="34" t="str">
        <f aca="false">IF(B404="","",IF(MONTH(B404)=11,"X",""))</f>
        <v/>
      </c>
      <c r="U404" s="34" t="str">
        <f aca="false">IF(B404="","",IF(MONTH(B404)=12,"X",""))</f>
        <v/>
      </c>
      <c r="V404" s="24" t="str">
        <f aca="false">IF(E404="","",COUNTIF($E$5:$E$1000,E404))</f>
        <v/>
      </c>
      <c r="W404" s="35" t="str">
        <f aca="false">IF(E404="","",_xlfn.TEXTJOIN(" + ",TRUE(),IF(COUNTIFS($E$5:$E$1000,E404,$C$5:$C$1000,"Auditoría Interna")&gt;0,"Interna",""),IF(COUNTIFS($E$5:$E$1000,E404,$C$5:$C$1000,"Auditoría Externa")&gt;0,"Externa",""),IF(COUNTIFS($E$5:$E$1000,E404,$C$5:$C$1000,"SSF")&gt;0,"SSF",""),IF(COUNTIFS($E$5:$E$1000,E404,$C$5:$C$1000,"Comité de Supervisión")&gt;0,"Comité Sup.",""),IF(COUNTIFS($E$5:$E$1000,E404,$C$5:$C$1000,"Consejo de Administración")&gt;0,"Consejo",""),IF(COUNTIFS($E$5:$E$1000,E404,$C$5:$C$1000,"Otros")&gt;0,"Otros","")))</f>
        <v/>
      </c>
      <c r="X404" s="24" t="str">
        <f aca="false">IF(E404="","",COUNTIFS($E$5:$E$1000,E404,$AB$5:$AB$1000,AB404,$C$5:$C$1000,"&lt;&gt;"&amp;C404))</f>
        <v/>
      </c>
      <c r="Y404" s="33"/>
      <c r="Z404" s="31"/>
      <c r="AA404" s="33"/>
      <c r="AB404" s="37" t="str">
        <f aca="false">IF(B404="","",YEAR(B404)*100+MONTH(B404))</f>
        <v/>
      </c>
      <c r="AC404" s="37" t="str">
        <f aca="false">IF(AND(E404&lt;&gt;"",E404=Cruce!$C$5),COUNTIF($E$5:E404,E404),"")</f>
        <v/>
      </c>
      <c r="AD404" s="37" t="str">
        <f aca="false">IF(E404="","",C404&amp;"|"&amp;Y404&amp;"|"&amp;IF(B404="","s/f",TEXT(B404,"yyyymmdd")))</f>
        <v/>
      </c>
      <c r="AE404" s="37" t="n">
        <f aca="false">IF(E404="",0,IF(COUNTIFS($E$5:E404,E404,$AD$5:AD404,AD404)=1,1,0))</f>
        <v>0</v>
      </c>
    </row>
    <row r="405" customFormat="false" ht="15" hidden="false" customHeight="true" outlineLevel="0" collapsed="false">
      <c r="A405" s="31"/>
      <c r="B405" s="30"/>
      <c r="C405" s="31"/>
      <c r="D405" s="31"/>
      <c r="E405" s="32"/>
      <c r="F405" s="32"/>
      <c r="G405" s="33"/>
      <c r="H405" s="31"/>
      <c r="I405" s="24" t="str">
        <f aca="false">IF(B405="","",YEAR(B405))</f>
        <v/>
      </c>
      <c r="J405" s="34" t="str">
        <f aca="false">IF(B405="","",IF(MONTH(B405)=1,"X",""))</f>
        <v/>
      </c>
      <c r="K405" s="34" t="str">
        <f aca="false">IF(B405="","",IF(MONTH(B405)=2,"X",""))</f>
        <v/>
      </c>
      <c r="L405" s="34" t="str">
        <f aca="false">IF(B405="","",IF(MONTH(B405)=3,"X",""))</f>
        <v/>
      </c>
      <c r="M405" s="34" t="str">
        <f aca="false">IF(B405="","",IF(MONTH(B405)=4,"X",""))</f>
        <v/>
      </c>
      <c r="N405" s="34" t="str">
        <f aca="false">IF(B405="","",IF(MONTH(B405)=5,"X",""))</f>
        <v/>
      </c>
      <c r="O405" s="34" t="str">
        <f aca="false">IF(B405="","",IF(MONTH(B405)=6,"X",""))</f>
        <v/>
      </c>
      <c r="P405" s="34" t="str">
        <f aca="false">IF(B405="","",IF(MONTH(B405)=7,"X",""))</f>
        <v/>
      </c>
      <c r="Q405" s="34" t="str">
        <f aca="false">IF(B405="","",IF(MONTH(B405)=8,"X",""))</f>
        <v/>
      </c>
      <c r="R405" s="34" t="str">
        <f aca="false">IF(B405="","",IF(MONTH(B405)=9,"X",""))</f>
        <v/>
      </c>
      <c r="S405" s="34" t="str">
        <f aca="false">IF(B405="","",IF(MONTH(B405)=10,"X",""))</f>
        <v/>
      </c>
      <c r="T405" s="34" t="str">
        <f aca="false">IF(B405="","",IF(MONTH(B405)=11,"X",""))</f>
        <v/>
      </c>
      <c r="U405" s="34" t="str">
        <f aca="false">IF(B405="","",IF(MONTH(B405)=12,"X",""))</f>
        <v/>
      </c>
      <c r="V405" s="24" t="str">
        <f aca="false">IF(E405="","",COUNTIF($E$5:$E$1000,E405))</f>
        <v/>
      </c>
      <c r="W405" s="35" t="str">
        <f aca="false">IF(E405="","",_xlfn.TEXTJOIN(" + ",TRUE(),IF(COUNTIFS($E$5:$E$1000,E405,$C$5:$C$1000,"Auditoría Interna")&gt;0,"Interna",""),IF(COUNTIFS($E$5:$E$1000,E405,$C$5:$C$1000,"Auditoría Externa")&gt;0,"Externa",""),IF(COUNTIFS($E$5:$E$1000,E405,$C$5:$C$1000,"SSF")&gt;0,"SSF",""),IF(COUNTIFS($E$5:$E$1000,E405,$C$5:$C$1000,"Comité de Supervisión")&gt;0,"Comité Sup.",""),IF(COUNTIFS($E$5:$E$1000,E405,$C$5:$C$1000,"Consejo de Administración")&gt;0,"Consejo",""),IF(COUNTIFS($E$5:$E$1000,E405,$C$5:$C$1000,"Otros")&gt;0,"Otros","")))</f>
        <v/>
      </c>
      <c r="X405" s="24" t="str">
        <f aca="false">IF(E405="","",COUNTIFS($E$5:$E$1000,E405,$AB$5:$AB$1000,AB405,$C$5:$C$1000,"&lt;&gt;"&amp;C405))</f>
        <v/>
      </c>
      <c r="Y405" s="33"/>
      <c r="Z405" s="31"/>
      <c r="AA405" s="33"/>
      <c r="AB405" s="37" t="str">
        <f aca="false">IF(B405="","",YEAR(B405)*100+MONTH(B405))</f>
        <v/>
      </c>
      <c r="AC405" s="37" t="str">
        <f aca="false">IF(AND(E405&lt;&gt;"",E405=Cruce!$C$5),COUNTIF($E$5:E405,E405),"")</f>
        <v/>
      </c>
      <c r="AD405" s="37" t="str">
        <f aca="false">IF(E405="","",C405&amp;"|"&amp;Y405&amp;"|"&amp;IF(B405="","s/f",TEXT(B405,"yyyymmdd")))</f>
        <v/>
      </c>
      <c r="AE405" s="37" t="n">
        <f aca="false">IF(E405="",0,IF(COUNTIFS($E$5:E405,E405,$AD$5:AD405,AD405)=1,1,0))</f>
        <v>0</v>
      </c>
    </row>
    <row r="406" customFormat="false" ht="15" hidden="false" customHeight="true" outlineLevel="0" collapsed="false">
      <c r="A406" s="31"/>
      <c r="B406" s="30"/>
      <c r="C406" s="31"/>
      <c r="D406" s="31"/>
      <c r="E406" s="32"/>
      <c r="F406" s="32"/>
      <c r="G406" s="33"/>
      <c r="H406" s="31"/>
      <c r="I406" s="24" t="str">
        <f aca="false">IF(B406="","",YEAR(B406))</f>
        <v/>
      </c>
      <c r="J406" s="34" t="str">
        <f aca="false">IF(B406="","",IF(MONTH(B406)=1,"X",""))</f>
        <v/>
      </c>
      <c r="K406" s="34" t="str">
        <f aca="false">IF(B406="","",IF(MONTH(B406)=2,"X",""))</f>
        <v/>
      </c>
      <c r="L406" s="34" t="str">
        <f aca="false">IF(B406="","",IF(MONTH(B406)=3,"X",""))</f>
        <v/>
      </c>
      <c r="M406" s="34" t="str">
        <f aca="false">IF(B406="","",IF(MONTH(B406)=4,"X",""))</f>
        <v/>
      </c>
      <c r="N406" s="34" t="str">
        <f aca="false">IF(B406="","",IF(MONTH(B406)=5,"X",""))</f>
        <v/>
      </c>
      <c r="O406" s="34" t="str">
        <f aca="false">IF(B406="","",IF(MONTH(B406)=6,"X",""))</f>
        <v/>
      </c>
      <c r="P406" s="34" t="str">
        <f aca="false">IF(B406="","",IF(MONTH(B406)=7,"X",""))</f>
        <v/>
      </c>
      <c r="Q406" s="34" t="str">
        <f aca="false">IF(B406="","",IF(MONTH(B406)=8,"X",""))</f>
        <v/>
      </c>
      <c r="R406" s="34" t="str">
        <f aca="false">IF(B406="","",IF(MONTH(B406)=9,"X",""))</f>
        <v/>
      </c>
      <c r="S406" s="34" t="str">
        <f aca="false">IF(B406="","",IF(MONTH(B406)=10,"X",""))</f>
        <v/>
      </c>
      <c r="T406" s="34" t="str">
        <f aca="false">IF(B406="","",IF(MONTH(B406)=11,"X",""))</f>
        <v/>
      </c>
      <c r="U406" s="34" t="str">
        <f aca="false">IF(B406="","",IF(MONTH(B406)=12,"X",""))</f>
        <v/>
      </c>
      <c r="V406" s="24" t="str">
        <f aca="false">IF(E406="","",COUNTIF($E$5:$E$1000,E406))</f>
        <v/>
      </c>
      <c r="W406" s="35" t="str">
        <f aca="false">IF(E406="","",_xlfn.TEXTJOIN(" + ",TRUE(),IF(COUNTIFS($E$5:$E$1000,E406,$C$5:$C$1000,"Auditoría Interna")&gt;0,"Interna",""),IF(COUNTIFS($E$5:$E$1000,E406,$C$5:$C$1000,"Auditoría Externa")&gt;0,"Externa",""),IF(COUNTIFS($E$5:$E$1000,E406,$C$5:$C$1000,"SSF")&gt;0,"SSF",""),IF(COUNTIFS($E$5:$E$1000,E406,$C$5:$C$1000,"Comité de Supervisión")&gt;0,"Comité Sup.",""),IF(COUNTIFS($E$5:$E$1000,E406,$C$5:$C$1000,"Consejo de Administración")&gt;0,"Consejo",""),IF(COUNTIFS($E$5:$E$1000,E406,$C$5:$C$1000,"Otros")&gt;0,"Otros","")))</f>
        <v/>
      </c>
      <c r="X406" s="24" t="str">
        <f aca="false">IF(E406="","",COUNTIFS($E$5:$E$1000,E406,$AB$5:$AB$1000,AB406,$C$5:$C$1000,"&lt;&gt;"&amp;C406))</f>
        <v/>
      </c>
      <c r="Y406" s="33"/>
      <c r="Z406" s="31"/>
      <c r="AA406" s="33"/>
      <c r="AB406" s="37" t="str">
        <f aca="false">IF(B406="","",YEAR(B406)*100+MONTH(B406))</f>
        <v/>
      </c>
      <c r="AC406" s="37" t="str">
        <f aca="false">IF(AND(E406&lt;&gt;"",E406=Cruce!$C$5),COUNTIF($E$5:E406,E406),"")</f>
        <v/>
      </c>
      <c r="AD406" s="37" t="str">
        <f aca="false">IF(E406="","",C406&amp;"|"&amp;Y406&amp;"|"&amp;IF(B406="","s/f",TEXT(B406,"yyyymmdd")))</f>
        <v/>
      </c>
      <c r="AE406" s="37" t="n">
        <f aca="false">IF(E406="",0,IF(COUNTIFS($E$5:E406,E406,$AD$5:AD406,AD406)=1,1,0))</f>
        <v>0</v>
      </c>
    </row>
    <row r="407" customFormat="false" ht="15" hidden="false" customHeight="true" outlineLevel="0" collapsed="false">
      <c r="A407" s="31"/>
      <c r="B407" s="30"/>
      <c r="C407" s="31"/>
      <c r="D407" s="31"/>
      <c r="E407" s="32"/>
      <c r="F407" s="32"/>
      <c r="G407" s="33"/>
      <c r="H407" s="31"/>
      <c r="I407" s="24" t="str">
        <f aca="false">IF(B407="","",YEAR(B407))</f>
        <v/>
      </c>
      <c r="J407" s="34" t="str">
        <f aca="false">IF(B407="","",IF(MONTH(B407)=1,"X",""))</f>
        <v/>
      </c>
      <c r="K407" s="34" t="str">
        <f aca="false">IF(B407="","",IF(MONTH(B407)=2,"X",""))</f>
        <v/>
      </c>
      <c r="L407" s="34" t="str">
        <f aca="false">IF(B407="","",IF(MONTH(B407)=3,"X",""))</f>
        <v/>
      </c>
      <c r="M407" s="34" t="str">
        <f aca="false">IF(B407="","",IF(MONTH(B407)=4,"X",""))</f>
        <v/>
      </c>
      <c r="N407" s="34" t="str">
        <f aca="false">IF(B407="","",IF(MONTH(B407)=5,"X",""))</f>
        <v/>
      </c>
      <c r="O407" s="34" t="str">
        <f aca="false">IF(B407="","",IF(MONTH(B407)=6,"X",""))</f>
        <v/>
      </c>
      <c r="P407" s="34" t="str">
        <f aca="false">IF(B407="","",IF(MONTH(B407)=7,"X",""))</f>
        <v/>
      </c>
      <c r="Q407" s="34" t="str">
        <f aca="false">IF(B407="","",IF(MONTH(B407)=8,"X",""))</f>
        <v/>
      </c>
      <c r="R407" s="34" t="str">
        <f aca="false">IF(B407="","",IF(MONTH(B407)=9,"X",""))</f>
        <v/>
      </c>
      <c r="S407" s="34" t="str">
        <f aca="false">IF(B407="","",IF(MONTH(B407)=10,"X",""))</f>
        <v/>
      </c>
      <c r="T407" s="34" t="str">
        <f aca="false">IF(B407="","",IF(MONTH(B407)=11,"X",""))</f>
        <v/>
      </c>
      <c r="U407" s="34" t="str">
        <f aca="false">IF(B407="","",IF(MONTH(B407)=12,"X",""))</f>
        <v/>
      </c>
      <c r="V407" s="24" t="str">
        <f aca="false">IF(E407="","",COUNTIF($E$5:$E$1000,E407))</f>
        <v/>
      </c>
      <c r="W407" s="35" t="str">
        <f aca="false">IF(E407="","",_xlfn.TEXTJOIN(" + ",TRUE(),IF(COUNTIFS($E$5:$E$1000,E407,$C$5:$C$1000,"Auditoría Interna")&gt;0,"Interna",""),IF(COUNTIFS($E$5:$E$1000,E407,$C$5:$C$1000,"Auditoría Externa")&gt;0,"Externa",""),IF(COUNTIFS($E$5:$E$1000,E407,$C$5:$C$1000,"SSF")&gt;0,"SSF",""),IF(COUNTIFS($E$5:$E$1000,E407,$C$5:$C$1000,"Comité de Supervisión")&gt;0,"Comité Sup.",""),IF(COUNTIFS($E$5:$E$1000,E407,$C$5:$C$1000,"Consejo de Administración")&gt;0,"Consejo",""),IF(COUNTIFS($E$5:$E$1000,E407,$C$5:$C$1000,"Otros")&gt;0,"Otros","")))</f>
        <v/>
      </c>
      <c r="X407" s="24" t="str">
        <f aca="false">IF(E407="","",COUNTIFS($E$5:$E$1000,E407,$AB$5:$AB$1000,AB407,$C$5:$C$1000,"&lt;&gt;"&amp;C407))</f>
        <v/>
      </c>
      <c r="Y407" s="33"/>
      <c r="Z407" s="31"/>
      <c r="AA407" s="33"/>
      <c r="AB407" s="37" t="str">
        <f aca="false">IF(B407="","",YEAR(B407)*100+MONTH(B407))</f>
        <v/>
      </c>
      <c r="AC407" s="37" t="str">
        <f aca="false">IF(AND(E407&lt;&gt;"",E407=Cruce!$C$5),COUNTIF($E$5:E407,E407),"")</f>
        <v/>
      </c>
      <c r="AD407" s="37" t="str">
        <f aca="false">IF(E407="","",C407&amp;"|"&amp;Y407&amp;"|"&amp;IF(B407="","s/f",TEXT(B407,"yyyymmdd")))</f>
        <v/>
      </c>
      <c r="AE407" s="37" t="n">
        <f aca="false">IF(E407="",0,IF(COUNTIFS($E$5:E407,E407,$AD$5:AD407,AD407)=1,1,0))</f>
        <v>0</v>
      </c>
    </row>
    <row r="408" customFormat="false" ht="15" hidden="false" customHeight="true" outlineLevel="0" collapsed="false">
      <c r="A408" s="31"/>
      <c r="B408" s="30"/>
      <c r="C408" s="31"/>
      <c r="D408" s="31"/>
      <c r="E408" s="32"/>
      <c r="F408" s="32"/>
      <c r="G408" s="33"/>
      <c r="H408" s="31"/>
      <c r="I408" s="24" t="str">
        <f aca="false">IF(B408="","",YEAR(B408))</f>
        <v/>
      </c>
      <c r="J408" s="34" t="str">
        <f aca="false">IF(B408="","",IF(MONTH(B408)=1,"X",""))</f>
        <v/>
      </c>
      <c r="K408" s="34" t="str">
        <f aca="false">IF(B408="","",IF(MONTH(B408)=2,"X",""))</f>
        <v/>
      </c>
      <c r="L408" s="34" t="str">
        <f aca="false">IF(B408="","",IF(MONTH(B408)=3,"X",""))</f>
        <v/>
      </c>
      <c r="M408" s="34" t="str">
        <f aca="false">IF(B408="","",IF(MONTH(B408)=4,"X",""))</f>
        <v/>
      </c>
      <c r="N408" s="34" t="str">
        <f aca="false">IF(B408="","",IF(MONTH(B408)=5,"X",""))</f>
        <v/>
      </c>
      <c r="O408" s="34" t="str">
        <f aca="false">IF(B408="","",IF(MONTH(B408)=6,"X",""))</f>
        <v/>
      </c>
      <c r="P408" s="34" t="str">
        <f aca="false">IF(B408="","",IF(MONTH(B408)=7,"X",""))</f>
        <v/>
      </c>
      <c r="Q408" s="34" t="str">
        <f aca="false">IF(B408="","",IF(MONTH(B408)=8,"X",""))</f>
        <v/>
      </c>
      <c r="R408" s="34" t="str">
        <f aca="false">IF(B408="","",IF(MONTH(B408)=9,"X",""))</f>
        <v/>
      </c>
      <c r="S408" s="34" t="str">
        <f aca="false">IF(B408="","",IF(MONTH(B408)=10,"X",""))</f>
        <v/>
      </c>
      <c r="T408" s="34" t="str">
        <f aca="false">IF(B408="","",IF(MONTH(B408)=11,"X",""))</f>
        <v/>
      </c>
      <c r="U408" s="34" t="str">
        <f aca="false">IF(B408="","",IF(MONTH(B408)=12,"X",""))</f>
        <v/>
      </c>
      <c r="V408" s="24" t="str">
        <f aca="false">IF(E408="","",COUNTIF($E$5:$E$1000,E408))</f>
        <v/>
      </c>
      <c r="W408" s="35" t="str">
        <f aca="false">IF(E408="","",_xlfn.TEXTJOIN(" + ",TRUE(),IF(COUNTIFS($E$5:$E$1000,E408,$C$5:$C$1000,"Auditoría Interna")&gt;0,"Interna",""),IF(COUNTIFS($E$5:$E$1000,E408,$C$5:$C$1000,"Auditoría Externa")&gt;0,"Externa",""),IF(COUNTIFS($E$5:$E$1000,E408,$C$5:$C$1000,"SSF")&gt;0,"SSF",""),IF(COUNTIFS($E$5:$E$1000,E408,$C$5:$C$1000,"Comité de Supervisión")&gt;0,"Comité Sup.",""),IF(COUNTIFS($E$5:$E$1000,E408,$C$5:$C$1000,"Consejo de Administración")&gt;0,"Consejo",""),IF(COUNTIFS($E$5:$E$1000,E408,$C$5:$C$1000,"Otros")&gt;0,"Otros","")))</f>
        <v/>
      </c>
      <c r="X408" s="24" t="str">
        <f aca="false">IF(E408="","",COUNTIFS($E$5:$E$1000,E408,$AB$5:$AB$1000,AB408,$C$5:$C$1000,"&lt;&gt;"&amp;C408))</f>
        <v/>
      </c>
      <c r="Y408" s="33"/>
      <c r="Z408" s="31"/>
      <c r="AA408" s="33"/>
      <c r="AB408" s="37" t="str">
        <f aca="false">IF(B408="","",YEAR(B408)*100+MONTH(B408))</f>
        <v/>
      </c>
      <c r="AC408" s="37" t="str">
        <f aca="false">IF(AND(E408&lt;&gt;"",E408=Cruce!$C$5),COUNTIF($E$5:E408,E408),"")</f>
        <v/>
      </c>
      <c r="AD408" s="37" t="str">
        <f aca="false">IF(E408="","",C408&amp;"|"&amp;Y408&amp;"|"&amp;IF(B408="","s/f",TEXT(B408,"yyyymmdd")))</f>
        <v/>
      </c>
      <c r="AE408" s="37" t="n">
        <f aca="false">IF(E408="",0,IF(COUNTIFS($E$5:E408,E408,$AD$5:AD408,AD408)=1,1,0))</f>
        <v>0</v>
      </c>
    </row>
    <row r="409" customFormat="false" ht="15" hidden="false" customHeight="true" outlineLevel="0" collapsed="false">
      <c r="A409" s="31"/>
      <c r="B409" s="30"/>
      <c r="C409" s="31"/>
      <c r="D409" s="31"/>
      <c r="E409" s="32"/>
      <c r="F409" s="32"/>
      <c r="G409" s="33"/>
      <c r="H409" s="31"/>
      <c r="I409" s="24" t="str">
        <f aca="false">IF(B409="","",YEAR(B409))</f>
        <v/>
      </c>
      <c r="J409" s="34" t="str">
        <f aca="false">IF(B409="","",IF(MONTH(B409)=1,"X",""))</f>
        <v/>
      </c>
      <c r="K409" s="34" t="str">
        <f aca="false">IF(B409="","",IF(MONTH(B409)=2,"X",""))</f>
        <v/>
      </c>
      <c r="L409" s="34" t="str">
        <f aca="false">IF(B409="","",IF(MONTH(B409)=3,"X",""))</f>
        <v/>
      </c>
      <c r="M409" s="34" t="str">
        <f aca="false">IF(B409="","",IF(MONTH(B409)=4,"X",""))</f>
        <v/>
      </c>
      <c r="N409" s="34" t="str">
        <f aca="false">IF(B409="","",IF(MONTH(B409)=5,"X",""))</f>
        <v/>
      </c>
      <c r="O409" s="34" t="str">
        <f aca="false">IF(B409="","",IF(MONTH(B409)=6,"X",""))</f>
        <v/>
      </c>
      <c r="P409" s="34" t="str">
        <f aca="false">IF(B409="","",IF(MONTH(B409)=7,"X",""))</f>
        <v/>
      </c>
      <c r="Q409" s="34" t="str">
        <f aca="false">IF(B409="","",IF(MONTH(B409)=8,"X",""))</f>
        <v/>
      </c>
      <c r="R409" s="34" t="str">
        <f aca="false">IF(B409="","",IF(MONTH(B409)=9,"X",""))</f>
        <v/>
      </c>
      <c r="S409" s="34" t="str">
        <f aca="false">IF(B409="","",IF(MONTH(B409)=10,"X",""))</f>
        <v/>
      </c>
      <c r="T409" s="34" t="str">
        <f aca="false">IF(B409="","",IF(MONTH(B409)=11,"X",""))</f>
        <v/>
      </c>
      <c r="U409" s="34" t="str">
        <f aca="false">IF(B409="","",IF(MONTH(B409)=12,"X",""))</f>
        <v/>
      </c>
      <c r="V409" s="24" t="str">
        <f aca="false">IF(E409="","",COUNTIF($E$5:$E$1000,E409))</f>
        <v/>
      </c>
      <c r="W409" s="35" t="str">
        <f aca="false">IF(E409="","",_xlfn.TEXTJOIN(" + ",TRUE(),IF(COUNTIFS($E$5:$E$1000,E409,$C$5:$C$1000,"Auditoría Interna")&gt;0,"Interna",""),IF(COUNTIFS($E$5:$E$1000,E409,$C$5:$C$1000,"Auditoría Externa")&gt;0,"Externa",""),IF(COUNTIFS($E$5:$E$1000,E409,$C$5:$C$1000,"SSF")&gt;0,"SSF",""),IF(COUNTIFS($E$5:$E$1000,E409,$C$5:$C$1000,"Comité de Supervisión")&gt;0,"Comité Sup.",""),IF(COUNTIFS($E$5:$E$1000,E409,$C$5:$C$1000,"Consejo de Administración")&gt;0,"Consejo",""),IF(COUNTIFS($E$5:$E$1000,E409,$C$5:$C$1000,"Otros")&gt;0,"Otros","")))</f>
        <v/>
      </c>
      <c r="X409" s="24" t="str">
        <f aca="false">IF(E409="","",COUNTIFS($E$5:$E$1000,E409,$AB$5:$AB$1000,AB409,$C$5:$C$1000,"&lt;&gt;"&amp;C409))</f>
        <v/>
      </c>
      <c r="Y409" s="33"/>
      <c r="Z409" s="31"/>
      <c r="AA409" s="33"/>
      <c r="AB409" s="37" t="str">
        <f aca="false">IF(B409="","",YEAR(B409)*100+MONTH(B409))</f>
        <v/>
      </c>
      <c r="AC409" s="37" t="str">
        <f aca="false">IF(AND(E409&lt;&gt;"",E409=Cruce!$C$5),COUNTIF($E$5:E409,E409),"")</f>
        <v/>
      </c>
      <c r="AD409" s="37" t="str">
        <f aca="false">IF(E409="","",C409&amp;"|"&amp;Y409&amp;"|"&amp;IF(B409="","s/f",TEXT(B409,"yyyymmdd")))</f>
        <v/>
      </c>
      <c r="AE409" s="37" t="n">
        <f aca="false">IF(E409="",0,IF(COUNTIFS($E$5:E409,E409,$AD$5:AD409,AD409)=1,1,0))</f>
        <v>0</v>
      </c>
    </row>
    <row r="410" customFormat="false" ht="15" hidden="false" customHeight="true" outlineLevel="0" collapsed="false">
      <c r="A410" s="31"/>
      <c r="B410" s="30"/>
      <c r="C410" s="31"/>
      <c r="D410" s="31"/>
      <c r="E410" s="32"/>
      <c r="F410" s="32"/>
      <c r="G410" s="33"/>
      <c r="H410" s="31"/>
      <c r="I410" s="24" t="str">
        <f aca="false">IF(B410="","",YEAR(B410))</f>
        <v/>
      </c>
      <c r="J410" s="34" t="str">
        <f aca="false">IF(B410="","",IF(MONTH(B410)=1,"X",""))</f>
        <v/>
      </c>
      <c r="K410" s="34" t="str">
        <f aca="false">IF(B410="","",IF(MONTH(B410)=2,"X",""))</f>
        <v/>
      </c>
      <c r="L410" s="34" t="str">
        <f aca="false">IF(B410="","",IF(MONTH(B410)=3,"X",""))</f>
        <v/>
      </c>
      <c r="M410" s="34" t="str">
        <f aca="false">IF(B410="","",IF(MONTH(B410)=4,"X",""))</f>
        <v/>
      </c>
      <c r="N410" s="34" t="str">
        <f aca="false">IF(B410="","",IF(MONTH(B410)=5,"X",""))</f>
        <v/>
      </c>
      <c r="O410" s="34" t="str">
        <f aca="false">IF(B410="","",IF(MONTH(B410)=6,"X",""))</f>
        <v/>
      </c>
      <c r="P410" s="34" t="str">
        <f aca="false">IF(B410="","",IF(MONTH(B410)=7,"X",""))</f>
        <v/>
      </c>
      <c r="Q410" s="34" t="str">
        <f aca="false">IF(B410="","",IF(MONTH(B410)=8,"X",""))</f>
        <v/>
      </c>
      <c r="R410" s="34" t="str">
        <f aca="false">IF(B410="","",IF(MONTH(B410)=9,"X",""))</f>
        <v/>
      </c>
      <c r="S410" s="34" t="str">
        <f aca="false">IF(B410="","",IF(MONTH(B410)=10,"X",""))</f>
        <v/>
      </c>
      <c r="T410" s="34" t="str">
        <f aca="false">IF(B410="","",IF(MONTH(B410)=11,"X",""))</f>
        <v/>
      </c>
      <c r="U410" s="34" t="str">
        <f aca="false">IF(B410="","",IF(MONTH(B410)=12,"X",""))</f>
        <v/>
      </c>
      <c r="V410" s="24" t="str">
        <f aca="false">IF(E410="","",COUNTIF($E$5:$E$1000,E410))</f>
        <v/>
      </c>
      <c r="W410" s="35" t="str">
        <f aca="false">IF(E410="","",_xlfn.TEXTJOIN(" + ",TRUE(),IF(COUNTIFS($E$5:$E$1000,E410,$C$5:$C$1000,"Auditoría Interna")&gt;0,"Interna",""),IF(COUNTIFS($E$5:$E$1000,E410,$C$5:$C$1000,"Auditoría Externa")&gt;0,"Externa",""),IF(COUNTIFS($E$5:$E$1000,E410,$C$5:$C$1000,"SSF")&gt;0,"SSF",""),IF(COUNTIFS($E$5:$E$1000,E410,$C$5:$C$1000,"Comité de Supervisión")&gt;0,"Comité Sup.",""),IF(COUNTIFS($E$5:$E$1000,E410,$C$5:$C$1000,"Consejo de Administración")&gt;0,"Consejo",""),IF(COUNTIFS($E$5:$E$1000,E410,$C$5:$C$1000,"Otros")&gt;0,"Otros","")))</f>
        <v/>
      </c>
      <c r="X410" s="24" t="str">
        <f aca="false">IF(E410="","",COUNTIFS($E$5:$E$1000,E410,$AB$5:$AB$1000,AB410,$C$5:$C$1000,"&lt;&gt;"&amp;C410))</f>
        <v/>
      </c>
      <c r="Y410" s="33"/>
      <c r="Z410" s="31"/>
      <c r="AA410" s="33"/>
      <c r="AB410" s="37" t="str">
        <f aca="false">IF(B410="","",YEAR(B410)*100+MONTH(B410))</f>
        <v/>
      </c>
      <c r="AC410" s="37" t="str">
        <f aca="false">IF(AND(E410&lt;&gt;"",E410=Cruce!$C$5),COUNTIF($E$5:E410,E410),"")</f>
        <v/>
      </c>
      <c r="AD410" s="37" t="str">
        <f aca="false">IF(E410="","",C410&amp;"|"&amp;Y410&amp;"|"&amp;IF(B410="","s/f",TEXT(B410,"yyyymmdd")))</f>
        <v/>
      </c>
      <c r="AE410" s="37" t="n">
        <f aca="false">IF(E410="",0,IF(COUNTIFS($E$5:E410,E410,$AD$5:AD410,AD410)=1,1,0))</f>
        <v>0</v>
      </c>
    </row>
    <row r="411" customFormat="false" ht="15" hidden="false" customHeight="true" outlineLevel="0" collapsed="false">
      <c r="A411" s="31"/>
      <c r="B411" s="30"/>
      <c r="C411" s="31"/>
      <c r="D411" s="31"/>
      <c r="E411" s="32"/>
      <c r="F411" s="32"/>
      <c r="G411" s="33"/>
      <c r="H411" s="31"/>
      <c r="I411" s="24" t="str">
        <f aca="false">IF(B411="","",YEAR(B411))</f>
        <v/>
      </c>
      <c r="J411" s="34" t="str">
        <f aca="false">IF(B411="","",IF(MONTH(B411)=1,"X",""))</f>
        <v/>
      </c>
      <c r="K411" s="34" t="str">
        <f aca="false">IF(B411="","",IF(MONTH(B411)=2,"X",""))</f>
        <v/>
      </c>
      <c r="L411" s="34" t="str">
        <f aca="false">IF(B411="","",IF(MONTH(B411)=3,"X",""))</f>
        <v/>
      </c>
      <c r="M411" s="34" t="str">
        <f aca="false">IF(B411="","",IF(MONTH(B411)=4,"X",""))</f>
        <v/>
      </c>
      <c r="N411" s="34" t="str">
        <f aca="false">IF(B411="","",IF(MONTH(B411)=5,"X",""))</f>
        <v/>
      </c>
      <c r="O411" s="34" t="str">
        <f aca="false">IF(B411="","",IF(MONTH(B411)=6,"X",""))</f>
        <v/>
      </c>
      <c r="P411" s="34" t="str">
        <f aca="false">IF(B411="","",IF(MONTH(B411)=7,"X",""))</f>
        <v/>
      </c>
      <c r="Q411" s="34" t="str">
        <f aca="false">IF(B411="","",IF(MONTH(B411)=8,"X",""))</f>
        <v/>
      </c>
      <c r="R411" s="34" t="str">
        <f aca="false">IF(B411="","",IF(MONTH(B411)=9,"X",""))</f>
        <v/>
      </c>
      <c r="S411" s="34" t="str">
        <f aca="false">IF(B411="","",IF(MONTH(B411)=10,"X",""))</f>
        <v/>
      </c>
      <c r="T411" s="34" t="str">
        <f aca="false">IF(B411="","",IF(MONTH(B411)=11,"X",""))</f>
        <v/>
      </c>
      <c r="U411" s="34" t="str">
        <f aca="false">IF(B411="","",IF(MONTH(B411)=12,"X",""))</f>
        <v/>
      </c>
      <c r="V411" s="24" t="str">
        <f aca="false">IF(E411="","",COUNTIF($E$5:$E$1000,E411))</f>
        <v/>
      </c>
      <c r="W411" s="35" t="str">
        <f aca="false">IF(E411="","",_xlfn.TEXTJOIN(" + ",TRUE(),IF(COUNTIFS($E$5:$E$1000,E411,$C$5:$C$1000,"Auditoría Interna")&gt;0,"Interna",""),IF(COUNTIFS($E$5:$E$1000,E411,$C$5:$C$1000,"Auditoría Externa")&gt;0,"Externa",""),IF(COUNTIFS($E$5:$E$1000,E411,$C$5:$C$1000,"SSF")&gt;0,"SSF",""),IF(COUNTIFS($E$5:$E$1000,E411,$C$5:$C$1000,"Comité de Supervisión")&gt;0,"Comité Sup.",""),IF(COUNTIFS($E$5:$E$1000,E411,$C$5:$C$1000,"Consejo de Administración")&gt;0,"Consejo",""),IF(COUNTIFS($E$5:$E$1000,E411,$C$5:$C$1000,"Otros")&gt;0,"Otros","")))</f>
        <v/>
      </c>
      <c r="X411" s="24" t="str">
        <f aca="false">IF(E411="","",COUNTIFS($E$5:$E$1000,E411,$AB$5:$AB$1000,AB411,$C$5:$C$1000,"&lt;&gt;"&amp;C411))</f>
        <v/>
      </c>
      <c r="Y411" s="33"/>
      <c r="Z411" s="31"/>
      <c r="AA411" s="33"/>
      <c r="AB411" s="37" t="str">
        <f aca="false">IF(B411="","",YEAR(B411)*100+MONTH(B411))</f>
        <v/>
      </c>
      <c r="AC411" s="37" t="str">
        <f aca="false">IF(AND(E411&lt;&gt;"",E411=Cruce!$C$5),COUNTIF($E$5:E411,E411),"")</f>
        <v/>
      </c>
      <c r="AD411" s="37" t="str">
        <f aca="false">IF(E411="","",C411&amp;"|"&amp;Y411&amp;"|"&amp;IF(B411="","s/f",TEXT(B411,"yyyymmdd")))</f>
        <v/>
      </c>
      <c r="AE411" s="37" t="n">
        <f aca="false">IF(E411="",0,IF(COUNTIFS($E$5:E411,E411,$AD$5:AD411,AD411)=1,1,0))</f>
        <v>0</v>
      </c>
    </row>
    <row r="412" customFormat="false" ht="15" hidden="false" customHeight="true" outlineLevel="0" collapsed="false">
      <c r="A412" s="31"/>
      <c r="B412" s="30"/>
      <c r="C412" s="31"/>
      <c r="D412" s="31"/>
      <c r="E412" s="32"/>
      <c r="F412" s="32"/>
      <c r="G412" s="33"/>
      <c r="H412" s="31"/>
      <c r="I412" s="24" t="str">
        <f aca="false">IF(B412="","",YEAR(B412))</f>
        <v/>
      </c>
      <c r="J412" s="34" t="str">
        <f aca="false">IF(B412="","",IF(MONTH(B412)=1,"X",""))</f>
        <v/>
      </c>
      <c r="K412" s="34" t="str">
        <f aca="false">IF(B412="","",IF(MONTH(B412)=2,"X",""))</f>
        <v/>
      </c>
      <c r="L412" s="34" t="str">
        <f aca="false">IF(B412="","",IF(MONTH(B412)=3,"X",""))</f>
        <v/>
      </c>
      <c r="M412" s="34" t="str">
        <f aca="false">IF(B412="","",IF(MONTH(B412)=4,"X",""))</f>
        <v/>
      </c>
      <c r="N412" s="34" t="str">
        <f aca="false">IF(B412="","",IF(MONTH(B412)=5,"X",""))</f>
        <v/>
      </c>
      <c r="O412" s="34" t="str">
        <f aca="false">IF(B412="","",IF(MONTH(B412)=6,"X",""))</f>
        <v/>
      </c>
      <c r="P412" s="34" t="str">
        <f aca="false">IF(B412="","",IF(MONTH(B412)=7,"X",""))</f>
        <v/>
      </c>
      <c r="Q412" s="34" t="str">
        <f aca="false">IF(B412="","",IF(MONTH(B412)=8,"X",""))</f>
        <v/>
      </c>
      <c r="R412" s="34" t="str">
        <f aca="false">IF(B412="","",IF(MONTH(B412)=9,"X",""))</f>
        <v/>
      </c>
      <c r="S412" s="34" t="str">
        <f aca="false">IF(B412="","",IF(MONTH(B412)=10,"X",""))</f>
        <v/>
      </c>
      <c r="T412" s="34" t="str">
        <f aca="false">IF(B412="","",IF(MONTH(B412)=11,"X",""))</f>
        <v/>
      </c>
      <c r="U412" s="34" t="str">
        <f aca="false">IF(B412="","",IF(MONTH(B412)=12,"X",""))</f>
        <v/>
      </c>
      <c r="V412" s="24" t="str">
        <f aca="false">IF(E412="","",COUNTIF($E$5:$E$1000,E412))</f>
        <v/>
      </c>
      <c r="W412" s="35" t="str">
        <f aca="false">IF(E412="","",_xlfn.TEXTJOIN(" + ",TRUE(),IF(COUNTIFS($E$5:$E$1000,E412,$C$5:$C$1000,"Auditoría Interna")&gt;0,"Interna",""),IF(COUNTIFS($E$5:$E$1000,E412,$C$5:$C$1000,"Auditoría Externa")&gt;0,"Externa",""),IF(COUNTIFS($E$5:$E$1000,E412,$C$5:$C$1000,"SSF")&gt;0,"SSF",""),IF(COUNTIFS($E$5:$E$1000,E412,$C$5:$C$1000,"Comité de Supervisión")&gt;0,"Comité Sup.",""),IF(COUNTIFS($E$5:$E$1000,E412,$C$5:$C$1000,"Consejo de Administración")&gt;0,"Consejo",""),IF(COUNTIFS($E$5:$E$1000,E412,$C$5:$C$1000,"Otros")&gt;0,"Otros","")))</f>
        <v/>
      </c>
      <c r="X412" s="24" t="str">
        <f aca="false">IF(E412="","",COUNTIFS($E$5:$E$1000,E412,$AB$5:$AB$1000,AB412,$C$5:$C$1000,"&lt;&gt;"&amp;C412))</f>
        <v/>
      </c>
      <c r="Y412" s="33"/>
      <c r="Z412" s="31"/>
      <c r="AA412" s="33"/>
      <c r="AB412" s="37" t="str">
        <f aca="false">IF(B412="","",YEAR(B412)*100+MONTH(B412))</f>
        <v/>
      </c>
      <c r="AC412" s="37" t="str">
        <f aca="false">IF(AND(E412&lt;&gt;"",E412=Cruce!$C$5),COUNTIF($E$5:E412,E412),"")</f>
        <v/>
      </c>
      <c r="AD412" s="37" t="str">
        <f aca="false">IF(E412="","",C412&amp;"|"&amp;Y412&amp;"|"&amp;IF(B412="","s/f",TEXT(B412,"yyyymmdd")))</f>
        <v/>
      </c>
      <c r="AE412" s="37" t="n">
        <f aca="false">IF(E412="",0,IF(COUNTIFS($E$5:E412,E412,$AD$5:AD412,AD412)=1,1,0))</f>
        <v>0</v>
      </c>
    </row>
    <row r="413" customFormat="false" ht="15" hidden="false" customHeight="true" outlineLevel="0" collapsed="false">
      <c r="A413" s="31"/>
      <c r="B413" s="30"/>
      <c r="C413" s="31"/>
      <c r="D413" s="31"/>
      <c r="E413" s="32"/>
      <c r="F413" s="32"/>
      <c r="G413" s="33"/>
      <c r="H413" s="31"/>
      <c r="I413" s="24" t="str">
        <f aca="false">IF(B413="","",YEAR(B413))</f>
        <v/>
      </c>
      <c r="J413" s="34" t="str">
        <f aca="false">IF(B413="","",IF(MONTH(B413)=1,"X",""))</f>
        <v/>
      </c>
      <c r="K413" s="34" t="str">
        <f aca="false">IF(B413="","",IF(MONTH(B413)=2,"X",""))</f>
        <v/>
      </c>
      <c r="L413" s="34" t="str">
        <f aca="false">IF(B413="","",IF(MONTH(B413)=3,"X",""))</f>
        <v/>
      </c>
      <c r="M413" s="34" t="str">
        <f aca="false">IF(B413="","",IF(MONTH(B413)=4,"X",""))</f>
        <v/>
      </c>
      <c r="N413" s="34" t="str">
        <f aca="false">IF(B413="","",IF(MONTH(B413)=5,"X",""))</f>
        <v/>
      </c>
      <c r="O413" s="34" t="str">
        <f aca="false">IF(B413="","",IF(MONTH(B413)=6,"X",""))</f>
        <v/>
      </c>
      <c r="P413" s="34" t="str">
        <f aca="false">IF(B413="","",IF(MONTH(B413)=7,"X",""))</f>
        <v/>
      </c>
      <c r="Q413" s="34" t="str">
        <f aca="false">IF(B413="","",IF(MONTH(B413)=8,"X",""))</f>
        <v/>
      </c>
      <c r="R413" s="34" t="str">
        <f aca="false">IF(B413="","",IF(MONTH(B413)=9,"X",""))</f>
        <v/>
      </c>
      <c r="S413" s="34" t="str">
        <f aca="false">IF(B413="","",IF(MONTH(B413)=10,"X",""))</f>
        <v/>
      </c>
      <c r="T413" s="34" t="str">
        <f aca="false">IF(B413="","",IF(MONTH(B413)=11,"X",""))</f>
        <v/>
      </c>
      <c r="U413" s="34" t="str">
        <f aca="false">IF(B413="","",IF(MONTH(B413)=12,"X",""))</f>
        <v/>
      </c>
      <c r="V413" s="24" t="str">
        <f aca="false">IF(E413="","",COUNTIF($E$5:$E$1000,E413))</f>
        <v/>
      </c>
      <c r="W413" s="35" t="str">
        <f aca="false">IF(E413="","",_xlfn.TEXTJOIN(" + ",TRUE(),IF(COUNTIFS($E$5:$E$1000,E413,$C$5:$C$1000,"Auditoría Interna")&gt;0,"Interna",""),IF(COUNTIFS($E$5:$E$1000,E413,$C$5:$C$1000,"Auditoría Externa")&gt;0,"Externa",""),IF(COUNTIFS($E$5:$E$1000,E413,$C$5:$C$1000,"SSF")&gt;0,"SSF",""),IF(COUNTIFS($E$5:$E$1000,E413,$C$5:$C$1000,"Comité de Supervisión")&gt;0,"Comité Sup.",""),IF(COUNTIFS($E$5:$E$1000,E413,$C$5:$C$1000,"Consejo de Administración")&gt;0,"Consejo",""),IF(COUNTIFS($E$5:$E$1000,E413,$C$5:$C$1000,"Otros")&gt;0,"Otros","")))</f>
        <v/>
      </c>
      <c r="X413" s="24" t="str">
        <f aca="false">IF(E413="","",COUNTIFS($E$5:$E$1000,E413,$AB$5:$AB$1000,AB413,$C$5:$C$1000,"&lt;&gt;"&amp;C413))</f>
        <v/>
      </c>
      <c r="Y413" s="33"/>
      <c r="Z413" s="31"/>
      <c r="AA413" s="33"/>
      <c r="AB413" s="37" t="str">
        <f aca="false">IF(B413="","",YEAR(B413)*100+MONTH(B413))</f>
        <v/>
      </c>
      <c r="AC413" s="37" t="str">
        <f aca="false">IF(AND(E413&lt;&gt;"",E413=Cruce!$C$5),COUNTIF($E$5:E413,E413),"")</f>
        <v/>
      </c>
      <c r="AD413" s="37" t="str">
        <f aca="false">IF(E413="","",C413&amp;"|"&amp;Y413&amp;"|"&amp;IF(B413="","s/f",TEXT(B413,"yyyymmdd")))</f>
        <v/>
      </c>
      <c r="AE413" s="37" t="n">
        <f aca="false">IF(E413="",0,IF(COUNTIFS($E$5:E413,E413,$AD$5:AD413,AD413)=1,1,0))</f>
        <v>0</v>
      </c>
    </row>
    <row r="414" customFormat="false" ht="15" hidden="false" customHeight="true" outlineLevel="0" collapsed="false">
      <c r="A414" s="31"/>
      <c r="B414" s="30"/>
      <c r="C414" s="31"/>
      <c r="D414" s="31"/>
      <c r="E414" s="32"/>
      <c r="F414" s="32"/>
      <c r="G414" s="33"/>
      <c r="H414" s="31"/>
      <c r="I414" s="24" t="str">
        <f aca="false">IF(B414="","",YEAR(B414))</f>
        <v/>
      </c>
      <c r="J414" s="34" t="str">
        <f aca="false">IF(B414="","",IF(MONTH(B414)=1,"X",""))</f>
        <v/>
      </c>
      <c r="K414" s="34" t="str">
        <f aca="false">IF(B414="","",IF(MONTH(B414)=2,"X",""))</f>
        <v/>
      </c>
      <c r="L414" s="34" t="str">
        <f aca="false">IF(B414="","",IF(MONTH(B414)=3,"X",""))</f>
        <v/>
      </c>
      <c r="M414" s="34" t="str">
        <f aca="false">IF(B414="","",IF(MONTH(B414)=4,"X",""))</f>
        <v/>
      </c>
      <c r="N414" s="34" t="str">
        <f aca="false">IF(B414="","",IF(MONTH(B414)=5,"X",""))</f>
        <v/>
      </c>
      <c r="O414" s="34" t="str">
        <f aca="false">IF(B414="","",IF(MONTH(B414)=6,"X",""))</f>
        <v/>
      </c>
      <c r="P414" s="34" t="str">
        <f aca="false">IF(B414="","",IF(MONTH(B414)=7,"X",""))</f>
        <v/>
      </c>
      <c r="Q414" s="34" t="str">
        <f aca="false">IF(B414="","",IF(MONTH(B414)=8,"X",""))</f>
        <v/>
      </c>
      <c r="R414" s="34" t="str">
        <f aca="false">IF(B414="","",IF(MONTH(B414)=9,"X",""))</f>
        <v/>
      </c>
      <c r="S414" s="34" t="str">
        <f aca="false">IF(B414="","",IF(MONTH(B414)=10,"X",""))</f>
        <v/>
      </c>
      <c r="T414" s="34" t="str">
        <f aca="false">IF(B414="","",IF(MONTH(B414)=11,"X",""))</f>
        <v/>
      </c>
      <c r="U414" s="34" t="str">
        <f aca="false">IF(B414="","",IF(MONTH(B414)=12,"X",""))</f>
        <v/>
      </c>
      <c r="V414" s="24" t="str">
        <f aca="false">IF(E414="","",COUNTIF($E$5:$E$1000,E414))</f>
        <v/>
      </c>
      <c r="W414" s="35" t="str">
        <f aca="false">IF(E414="","",_xlfn.TEXTJOIN(" + ",TRUE(),IF(COUNTIFS($E$5:$E$1000,E414,$C$5:$C$1000,"Auditoría Interna")&gt;0,"Interna",""),IF(COUNTIFS($E$5:$E$1000,E414,$C$5:$C$1000,"Auditoría Externa")&gt;0,"Externa",""),IF(COUNTIFS($E$5:$E$1000,E414,$C$5:$C$1000,"SSF")&gt;0,"SSF",""),IF(COUNTIFS($E$5:$E$1000,E414,$C$5:$C$1000,"Comité de Supervisión")&gt;0,"Comité Sup.",""),IF(COUNTIFS($E$5:$E$1000,E414,$C$5:$C$1000,"Consejo de Administración")&gt;0,"Consejo",""),IF(COUNTIFS($E$5:$E$1000,E414,$C$5:$C$1000,"Otros")&gt;0,"Otros","")))</f>
        <v/>
      </c>
      <c r="X414" s="24" t="str">
        <f aca="false">IF(E414="","",COUNTIFS($E$5:$E$1000,E414,$AB$5:$AB$1000,AB414,$C$5:$C$1000,"&lt;&gt;"&amp;C414))</f>
        <v/>
      </c>
      <c r="Y414" s="33"/>
      <c r="Z414" s="31"/>
      <c r="AA414" s="33"/>
      <c r="AB414" s="37" t="str">
        <f aca="false">IF(B414="","",YEAR(B414)*100+MONTH(B414))</f>
        <v/>
      </c>
      <c r="AC414" s="37" t="str">
        <f aca="false">IF(AND(E414&lt;&gt;"",E414=Cruce!$C$5),COUNTIF($E$5:E414,E414),"")</f>
        <v/>
      </c>
      <c r="AD414" s="37" t="str">
        <f aca="false">IF(E414="","",C414&amp;"|"&amp;Y414&amp;"|"&amp;IF(B414="","s/f",TEXT(B414,"yyyymmdd")))</f>
        <v/>
      </c>
      <c r="AE414" s="37" t="n">
        <f aca="false">IF(E414="",0,IF(COUNTIFS($E$5:E414,E414,$AD$5:AD414,AD414)=1,1,0))</f>
        <v>0</v>
      </c>
    </row>
    <row r="415" customFormat="false" ht="15" hidden="false" customHeight="true" outlineLevel="0" collapsed="false">
      <c r="A415" s="31"/>
      <c r="B415" s="30"/>
      <c r="C415" s="31"/>
      <c r="D415" s="31"/>
      <c r="E415" s="32"/>
      <c r="F415" s="32"/>
      <c r="G415" s="33"/>
      <c r="H415" s="31"/>
      <c r="I415" s="24" t="str">
        <f aca="false">IF(B415="","",YEAR(B415))</f>
        <v/>
      </c>
      <c r="J415" s="34" t="str">
        <f aca="false">IF(B415="","",IF(MONTH(B415)=1,"X",""))</f>
        <v/>
      </c>
      <c r="K415" s="34" t="str">
        <f aca="false">IF(B415="","",IF(MONTH(B415)=2,"X",""))</f>
        <v/>
      </c>
      <c r="L415" s="34" t="str">
        <f aca="false">IF(B415="","",IF(MONTH(B415)=3,"X",""))</f>
        <v/>
      </c>
      <c r="M415" s="34" t="str">
        <f aca="false">IF(B415="","",IF(MONTH(B415)=4,"X",""))</f>
        <v/>
      </c>
      <c r="N415" s="34" t="str">
        <f aca="false">IF(B415="","",IF(MONTH(B415)=5,"X",""))</f>
        <v/>
      </c>
      <c r="O415" s="34" t="str">
        <f aca="false">IF(B415="","",IF(MONTH(B415)=6,"X",""))</f>
        <v/>
      </c>
      <c r="P415" s="34" t="str">
        <f aca="false">IF(B415="","",IF(MONTH(B415)=7,"X",""))</f>
        <v/>
      </c>
      <c r="Q415" s="34" t="str">
        <f aca="false">IF(B415="","",IF(MONTH(B415)=8,"X",""))</f>
        <v/>
      </c>
      <c r="R415" s="34" t="str">
        <f aca="false">IF(B415="","",IF(MONTH(B415)=9,"X",""))</f>
        <v/>
      </c>
      <c r="S415" s="34" t="str">
        <f aca="false">IF(B415="","",IF(MONTH(B415)=10,"X",""))</f>
        <v/>
      </c>
      <c r="T415" s="34" t="str">
        <f aca="false">IF(B415="","",IF(MONTH(B415)=11,"X",""))</f>
        <v/>
      </c>
      <c r="U415" s="34" t="str">
        <f aca="false">IF(B415="","",IF(MONTH(B415)=12,"X",""))</f>
        <v/>
      </c>
      <c r="V415" s="24" t="str">
        <f aca="false">IF(E415="","",COUNTIF($E$5:$E$1000,E415))</f>
        <v/>
      </c>
      <c r="W415" s="35" t="str">
        <f aca="false">IF(E415="","",_xlfn.TEXTJOIN(" + ",TRUE(),IF(COUNTIFS($E$5:$E$1000,E415,$C$5:$C$1000,"Auditoría Interna")&gt;0,"Interna",""),IF(COUNTIFS($E$5:$E$1000,E415,$C$5:$C$1000,"Auditoría Externa")&gt;0,"Externa",""),IF(COUNTIFS($E$5:$E$1000,E415,$C$5:$C$1000,"SSF")&gt;0,"SSF",""),IF(COUNTIFS($E$5:$E$1000,E415,$C$5:$C$1000,"Comité de Supervisión")&gt;0,"Comité Sup.",""),IF(COUNTIFS($E$5:$E$1000,E415,$C$5:$C$1000,"Consejo de Administración")&gt;0,"Consejo",""),IF(COUNTIFS($E$5:$E$1000,E415,$C$5:$C$1000,"Otros")&gt;0,"Otros","")))</f>
        <v/>
      </c>
      <c r="X415" s="24" t="str">
        <f aca="false">IF(E415="","",COUNTIFS($E$5:$E$1000,E415,$AB$5:$AB$1000,AB415,$C$5:$C$1000,"&lt;&gt;"&amp;C415))</f>
        <v/>
      </c>
      <c r="Y415" s="33"/>
      <c r="Z415" s="31"/>
      <c r="AA415" s="33"/>
      <c r="AB415" s="37" t="str">
        <f aca="false">IF(B415="","",YEAR(B415)*100+MONTH(B415))</f>
        <v/>
      </c>
      <c r="AC415" s="37" t="str">
        <f aca="false">IF(AND(E415&lt;&gt;"",E415=Cruce!$C$5),COUNTIF($E$5:E415,E415),"")</f>
        <v/>
      </c>
      <c r="AD415" s="37" t="str">
        <f aca="false">IF(E415="","",C415&amp;"|"&amp;Y415&amp;"|"&amp;IF(B415="","s/f",TEXT(B415,"yyyymmdd")))</f>
        <v/>
      </c>
      <c r="AE415" s="37" t="n">
        <f aca="false">IF(E415="",0,IF(COUNTIFS($E$5:E415,E415,$AD$5:AD415,AD415)=1,1,0))</f>
        <v>0</v>
      </c>
    </row>
    <row r="416" customFormat="false" ht="15" hidden="false" customHeight="true" outlineLevel="0" collapsed="false">
      <c r="A416" s="31"/>
      <c r="B416" s="30"/>
      <c r="C416" s="31"/>
      <c r="D416" s="31"/>
      <c r="E416" s="32"/>
      <c r="F416" s="32"/>
      <c r="G416" s="33"/>
      <c r="H416" s="31"/>
      <c r="I416" s="24" t="str">
        <f aca="false">IF(B416="","",YEAR(B416))</f>
        <v/>
      </c>
      <c r="J416" s="34" t="str">
        <f aca="false">IF(B416="","",IF(MONTH(B416)=1,"X",""))</f>
        <v/>
      </c>
      <c r="K416" s="34" t="str">
        <f aca="false">IF(B416="","",IF(MONTH(B416)=2,"X",""))</f>
        <v/>
      </c>
      <c r="L416" s="34" t="str">
        <f aca="false">IF(B416="","",IF(MONTH(B416)=3,"X",""))</f>
        <v/>
      </c>
      <c r="M416" s="34" t="str">
        <f aca="false">IF(B416="","",IF(MONTH(B416)=4,"X",""))</f>
        <v/>
      </c>
      <c r="N416" s="34" t="str">
        <f aca="false">IF(B416="","",IF(MONTH(B416)=5,"X",""))</f>
        <v/>
      </c>
      <c r="O416" s="34" t="str">
        <f aca="false">IF(B416="","",IF(MONTH(B416)=6,"X",""))</f>
        <v/>
      </c>
      <c r="P416" s="34" t="str">
        <f aca="false">IF(B416="","",IF(MONTH(B416)=7,"X",""))</f>
        <v/>
      </c>
      <c r="Q416" s="34" t="str">
        <f aca="false">IF(B416="","",IF(MONTH(B416)=8,"X",""))</f>
        <v/>
      </c>
      <c r="R416" s="34" t="str">
        <f aca="false">IF(B416="","",IF(MONTH(B416)=9,"X",""))</f>
        <v/>
      </c>
      <c r="S416" s="34" t="str">
        <f aca="false">IF(B416="","",IF(MONTH(B416)=10,"X",""))</f>
        <v/>
      </c>
      <c r="T416" s="34" t="str">
        <f aca="false">IF(B416="","",IF(MONTH(B416)=11,"X",""))</f>
        <v/>
      </c>
      <c r="U416" s="34" t="str">
        <f aca="false">IF(B416="","",IF(MONTH(B416)=12,"X",""))</f>
        <v/>
      </c>
      <c r="V416" s="24" t="str">
        <f aca="false">IF(E416="","",COUNTIF($E$5:$E$1000,E416))</f>
        <v/>
      </c>
      <c r="W416" s="35" t="str">
        <f aca="false">IF(E416="","",_xlfn.TEXTJOIN(" + ",TRUE(),IF(COUNTIFS($E$5:$E$1000,E416,$C$5:$C$1000,"Auditoría Interna")&gt;0,"Interna",""),IF(COUNTIFS($E$5:$E$1000,E416,$C$5:$C$1000,"Auditoría Externa")&gt;0,"Externa",""),IF(COUNTIFS($E$5:$E$1000,E416,$C$5:$C$1000,"SSF")&gt;0,"SSF",""),IF(COUNTIFS($E$5:$E$1000,E416,$C$5:$C$1000,"Comité de Supervisión")&gt;0,"Comité Sup.",""),IF(COUNTIFS($E$5:$E$1000,E416,$C$5:$C$1000,"Consejo de Administración")&gt;0,"Consejo",""),IF(COUNTIFS($E$5:$E$1000,E416,$C$5:$C$1000,"Otros")&gt;0,"Otros","")))</f>
        <v/>
      </c>
      <c r="X416" s="24" t="str">
        <f aca="false">IF(E416="","",COUNTIFS($E$5:$E$1000,E416,$AB$5:$AB$1000,AB416,$C$5:$C$1000,"&lt;&gt;"&amp;C416))</f>
        <v/>
      </c>
      <c r="Y416" s="33"/>
      <c r="Z416" s="31"/>
      <c r="AA416" s="33"/>
      <c r="AB416" s="37" t="str">
        <f aca="false">IF(B416="","",YEAR(B416)*100+MONTH(B416))</f>
        <v/>
      </c>
      <c r="AC416" s="37" t="str">
        <f aca="false">IF(AND(E416&lt;&gt;"",E416=Cruce!$C$5),COUNTIF($E$5:E416,E416),"")</f>
        <v/>
      </c>
      <c r="AD416" s="37" t="str">
        <f aca="false">IF(E416="","",C416&amp;"|"&amp;Y416&amp;"|"&amp;IF(B416="","s/f",TEXT(B416,"yyyymmdd")))</f>
        <v/>
      </c>
      <c r="AE416" s="37" t="n">
        <f aca="false">IF(E416="",0,IF(COUNTIFS($E$5:E416,E416,$AD$5:AD416,AD416)=1,1,0))</f>
        <v>0</v>
      </c>
    </row>
    <row r="417" customFormat="false" ht="15" hidden="false" customHeight="true" outlineLevel="0" collapsed="false">
      <c r="A417" s="31"/>
      <c r="B417" s="30"/>
      <c r="C417" s="31"/>
      <c r="D417" s="31"/>
      <c r="E417" s="32"/>
      <c r="F417" s="32"/>
      <c r="G417" s="33"/>
      <c r="H417" s="31"/>
      <c r="I417" s="24" t="str">
        <f aca="false">IF(B417="","",YEAR(B417))</f>
        <v/>
      </c>
      <c r="J417" s="34" t="str">
        <f aca="false">IF(B417="","",IF(MONTH(B417)=1,"X",""))</f>
        <v/>
      </c>
      <c r="K417" s="34" t="str">
        <f aca="false">IF(B417="","",IF(MONTH(B417)=2,"X",""))</f>
        <v/>
      </c>
      <c r="L417" s="34" t="str">
        <f aca="false">IF(B417="","",IF(MONTH(B417)=3,"X",""))</f>
        <v/>
      </c>
      <c r="M417" s="34" t="str">
        <f aca="false">IF(B417="","",IF(MONTH(B417)=4,"X",""))</f>
        <v/>
      </c>
      <c r="N417" s="34" t="str">
        <f aca="false">IF(B417="","",IF(MONTH(B417)=5,"X",""))</f>
        <v/>
      </c>
      <c r="O417" s="34" t="str">
        <f aca="false">IF(B417="","",IF(MONTH(B417)=6,"X",""))</f>
        <v/>
      </c>
      <c r="P417" s="34" t="str">
        <f aca="false">IF(B417="","",IF(MONTH(B417)=7,"X",""))</f>
        <v/>
      </c>
      <c r="Q417" s="34" t="str">
        <f aca="false">IF(B417="","",IF(MONTH(B417)=8,"X",""))</f>
        <v/>
      </c>
      <c r="R417" s="34" t="str">
        <f aca="false">IF(B417="","",IF(MONTH(B417)=9,"X",""))</f>
        <v/>
      </c>
      <c r="S417" s="34" t="str">
        <f aca="false">IF(B417="","",IF(MONTH(B417)=10,"X",""))</f>
        <v/>
      </c>
      <c r="T417" s="34" t="str">
        <f aca="false">IF(B417="","",IF(MONTH(B417)=11,"X",""))</f>
        <v/>
      </c>
      <c r="U417" s="34" t="str">
        <f aca="false">IF(B417="","",IF(MONTH(B417)=12,"X",""))</f>
        <v/>
      </c>
      <c r="V417" s="24" t="str">
        <f aca="false">IF(E417="","",COUNTIF($E$5:$E$1000,E417))</f>
        <v/>
      </c>
      <c r="W417" s="35" t="str">
        <f aca="false">IF(E417="","",_xlfn.TEXTJOIN(" + ",TRUE(),IF(COUNTIFS($E$5:$E$1000,E417,$C$5:$C$1000,"Auditoría Interna")&gt;0,"Interna",""),IF(COUNTIFS($E$5:$E$1000,E417,$C$5:$C$1000,"Auditoría Externa")&gt;0,"Externa",""),IF(COUNTIFS($E$5:$E$1000,E417,$C$5:$C$1000,"SSF")&gt;0,"SSF",""),IF(COUNTIFS($E$5:$E$1000,E417,$C$5:$C$1000,"Comité de Supervisión")&gt;0,"Comité Sup.",""),IF(COUNTIFS($E$5:$E$1000,E417,$C$5:$C$1000,"Consejo de Administración")&gt;0,"Consejo",""),IF(COUNTIFS($E$5:$E$1000,E417,$C$5:$C$1000,"Otros")&gt;0,"Otros","")))</f>
        <v/>
      </c>
      <c r="X417" s="24" t="str">
        <f aca="false">IF(E417="","",COUNTIFS($E$5:$E$1000,E417,$AB$5:$AB$1000,AB417,$C$5:$C$1000,"&lt;&gt;"&amp;C417))</f>
        <v/>
      </c>
      <c r="Y417" s="33"/>
      <c r="Z417" s="31"/>
      <c r="AA417" s="33"/>
      <c r="AB417" s="37" t="str">
        <f aca="false">IF(B417="","",YEAR(B417)*100+MONTH(B417))</f>
        <v/>
      </c>
      <c r="AC417" s="37" t="str">
        <f aca="false">IF(AND(E417&lt;&gt;"",E417=Cruce!$C$5),COUNTIF($E$5:E417,E417),"")</f>
        <v/>
      </c>
      <c r="AD417" s="37" t="str">
        <f aca="false">IF(E417="","",C417&amp;"|"&amp;Y417&amp;"|"&amp;IF(B417="","s/f",TEXT(B417,"yyyymmdd")))</f>
        <v/>
      </c>
      <c r="AE417" s="37" t="n">
        <f aca="false">IF(E417="",0,IF(COUNTIFS($E$5:E417,E417,$AD$5:AD417,AD417)=1,1,0))</f>
        <v>0</v>
      </c>
    </row>
    <row r="418" customFormat="false" ht="15" hidden="false" customHeight="true" outlineLevel="0" collapsed="false">
      <c r="A418" s="31"/>
      <c r="B418" s="30"/>
      <c r="C418" s="31"/>
      <c r="D418" s="31"/>
      <c r="E418" s="32"/>
      <c r="F418" s="32"/>
      <c r="G418" s="33"/>
      <c r="H418" s="31"/>
      <c r="I418" s="24" t="str">
        <f aca="false">IF(B418="","",YEAR(B418))</f>
        <v/>
      </c>
      <c r="J418" s="34" t="str">
        <f aca="false">IF(B418="","",IF(MONTH(B418)=1,"X",""))</f>
        <v/>
      </c>
      <c r="K418" s="34" t="str">
        <f aca="false">IF(B418="","",IF(MONTH(B418)=2,"X",""))</f>
        <v/>
      </c>
      <c r="L418" s="34" t="str">
        <f aca="false">IF(B418="","",IF(MONTH(B418)=3,"X",""))</f>
        <v/>
      </c>
      <c r="M418" s="34" t="str">
        <f aca="false">IF(B418="","",IF(MONTH(B418)=4,"X",""))</f>
        <v/>
      </c>
      <c r="N418" s="34" t="str">
        <f aca="false">IF(B418="","",IF(MONTH(B418)=5,"X",""))</f>
        <v/>
      </c>
      <c r="O418" s="34" t="str">
        <f aca="false">IF(B418="","",IF(MONTH(B418)=6,"X",""))</f>
        <v/>
      </c>
      <c r="P418" s="34" t="str">
        <f aca="false">IF(B418="","",IF(MONTH(B418)=7,"X",""))</f>
        <v/>
      </c>
      <c r="Q418" s="34" t="str">
        <f aca="false">IF(B418="","",IF(MONTH(B418)=8,"X",""))</f>
        <v/>
      </c>
      <c r="R418" s="34" t="str">
        <f aca="false">IF(B418="","",IF(MONTH(B418)=9,"X",""))</f>
        <v/>
      </c>
      <c r="S418" s="34" t="str">
        <f aca="false">IF(B418="","",IF(MONTH(B418)=10,"X",""))</f>
        <v/>
      </c>
      <c r="T418" s="34" t="str">
        <f aca="false">IF(B418="","",IF(MONTH(B418)=11,"X",""))</f>
        <v/>
      </c>
      <c r="U418" s="34" t="str">
        <f aca="false">IF(B418="","",IF(MONTH(B418)=12,"X",""))</f>
        <v/>
      </c>
      <c r="V418" s="24" t="str">
        <f aca="false">IF(E418="","",COUNTIF($E$5:$E$1000,E418))</f>
        <v/>
      </c>
      <c r="W418" s="35" t="str">
        <f aca="false">IF(E418="","",_xlfn.TEXTJOIN(" + ",TRUE(),IF(COUNTIFS($E$5:$E$1000,E418,$C$5:$C$1000,"Auditoría Interna")&gt;0,"Interna",""),IF(COUNTIFS($E$5:$E$1000,E418,$C$5:$C$1000,"Auditoría Externa")&gt;0,"Externa",""),IF(COUNTIFS($E$5:$E$1000,E418,$C$5:$C$1000,"SSF")&gt;0,"SSF",""),IF(COUNTIFS($E$5:$E$1000,E418,$C$5:$C$1000,"Comité de Supervisión")&gt;0,"Comité Sup.",""),IF(COUNTIFS($E$5:$E$1000,E418,$C$5:$C$1000,"Consejo de Administración")&gt;0,"Consejo",""),IF(COUNTIFS($E$5:$E$1000,E418,$C$5:$C$1000,"Otros")&gt;0,"Otros","")))</f>
        <v/>
      </c>
      <c r="X418" s="24" t="str">
        <f aca="false">IF(E418="","",COUNTIFS($E$5:$E$1000,E418,$AB$5:$AB$1000,AB418,$C$5:$C$1000,"&lt;&gt;"&amp;C418))</f>
        <v/>
      </c>
      <c r="Y418" s="33"/>
      <c r="Z418" s="31"/>
      <c r="AA418" s="33"/>
      <c r="AB418" s="37" t="str">
        <f aca="false">IF(B418="","",YEAR(B418)*100+MONTH(B418))</f>
        <v/>
      </c>
      <c r="AC418" s="37" t="str">
        <f aca="false">IF(AND(E418&lt;&gt;"",E418=Cruce!$C$5),COUNTIF($E$5:E418,E418),"")</f>
        <v/>
      </c>
      <c r="AD418" s="37" t="str">
        <f aca="false">IF(E418="","",C418&amp;"|"&amp;Y418&amp;"|"&amp;IF(B418="","s/f",TEXT(B418,"yyyymmdd")))</f>
        <v/>
      </c>
      <c r="AE418" s="37" t="n">
        <f aca="false">IF(E418="",0,IF(COUNTIFS($E$5:E418,E418,$AD$5:AD418,AD418)=1,1,0))</f>
        <v>0</v>
      </c>
    </row>
    <row r="419" customFormat="false" ht="15" hidden="false" customHeight="true" outlineLevel="0" collapsed="false">
      <c r="A419" s="31"/>
      <c r="B419" s="30"/>
      <c r="C419" s="31"/>
      <c r="D419" s="31"/>
      <c r="E419" s="32"/>
      <c r="F419" s="32"/>
      <c r="G419" s="33"/>
      <c r="H419" s="31"/>
      <c r="I419" s="24" t="str">
        <f aca="false">IF(B419="","",YEAR(B419))</f>
        <v/>
      </c>
      <c r="J419" s="34" t="str">
        <f aca="false">IF(B419="","",IF(MONTH(B419)=1,"X",""))</f>
        <v/>
      </c>
      <c r="K419" s="34" t="str">
        <f aca="false">IF(B419="","",IF(MONTH(B419)=2,"X",""))</f>
        <v/>
      </c>
      <c r="L419" s="34" t="str">
        <f aca="false">IF(B419="","",IF(MONTH(B419)=3,"X",""))</f>
        <v/>
      </c>
      <c r="M419" s="34" t="str">
        <f aca="false">IF(B419="","",IF(MONTH(B419)=4,"X",""))</f>
        <v/>
      </c>
      <c r="N419" s="34" t="str">
        <f aca="false">IF(B419="","",IF(MONTH(B419)=5,"X",""))</f>
        <v/>
      </c>
      <c r="O419" s="34" t="str">
        <f aca="false">IF(B419="","",IF(MONTH(B419)=6,"X",""))</f>
        <v/>
      </c>
      <c r="P419" s="34" t="str">
        <f aca="false">IF(B419="","",IF(MONTH(B419)=7,"X",""))</f>
        <v/>
      </c>
      <c r="Q419" s="34" t="str">
        <f aca="false">IF(B419="","",IF(MONTH(B419)=8,"X",""))</f>
        <v/>
      </c>
      <c r="R419" s="34" t="str">
        <f aca="false">IF(B419="","",IF(MONTH(B419)=9,"X",""))</f>
        <v/>
      </c>
      <c r="S419" s="34" t="str">
        <f aca="false">IF(B419="","",IF(MONTH(B419)=10,"X",""))</f>
        <v/>
      </c>
      <c r="T419" s="34" t="str">
        <f aca="false">IF(B419="","",IF(MONTH(B419)=11,"X",""))</f>
        <v/>
      </c>
      <c r="U419" s="34" t="str">
        <f aca="false">IF(B419="","",IF(MONTH(B419)=12,"X",""))</f>
        <v/>
      </c>
      <c r="V419" s="24" t="str">
        <f aca="false">IF(E419="","",COUNTIF($E$5:$E$1000,E419))</f>
        <v/>
      </c>
      <c r="W419" s="35" t="str">
        <f aca="false">IF(E419="","",_xlfn.TEXTJOIN(" + ",TRUE(),IF(COUNTIFS($E$5:$E$1000,E419,$C$5:$C$1000,"Auditoría Interna")&gt;0,"Interna",""),IF(COUNTIFS($E$5:$E$1000,E419,$C$5:$C$1000,"Auditoría Externa")&gt;0,"Externa",""),IF(COUNTIFS($E$5:$E$1000,E419,$C$5:$C$1000,"SSF")&gt;0,"SSF",""),IF(COUNTIFS($E$5:$E$1000,E419,$C$5:$C$1000,"Comité de Supervisión")&gt;0,"Comité Sup.",""),IF(COUNTIFS($E$5:$E$1000,E419,$C$5:$C$1000,"Consejo de Administración")&gt;0,"Consejo",""),IF(COUNTIFS($E$5:$E$1000,E419,$C$5:$C$1000,"Otros")&gt;0,"Otros","")))</f>
        <v/>
      </c>
      <c r="X419" s="24" t="str">
        <f aca="false">IF(E419="","",COUNTIFS($E$5:$E$1000,E419,$AB$5:$AB$1000,AB419,$C$5:$C$1000,"&lt;&gt;"&amp;C419))</f>
        <v/>
      </c>
      <c r="Y419" s="33"/>
      <c r="Z419" s="31"/>
      <c r="AA419" s="33"/>
      <c r="AB419" s="37" t="str">
        <f aca="false">IF(B419="","",YEAR(B419)*100+MONTH(B419))</f>
        <v/>
      </c>
      <c r="AC419" s="37" t="str">
        <f aca="false">IF(AND(E419&lt;&gt;"",E419=Cruce!$C$5),COUNTIF($E$5:E419,E419),"")</f>
        <v/>
      </c>
      <c r="AD419" s="37" t="str">
        <f aca="false">IF(E419="","",C419&amp;"|"&amp;Y419&amp;"|"&amp;IF(B419="","s/f",TEXT(B419,"yyyymmdd")))</f>
        <v/>
      </c>
      <c r="AE419" s="37" t="n">
        <f aca="false">IF(E419="",0,IF(COUNTIFS($E$5:E419,E419,$AD$5:AD419,AD419)=1,1,0))</f>
        <v>0</v>
      </c>
    </row>
    <row r="420" customFormat="false" ht="15" hidden="false" customHeight="true" outlineLevel="0" collapsed="false">
      <c r="A420" s="31"/>
      <c r="B420" s="30"/>
      <c r="C420" s="31"/>
      <c r="D420" s="31"/>
      <c r="E420" s="32"/>
      <c r="F420" s="32"/>
      <c r="G420" s="33"/>
      <c r="H420" s="31"/>
      <c r="I420" s="24" t="str">
        <f aca="false">IF(B420="","",YEAR(B420))</f>
        <v/>
      </c>
      <c r="J420" s="34" t="str">
        <f aca="false">IF(B420="","",IF(MONTH(B420)=1,"X",""))</f>
        <v/>
      </c>
      <c r="K420" s="34" t="str">
        <f aca="false">IF(B420="","",IF(MONTH(B420)=2,"X",""))</f>
        <v/>
      </c>
      <c r="L420" s="34" t="str">
        <f aca="false">IF(B420="","",IF(MONTH(B420)=3,"X",""))</f>
        <v/>
      </c>
      <c r="M420" s="34" t="str">
        <f aca="false">IF(B420="","",IF(MONTH(B420)=4,"X",""))</f>
        <v/>
      </c>
      <c r="N420" s="34" t="str">
        <f aca="false">IF(B420="","",IF(MONTH(B420)=5,"X",""))</f>
        <v/>
      </c>
      <c r="O420" s="34" t="str">
        <f aca="false">IF(B420="","",IF(MONTH(B420)=6,"X",""))</f>
        <v/>
      </c>
      <c r="P420" s="34" t="str">
        <f aca="false">IF(B420="","",IF(MONTH(B420)=7,"X",""))</f>
        <v/>
      </c>
      <c r="Q420" s="34" t="str">
        <f aca="false">IF(B420="","",IF(MONTH(B420)=8,"X",""))</f>
        <v/>
      </c>
      <c r="R420" s="34" t="str">
        <f aca="false">IF(B420="","",IF(MONTH(B420)=9,"X",""))</f>
        <v/>
      </c>
      <c r="S420" s="34" t="str">
        <f aca="false">IF(B420="","",IF(MONTH(B420)=10,"X",""))</f>
        <v/>
      </c>
      <c r="T420" s="34" t="str">
        <f aca="false">IF(B420="","",IF(MONTH(B420)=11,"X",""))</f>
        <v/>
      </c>
      <c r="U420" s="34" t="str">
        <f aca="false">IF(B420="","",IF(MONTH(B420)=12,"X",""))</f>
        <v/>
      </c>
      <c r="V420" s="24" t="str">
        <f aca="false">IF(E420="","",COUNTIF($E$5:$E$1000,E420))</f>
        <v/>
      </c>
      <c r="W420" s="35" t="str">
        <f aca="false">IF(E420="","",_xlfn.TEXTJOIN(" + ",TRUE(),IF(COUNTIFS($E$5:$E$1000,E420,$C$5:$C$1000,"Auditoría Interna")&gt;0,"Interna",""),IF(COUNTIFS($E$5:$E$1000,E420,$C$5:$C$1000,"Auditoría Externa")&gt;0,"Externa",""),IF(COUNTIFS($E$5:$E$1000,E420,$C$5:$C$1000,"SSF")&gt;0,"SSF",""),IF(COUNTIFS($E$5:$E$1000,E420,$C$5:$C$1000,"Comité de Supervisión")&gt;0,"Comité Sup.",""),IF(COUNTIFS($E$5:$E$1000,E420,$C$5:$C$1000,"Consejo de Administración")&gt;0,"Consejo",""),IF(COUNTIFS($E$5:$E$1000,E420,$C$5:$C$1000,"Otros")&gt;0,"Otros","")))</f>
        <v/>
      </c>
      <c r="X420" s="24" t="str">
        <f aca="false">IF(E420="","",COUNTIFS($E$5:$E$1000,E420,$AB$5:$AB$1000,AB420,$C$5:$C$1000,"&lt;&gt;"&amp;C420))</f>
        <v/>
      </c>
      <c r="Y420" s="33"/>
      <c r="Z420" s="31"/>
      <c r="AA420" s="33"/>
      <c r="AB420" s="37" t="str">
        <f aca="false">IF(B420="","",YEAR(B420)*100+MONTH(B420))</f>
        <v/>
      </c>
      <c r="AC420" s="37" t="str">
        <f aca="false">IF(AND(E420&lt;&gt;"",E420=Cruce!$C$5),COUNTIF($E$5:E420,E420),"")</f>
        <v/>
      </c>
      <c r="AD420" s="37" t="str">
        <f aca="false">IF(E420="","",C420&amp;"|"&amp;Y420&amp;"|"&amp;IF(B420="","s/f",TEXT(B420,"yyyymmdd")))</f>
        <v/>
      </c>
      <c r="AE420" s="37" t="n">
        <f aca="false">IF(E420="",0,IF(COUNTIFS($E$5:E420,E420,$AD$5:AD420,AD420)=1,1,0))</f>
        <v>0</v>
      </c>
    </row>
    <row r="421" customFormat="false" ht="15" hidden="false" customHeight="true" outlineLevel="0" collapsed="false">
      <c r="A421" s="31"/>
      <c r="B421" s="30"/>
      <c r="C421" s="31"/>
      <c r="D421" s="31"/>
      <c r="E421" s="32"/>
      <c r="F421" s="32"/>
      <c r="G421" s="33"/>
      <c r="H421" s="31"/>
      <c r="I421" s="24" t="str">
        <f aca="false">IF(B421="","",YEAR(B421))</f>
        <v/>
      </c>
      <c r="J421" s="34" t="str">
        <f aca="false">IF(B421="","",IF(MONTH(B421)=1,"X",""))</f>
        <v/>
      </c>
      <c r="K421" s="34" t="str">
        <f aca="false">IF(B421="","",IF(MONTH(B421)=2,"X",""))</f>
        <v/>
      </c>
      <c r="L421" s="34" t="str">
        <f aca="false">IF(B421="","",IF(MONTH(B421)=3,"X",""))</f>
        <v/>
      </c>
      <c r="M421" s="34" t="str">
        <f aca="false">IF(B421="","",IF(MONTH(B421)=4,"X",""))</f>
        <v/>
      </c>
      <c r="N421" s="34" t="str">
        <f aca="false">IF(B421="","",IF(MONTH(B421)=5,"X",""))</f>
        <v/>
      </c>
      <c r="O421" s="34" t="str">
        <f aca="false">IF(B421="","",IF(MONTH(B421)=6,"X",""))</f>
        <v/>
      </c>
      <c r="P421" s="34" t="str">
        <f aca="false">IF(B421="","",IF(MONTH(B421)=7,"X",""))</f>
        <v/>
      </c>
      <c r="Q421" s="34" t="str">
        <f aca="false">IF(B421="","",IF(MONTH(B421)=8,"X",""))</f>
        <v/>
      </c>
      <c r="R421" s="34" t="str">
        <f aca="false">IF(B421="","",IF(MONTH(B421)=9,"X",""))</f>
        <v/>
      </c>
      <c r="S421" s="34" t="str">
        <f aca="false">IF(B421="","",IF(MONTH(B421)=10,"X",""))</f>
        <v/>
      </c>
      <c r="T421" s="34" t="str">
        <f aca="false">IF(B421="","",IF(MONTH(B421)=11,"X",""))</f>
        <v/>
      </c>
      <c r="U421" s="34" t="str">
        <f aca="false">IF(B421="","",IF(MONTH(B421)=12,"X",""))</f>
        <v/>
      </c>
      <c r="V421" s="24" t="str">
        <f aca="false">IF(E421="","",COUNTIF($E$5:$E$1000,E421))</f>
        <v/>
      </c>
      <c r="W421" s="35" t="str">
        <f aca="false">IF(E421="","",_xlfn.TEXTJOIN(" + ",TRUE(),IF(COUNTIFS($E$5:$E$1000,E421,$C$5:$C$1000,"Auditoría Interna")&gt;0,"Interna",""),IF(COUNTIFS($E$5:$E$1000,E421,$C$5:$C$1000,"Auditoría Externa")&gt;0,"Externa",""),IF(COUNTIFS($E$5:$E$1000,E421,$C$5:$C$1000,"SSF")&gt;0,"SSF",""),IF(COUNTIFS($E$5:$E$1000,E421,$C$5:$C$1000,"Comité de Supervisión")&gt;0,"Comité Sup.",""),IF(COUNTIFS($E$5:$E$1000,E421,$C$5:$C$1000,"Consejo de Administración")&gt;0,"Consejo",""),IF(COUNTIFS($E$5:$E$1000,E421,$C$5:$C$1000,"Otros")&gt;0,"Otros","")))</f>
        <v/>
      </c>
      <c r="X421" s="24" t="str">
        <f aca="false">IF(E421="","",COUNTIFS($E$5:$E$1000,E421,$AB$5:$AB$1000,AB421,$C$5:$C$1000,"&lt;&gt;"&amp;C421))</f>
        <v/>
      </c>
      <c r="Y421" s="33"/>
      <c r="Z421" s="31"/>
      <c r="AA421" s="33"/>
      <c r="AB421" s="37" t="str">
        <f aca="false">IF(B421="","",YEAR(B421)*100+MONTH(B421))</f>
        <v/>
      </c>
      <c r="AC421" s="37" t="str">
        <f aca="false">IF(AND(E421&lt;&gt;"",E421=Cruce!$C$5),COUNTIF($E$5:E421,E421),"")</f>
        <v/>
      </c>
      <c r="AD421" s="37" t="str">
        <f aca="false">IF(E421="","",C421&amp;"|"&amp;Y421&amp;"|"&amp;IF(B421="","s/f",TEXT(B421,"yyyymmdd")))</f>
        <v/>
      </c>
      <c r="AE421" s="37" t="n">
        <f aca="false">IF(E421="",0,IF(COUNTIFS($E$5:E421,E421,$AD$5:AD421,AD421)=1,1,0))</f>
        <v>0</v>
      </c>
    </row>
    <row r="422" customFormat="false" ht="15" hidden="false" customHeight="true" outlineLevel="0" collapsed="false">
      <c r="A422" s="31"/>
      <c r="B422" s="30"/>
      <c r="C422" s="31"/>
      <c r="D422" s="31"/>
      <c r="E422" s="32"/>
      <c r="F422" s="32"/>
      <c r="G422" s="33"/>
      <c r="H422" s="31"/>
      <c r="I422" s="24" t="str">
        <f aca="false">IF(B422="","",YEAR(B422))</f>
        <v/>
      </c>
      <c r="J422" s="34" t="str">
        <f aca="false">IF(B422="","",IF(MONTH(B422)=1,"X",""))</f>
        <v/>
      </c>
      <c r="K422" s="34" t="str">
        <f aca="false">IF(B422="","",IF(MONTH(B422)=2,"X",""))</f>
        <v/>
      </c>
      <c r="L422" s="34" t="str">
        <f aca="false">IF(B422="","",IF(MONTH(B422)=3,"X",""))</f>
        <v/>
      </c>
      <c r="M422" s="34" t="str">
        <f aca="false">IF(B422="","",IF(MONTH(B422)=4,"X",""))</f>
        <v/>
      </c>
      <c r="N422" s="34" t="str">
        <f aca="false">IF(B422="","",IF(MONTH(B422)=5,"X",""))</f>
        <v/>
      </c>
      <c r="O422" s="34" t="str">
        <f aca="false">IF(B422="","",IF(MONTH(B422)=6,"X",""))</f>
        <v/>
      </c>
      <c r="P422" s="34" t="str">
        <f aca="false">IF(B422="","",IF(MONTH(B422)=7,"X",""))</f>
        <v/>
      </c>
      <c r="Q422" s="34" t="str">
        <f aca="false">IF(B422="","",IF(MONTH(B422)=8,"X",""))</f>
        <v/>
      </c>
      <c r="R422" s="34" t="str">
        <f aca="false">IF(B422="","",IF(MONTH(B422)=9,"X",""))</f>
        <v/>
      </c>
      <c r="S422" s="34" t="str">
        <f aca="false">IF(B422="","",IF(MONTH(B422)=10,"X",""))</f>
        <v/>
      </c>
      <c r="T422" s="34" t="str">
        <f aca="false">IF(B422="","",IF(MONTH(B422)=11,"X",""))</f>
        <v/>
      </c>
      <c r="U422" s="34" t="str">
        <f aca="false">IF(B422="","",IF(MONTH(B422)=12,"X",""))</f>
        <v/>
      </c>
      <c r="V422" s="24" t="str">
        <f aca="false">IF(E422="","",COUNTIF($E$5:$E$1000,E422))</f>
        <v/>
      </c>
      <c r="W422" s="35" t="str">
        <f aca="false">IF(E422="","",_xlfn.TEXTJOIN(" + ",TRUE(),IF(COUNTIFS($E$5:$E$1000,E422,$C$5:$C$1000,"Auditoría Interna")&gt;0,"Interna",""),IF(COUNTIFS($E$5:$E$1000,E422,$C$5:$C$1000,"Auditoría Externa")&gt;0,"Externa",""),IF(COUNTIFS($E$5:$E$1000,E422,$C$5:$C$1000,"SSF")&gt;0,"SSF",""),IF(COUNTIFS($E$5:$E$1000,E422,$C$5:$C$1000,"Comité de Supervisión")&gt;0,"Comité Sup.",""),IF(COUNTIFS($E$5:$E$1000,E422,$C$5:$C$1000,"Consejo de Administración")&gt;0,"Consejo",""),IF(COUNTIFS($E$5:$E$1000,E422,$C$5:$C$1000,"Otros")&gt;0,"Otros","")))</f>
        <v/>
      </c>
      <c r="X422" s="24" t="str">
        <f aca="false">IF(E422="","",COUNTIFS($E$5:$E$1000,E422,$AB$5:$AB$1000,AB422,$C$5:$C$1000,"&lt;&gt;"&amp;C422))</f>
        <v/>
      </c>
      <c r="Y422" s="33"/>
      <c r="Z422" s="31"/>
      <c r="AA422" s="33"/>
      <c r="AB422" s="37" t="str">
        <f aca="false">IF(B422="","",YEAR(B422)*100+MONTH(B422))</f>
        <v/>
      </c>
      <c r="AC422" s="37" t="str">
        <f aca="false">IF(AND(E422&lt;&gt;"",E422=Cruce!$C$5),COUNTIF($E$5:E422,E422),"")</f>
        <v/>
      </c>
      <c r="AD422" s="37" t="str">
        <f aca="false">IF(E422="","",C422&amp;"|"&amp;Y422&amp;"|"&amp;IF(B422="","s/f",TEXT(B422,"yyyymmdd")))</f>
        <v/>
      </c>
      <c r="AE422" s="37" t="n">
        <f aca="false">IF(E422="",0,IF(COUNTIFS($E$5:E422,E422,$AD$5:AD422,AD422)=1,1,0))</f>
        <v>0</v>
      </c>
    </row>
    <row r="423" customFormat="false" ht="15" hidden="false" customHeight="true" outlineLevel="0" collapsed="false">
      <c r="A423" s="31"/>
      <c r="B423" s="30"/>
      <c r="C423" s="31"/>
      <c r="D423" s="31"/>
      <c r="E423" s="32"/>
      <c r="F423" s="32"/>
      <c r="G423" s="33"/>
      <c r="H423" s="31"/>
      <c r="I423" s="24" t="str">
        <f aca="false">IF(B423="","",YEAR(B423))</f>
        <v/>
      </c>
      <c r="J423" s="34" t="str">
        <f aca="false">IF(B423="","",IF(MONTH(B423)=1,"X",""))</f>
        <v/>
      </c>
      <c r="K423" s="34" t="str">
        <f aca="false">IF(B423="","",IF(MONTH(B423)=2,"X",""))</f>
        <v/>
      </c>
      <c r="L423" s="34" t="str">
        <f aca="false">IF(B423="","",IF(MONTH(B423)=3,"X",""))</f>
        <v/>
      </c>
      <c r="M423" s="34" t="str">
        <f aca="false">IF(B423="","",IF(MONTH(B423)=4,"X",""))</f>
        <v/>
      </c>
      <c r="N423" s="34" t="str">
        <f aca="false">IF(B423="","",IF(MONTH(B423)=5,"X",""))</f>
        <v/>
      </c>
      <c r="O423" s="34" t="str">
        <f aca="false">IF(B423="","",IF(MONTH(B423)=6,"X",""))</f>
        <v/>
      </c>
      <c r="P423" s="34" t="str">
        <f aca="false">IF(B423="","",IF(MONTH(B423)=7,"X",""))</f>
        <v/>
      </c>
      <c r="Q423" s="34" t="str">
        <f aca="false">IF(B423="","",IF(MONTH(B423)=8,"X",""))</f>
        <v/>
      </c>
      <c r="R423" s="34" t="str">
        <f aca="false">IF(B423="","",IF(MONTH(B423)=9,"X",""))</f>
        <v/>
      </c>
      <c r="S423" s="34" t="str">
        <f aca="false">IF(B423="","",IF(MONTH(B423)=10,"X",""))</f>
        <v/>
      </c>
      <c r="T423" s="34" t="str">
        <f aca="false">IF(B423="","",IF(MONTH(B423)=11,"X",""))</f>
        <v/>
      </c>
      <c r="U423" s="34" t="str">
        <f aca="false">IF(B423="","",IF(MONTH(B423)=12,"X",""))</f>
        <v/>
      </c>
      <c r="V423" s="24" t="str">
        <f aca="false">IF(E423="","",COUNTIF($E$5:$E$1000,E423))</f>
        <v/>
      </c>
      <c r="W423" s="35" t="str">
        <f aca="false">IF(E423="","",_xlfn.TEXTJOIN(" + ",TRUE(),IF(COUNTIFS($E$5:$E$1000,E423,$C$5:$C$1000,"Auditoría Interna")&gt;0,"Interna",""),IF(COUNTIFS($E$5:$E$1000,E423,$C$5:$C$1000,"Auditoría Externa")&gt;0,"Externa",""),IF(COUNTIFS($E$5:$E$1000,E423,$C$5:$C$1000,"SSF")&gt;0,"SSF",""),IF(COUNTIFS($E$5:$E$1000,E423,$C$5:$C$1000,"Comité de Supervisión")&gt;0,"Comité Sup.",""),IF(COUNTIFS($E$5:$E$1000,E423,$C$5:$C$1000,"Consejo de Administración")&gt;0,"Consejo",""),IF(COUNTIFS($E$5:$E$1000,E423,$C$5:$C$1000,"Otros")&gt;0,"Otros","")))</f>
        <v/>
      </c>
      <c r="X423" s="24" t="str">
        <f aca="false">IF(E423="","",COUNTIFS($E$5:$E$1000,E423,$AB$5:$AB$1000,AB423,$C$5:$C$1000,"&lt;&gt;"&amp;C423))</f>
        <v/>
      </c>
      <c r="Y423" s="33"/>
      <c r="Z423" s="31"/>
      <c r="AA423" s="33"/>
      <c r="AB423" s="37" t="str">
        <f aca="false">IF(B423="","",YEAR(B423)*100+MONTH(B423))</f>
        <v/>
      </c>
      <c r="AC423" s="37" t="str">
        <f aca="false">IF(AND(E423&lt;&gt;"",E423=Cruce!$C$5),COUNTIF($E$5:E423,E423),"")</f>
        <v/>
      </c>
      <c r="AD423" s="37" t="str">
        <f aca="false">IF(E423="","",C423&amp;"|"&amp;Y423&amp;"|"&amp;IF(B423="","s/f",TEXT(B423,"yyyymmdd")))</f>
        <v/>
      </c>
      <c r="AE423" s="37" t="n">
        <f aca="false">IF(E423="",0,IF(COUNTIFS($E$5:E423,E423,$AD$5:AD423,AD423)=1,1,0))</f>
        <v>0</v>
      </c>
    </row>
    <row r="424" customFormat="false" ht="15" hidden="false" customHeight="true" outlineLevel="0" collapsed="false">
      <c r="A424" s="31"/>
      <c r="B424" s="30"/>
      <c r="C424" s="31"/>
      <c r="D424" s="31"/>
      <c r="E424" s="32"/>
      <c r="F424" s="32"/>
      <c r="G424" s="33"/>
      <c r="H424" s="31"/>
      <c r="I424" s="24" t="str">
        <f aca="false">IF(B424="","",YEAR(B424))</f>
        <v/>
      </c>
      <c r="J424" s="34" t="str">
        <f aca="false">IF(B424="","",IF(MONTH(B424)=1,"X",""))</f>
        <v/>
      </c>
      <c r="K424" s="34" t="str">
        <f aca="false">IF(B424="","",IF(MONTH(B424)=2,"X",""))</f>
        <v/>
      </c>
      <c r="L424" s="34" t="str">
        <f aca="false">IF(B424="","",IF(MONTH(B424)=3,"X",""))</f>
        <v/>
      </c>
      <c r="M424" s="34" t="str">
        <f aca="false">IF(B424="","",IF(MONTH(B424)=4,"X",""))</f>
        <v/>
      </c>
      <c r="N424" s="34" t="str">
        <f aca="false">IF(B424="","",IF(MONTH(B424)=5,"X",""))</f>
        <v/>
      </c>
      <c r="O424" s="34" t="str">
        <f aca="false">IF(B424="","",IF(MONTH(B424)=6,"X",""))</f>
        <v/>
      </c>
      <c r="P424" s="34" t="str">
        <f aca="false">IF(B424="","",IF(MONTH(B424)=7,"X",""))</f>
        <v/>
      </c>
      <c r="Q424" s="34" t="str">
        <f aca="false">IF(B424="","",IF(MONTH(B424)=8,"X",""))</f>
        <v/>
      </c>
      <c r="R424" s="34" t="str">
        <f aca="false">IF(B424="","",IF(MONTH(B424)=9,"X",""))</f>
        <v/>
      </c>
      <c r="S424" s="34" t="str">
        <f aca="false">IF(B424="","",IF(MONTH(B424)=10,"X",""))</f>
        <v/>
      </c>
      <c r="T424" s="34" t="str">
        <f aca="false">IF(B424="","",IF(MONTH(B424)=11,"X",""))</f>
        <v/>
      </c>
      <c r="U424" s="34" t="str">
        <f aca="false">IF(B424="","",IF(MONTH(B424)=12,"X",""))</f>
        <v/>
      </c>
      <c r="V424" s="24" t="str">
        <f aca="false">IF(E424="","",COUNTIF($E$5:$E$1000,E424))</f>
        <v/>
      </c>
      <c r="W424" s="35" t="str">
        <f aca="false">IF(E424="","",_xlfn.TEXTJOIN(" + ",TRUE(),IF(COUNTIFS($E$5:$E$1000,E424,$C$5:$C$1000,"Auditoría Interna")&gt;0,"Interna",""),IF(COUNTIFS($E$5:$E$1000,E424,$C$5:$C$1000,"Auditoría Externa")&gt;0,"Externa",""),IF(COUNTIFS($E$5:$E$1000,E424,$C$5:$C$1000,"SSF")&gt;0,"SSF",""),IF(COUNTIFS($E$5:$E$1000,E424,$C$5:$C$1000,"Comité de Supervisión")&gt;0,"Comité Sup.",""),IF(COUNTIFS($E$5:$E$1000,E424,$C$5:$C$1000,"Consejo de Administración")&gt;0,"Consejo",""),IF(COUNTIFS($E$5:$E$1000,E424,$C$5:$C$1000,"Otros")&gt;0,"Otros","")))</f>
        <v/>
      </c>
      <c r="X424" s="24" t="str">
        <f aca="false">IF(E424="","",COUNTIFS($E$5:$E$1000,E424,$AB$5:$AB$1000,AB424,$C$5:$C$1000,"&lt;&gt;"&amp;C424))</f>
        <v/>
      </c>
      <c r="Y424" s="33"/>
      <c r="Z424" s="31"/>
      <c r="AA424" s="33"/>
      <c r="AB424" s="37" t="str">
        <f aca="false">IF(B424="","",YEAR(B424)*100+MONTH(B424))</f>
        <v/>
      </c>
      <c r="AC424" s="37" t="str">
        <f aca="false">IF(AND(E424&lt;&gt;"",E424=Cruce!$C$5),COUNTIF($E$5:E424,E424),"")</f>
        <v/>
      </c>
      <c r="AD424" s="37" t="str">
        <f aca="false">IF(E424="","",C424&amp;"|"&amp;Y424&amp;"|"&amp;IF(B424="","s/f",TEXT(B424,"yyyymmdd")))</f>
        <v/>
      </c>
      <c r="AE424" s="37" t="n">
        <f aca="false">IF(E424="",0,IF(COUNTIFS($E$5:E424,E424,$AD$5:AD424,AD424)=1,1,0))</f>
        <v>0</v>
      </c>
    </row>
    <row r="425" customFormat="false" ht="15" hidden="false" customHeight="true" outlineLevel="0" collapsed="false">
      <c r="A425" s="31"/>
      <c r="B425" s="30"/>
      <c r="C425" s="31"/>
      <c r="D425" s="31"/>
      <c r="E425" s="32"/>
      <c r="F425" s="32"/>
      <c r="G425" s="33"/>
      <c r="H425" s="31"/>
      <c r="I425" s="24" t="str">
        <f aca="false">IF(B425="","",YEAR(B425))</f>
        <v/>
      </c>
      <c r="J425" s="34" t="str">
        <f aca="false">IF(B425="","",IF(MONTH(B425)=1,"X",""))</f>
        <v/>
      </c>
      <c r="K425" s="34" t="str">
        <f aca="false">IF(B425="","",IF(MONTH(B425)=2,"X",""))</f>
        <v/>
      </c>
      <c r="L425" s="34" t="str">
        <f aca="false">IF(B425="","",IF(MONTH(B425)=3,"X",""))</f>
        <v/>
      </c>
      <c r="M425" s="34" t="str">
        <f aca="false">IF(B425="","",IF(MONTH(B425)=4,"X",""))</f>
        <v/>
      </c>
      <c r="N425" s="34" t="str">
        <f aca="false">IF(B425="","",IF(MONTH(B425)=5,"X",""))</f>
        <v/>
      </c>
      <c r="O425" s="34" t="str">
        <f aca="false">IF(B425="","",IF(MONTH(B425)=6,"X",""))</f>
        <v/>
      </c>
      <c r="P425" s="34" t="str">
        <f aca="false">IF(B425="","",IF(MONTH(B425)=7,"X",""))</f>
        <v/>
      </c>
      <c r="Q425" s="34" t="str">
        <f aca="false">IF(B425="","",IF(MONTH(B425)=8,"X",""))</f>
        <v/>
      </c>
      <c r="R425" s="34" t="str">
        <f aca="false">IF(B425="","",IF(MONTH(B425)=9,"X",""))</f>
        <v/>
      </c>
      <c r="S425" s="34" t="str">
        <f aca="false">IF(B425="","",IF(MONTH(B425)=10,"X",""))</f>
        <v/>
      </c>
      <c r="T425" s="34" t="str">
        <f aca="false">IF(B425="","",IF(MONTH(B425)=11,"X",""))</f>
        <v/>
      </c>
      <c r="U425" s="34" t="str">
        <f aca="false">IF(B425="","",IF(MONTH(B425)=12,"X",""))</f>
        <v/>
      </c>
      <c r="V425" s="24" t="str">
        <f aca="false">IF(E425="","",COUNTIF($E$5:$E$1000,E425))</f>
        <v/>
      </c>
      <c r="W425" s="35" t="str">
        <f aca="false">IF(E425="","",_xlfn.TEXTJOIN(" + ",TRUE(),IF(COUNTIFS($E$5:$E$1000,E425,$C$5:$C$1000,"Auditoría Interna")&gt;0,"Interna",""),IF(COUNTIFS($E$5:$E$1000,E425,$C$5:$C$1000,"Auditoría Externa")&gt;0,"Externa",""),IF(COUNTIFS($E$5:$E$1000,E425,$C$5:$C$1000,"SSF")&gt;0,"SSF",""),IF(COUNTIFS($E$5:$E$1000,E425,$C$5:$C$1000,"Comité de Supervisión")&gt;0,"Comité Sup.",""),IF(COUNTIFS($E$5:$E$1000,E425,$C$5:$C$1000,"Consejo de Administración")&gt;0,"Consejo",""),IF(COUNTIFS($E$5:$E$1000,E425,$C$5:$C$1000,"Otros")&gt;0,"Otros","")))</f>
        <v/>
      </c>
      <c r="X425" s="24" t="str">
        <f aca="false">IF(E425="","",COUNTIFS($E$5:$E$1000,E425,$AB$5:$AB$1000,AB425,$C$5:$C$1000,"&lt;&gt;"&amp;C425))</f>
        <v/>
      </c>
      <c r="Y425" s="33"/>
      <c r="Z425" s="31"/>
      <c r="AA425" s="33"/>
      <c r="AB425" s="37" t="str">
        <f aca="false">IF(B425="","",YEAR(B425)*100+MONTH(B425))</f>
        <v/>
      </c>
      <c r="AC425" s="37" t="str">
        <f aca="false">IF(AND(E425&lt;&gt;"",E425=Cruce!$C$5),COUNTIF($E$5:E425,E425),"")</f>
        <v/>
      </c>
      <c r="AD425" s="37" t="str">
        <f aca="false">IF(E425="","",C425&amp;"|"&amp;Y425&amp;"|"&amp;IF(B425="","s/f",TEXT(B425,"yyyymmdd")))</f>
        <v/>
      </c>
      <c r="AE425" s="37" t="n">
        <f aca="false">IF(E425="",0,IF(COUNTIFS($E$5:E425,E425,$AD$5:AD425,AD425)=1,1,0))</f>
        <v>0</v>
      </c>
    </row>
    <row r="426" customFormat="false" ht="15" hidden="false" customHeight="true" outlineLevel="0" collapsed="false">
      <c r="A426" s="31"/>
      <c r="B426" s="30"/>
      <c r="C426" s="31"/>
      <c r="D426" s="31"/>
      <c r="E426" s="32"/>
      <c r="F426" s="32"/>
      <c r="G426" s="33"/>
      <c r="H426" s="31"/>
      <c r="I426" s="24" t="str">
        <f aca="false">IF(B426="","",YEAR(B426))</f>
        <v/>
      </c>
      <c r="J426" s="34" t="str">
        <f aca="false">IF(B426="","",IF(MONTH(B426)=1,"X",""))</f>
        <v/>
      </c>
      <c r="K426" s="34" t="str">
        <f aca="false">IF(B426="","",IF(MONTH(B426)=2,"X",""))</f>
        <v/>
      </c>
      <c r="L426" s="34" t="str">
        <f aca="false">IF(B426="","",IF(MONTH(B426)=3,"X",""))</f>
        <v/>
      </c>
      <c r="M426" s="34" t="str">
        <f aca="false">IF(B426="","",IF(MONTH(B426)=4,"X",""))</f>
        <v/>
      </c>
      <c r="N426" s="34" t="str">
        <f aca="false">IF(B426="","",IF(MONTH(B426)=5,"X",""))</f>
        <v/>
      </c>
      <c r="O426" s="34" t="str">
        <f aca="false">IF(B426="","",IF(MONTH(B426)=6,"X",""))</f>
        <v/>
      </c>
      <c r="P426" s="34" t="str">
        <f aca="false">IF(B426="","",IF(MONTH(B426)=7,"X",""))</f>
        <v/>
      </c>
      <c r="Q426" s="34" t="str">
        <f aca="false">IF(B426="","",IF(MONTH(B426)=8,"X",""))</f>
        <v/>
      </c>
      <c r="R426" s="34" t="str">
        <f aca="false">IF(B426="","",IF(MONTH(B426)=9,"X",""))</f>
        <v/>
      </c>
      <c r="S426" s="34" t="str">
        <f aca="false">IF(B426="","",IF(MONTH(B426)=10,"X",""))</f>
        <v/>
      </c>
      <c r="T426" s="34" t="str">
        <f aca="false">IF(B426="","",IF(MONTH(B426)=11,"X",""))</f>
        <v/>
      </c>
      <c r="U426" s="34" t="str">
        <f aca="false">IF(B426="","",IF(MONTH(B426)=12,"X",""))</f>
        <v/>
      </c>
      <c r="V426" s="24" t="str">
        <f aca="false">IF(E426="","",COUNTIF($E$5:$E$1000,E426))</f>
        <v/>
      </c>
      <c r="W426" s="35" t="str">
        <f aca="false">IF(E426="","",_xlfn.TEXTJOIN(" + ",TRUE(),IF(COUNTIFS($E$5:$E$1000,E426,$C$5:$C$1000,"Auditoría Interna")&gt;0,"Interna",""),IF(COUNTIFS($E$5:$E$1000,E426,$C$5:$C$1000,"Auditoría Externa")&gt;0,"Externa",""),IF(COUNTIFS($E$5:$E$1000,E426,$C$5:$C$1000,"SSF")&gt;0,"SSF",""),IF(COUNTIFS($E$5:$E$1000,E426,$C$5:$C$1000,"Comité de Supervisión")&gt;0,"Comité Sup.",""),IF(COUNTIFS($E$5:$E$1000,E426,$C$5:$C$1000,"Consejo de Administración")&gt;0,"Consejo",""),IF(COUNTIFS($E$5:$E$1000,E426,$C$5:$C$1000,"Otros")&gt;0,"Otros","")))</f>
        <v/>
      </c>
      <c r="X426" s="24" t="str">
        <f aca="false">IF(E426="","",COUNTIFS($E$5:$E$1000,E426,$AB$5:$AB$1000,AB426,$C$5:$C$1000,"&lt;&gt;"&amp;C426))</f>
        <v/>
      </c>
      <c r="Y426" s="33"/>
      <c r="Z426" s="31"/>
      <c r="AA426" s="33"/>
      <c r="AB426" s="37" t="str">
        <f aca="false">IF(B426="","",YEAR(B426)*100+MONTH(B426))</f>
        <v/>
      </c>
      <c r="AC426" s="37" t="str">
        <f aca="false">IF(AND(E426&lt;&gt;"",E426=Cruce!$C$5),COUNTIF($E$5:E426,E426),"")</f>
        <v/>
      </c>
      <c r="AD426" s="37" t="str">
        <f aca="false">IF(E426="","",C426&amp;"|"&amp;Y426&amp;"|"&amp;IF(B426="","s/f",TEXT(B426,"yyyymmdd")))</f>
        <v/>
      </c>
      <c r="AE426" s="37" t="n">
        <f aca="false">IF(E426="",0,IF(COUNTIFS($E$5:E426,E426,$AD$5:AD426,AD426)=1,1,0))</f>
        <v>0</v>
      </c>
    </row>
    <row r="427" customFormat="false" ht="15" hidden="false" customHeight="true" outlineLevel="0" collapsed="false">
      <c r="A427" s="31"/>
      <c r="B427" s="30"/>
      <c r="C427" s="31"/>
      <c r="D427" s="31"/>
      <c r="E427" s="32"/>
      <c r="F427" s="32"/>
      <c r="G427" s="33"/>
      <c r="H427" s="31"/>
      <c r="I427" s="24" t="str">
        <f aca="false">IF(B427="","",YEAR(B427))</f>
        <v/>
      </c>
      <c r="J427" s="34" t="str">
        <f aca="false">IF(B427="","",IF(MONTH(B427)=1,"X",""))</f>
        <v/>
      </c>
      <c r="K427" s="34" t="str">
        <f aca="false">IF(B427="","",IF(MONTH(B427)=2,"X",""))</f>
        <v/>
      </c>
      <c r="L427" s="34" t="str">
        <f aca="false">IF(B427="","",IF(MONTH(B427)=3,"X",""))</f>
        <v/>
      </c>
      <c r="M427" s="34" t="str">
        <f aca="false">IF(B427="","",IF(MONTH(B427)=4,"X",""))</f>
        <v/>
      </c>
      <c r="N427" s="34" t="str">
        <f aca="false">IF(B427="","",IF(MONTH(B427)=5,"X",""))</f>
        <v/>
      </c>
      <c r="O427" s="34" t="str">
        <f aca="false">IF(B427="","",IF(MONTH(B427)=6,"X",""))</f>
        <v/>
      </c>
      <c r="P427" s="34" t="str">
        <f aca="false">IF(B427="","",IF(MONTH(B427)=7,"X",""))</f>
        <v/>
      </c>
      <c r="Q427" s="34" t="str">
        <f aca="false">IF(B427="","",IF(MONTH(B427)=8,"X",""))</f>
        <v/>
      </c>
      <c r="R427" s="34" t="str">
        <f aca="false">IF(B427="","",IF(MONTH(B427)=9,"X",""))</f>
        <v/>
      </c>
      <c r="S427" s="34" t="str">
        <f aca="false">IF(B427="","",IF(MONTH(B427)=10,"X",""))</f>
        <v/>
      </c>
      <c r="T427" s="34" t="str">
        <f aca="false">IF(B427="","",IF(MONTH(B427)=11,"X",""))</f>
        <v/>
      </c>
      <c r="U427" s="34" t="str">
        <f aca="false">IF(B427="","",IF(MONTH(B427)=12,"X",""))</f>
        <v/>
      </c>
      <c r="V427" s="24" t="str">
        <f aca="false">IF(E427="","",COUNTIF($E$5:$E$1000,E427))</f>
        <v/>
      </c>
      <c r="W427" s="35" t="str">
        <f aca="false">IF(E427="","",_xlfn.TEXTJOIN(" + ",TRUE(),IF(COUNTIFS($E$5:$E$1000,E427,$C$5:$C$1000,"Auditoría Interna")&gt;0,"Interna",""),IF(COUNTIFS($E$5:$E$1000,E427,$C$5:$C$1000,"Auditoría Externa")&gt;0,"Externa",""),IF(COUNTIFS($E$5:$E$1000,E427,$C$5:$C$1000,"SSF")&gt;0,"SSF",""),IF(COUNTIFS($E$5:$E$1000,E427,$C$5:$C$1000,"Comité de Supervisión")&gt;0,"Comité Sup.",""),IF(COUNTIFS($E$5:$E$1000,E427,$C$5:$C$1000,"Consejo de Administración")&gt;0,"Consejo",""),IF(COUNTIFS($E$5:$E$1000,E427,$C$5:$C$1000,"Otros")&gt;0,"Otros","")))</f>
        <v/>
      </c>
      <c r="X427" s="24" t="str">
        <f aca="false">IF(E427="","",COUNTIFS($E$5:$E$1000,E427,$AB$5:$AB$1000,AB427,$C$5:$C$1000,"&lt;&gt;"&amp;C427))</f>
        <v/>
      </c>
      <c r="Y427" s="33"/>
      <c r="Z427" s="31"/>
      <c r="AA427" s="33"/>
      <c r="AB427" s="37" t="str">
        <f aca="false">IF(B427="","",YEAR(B427)*100+MONTH(B427))</f>
        <v/>
      </c>
      <c r="AC427" s="37" t="str">
        <f aca="false">IF(AND(E427&lt;&gt;"",E427=Cruce!$C$5),COUNTIF($E$5:E427,E427),"")</f>
        <v/>
      </c>
      <c r="AD427" s="37" t="str">
        <f aca="false">IF(E427="","",C427&amp;"|"&amp;Y427&amp;"|"&amp;IF(B427="","s/f",TEXT(B427,"yyyymmdd")))</f>
        <v/>
      </c>
      <c r="AE427" s="37" t="n">
        <f aca="false">IF(E427="",0,IF(COUNTIFS($E$5:E427,E427,$AD$5:AD427,AD427)=1,1,0))</f>
        <v>0</v>
      </c>
    </row>
    <row r="428" customFormat="false" ht="15" hidden="false" customHeight="true" outlineLevel="0" collapsed="false">
      <c r="A428" s="31"/>
      <c r="B428" s="30"/>
      <c r="C428" s="31"/>
      <c r="D428" s="31"/>
      <c r="E428" s="32"/>
      <c r="F428" s="32"/>
      <c r="G428" s="33"/>
      <c r="H428" s="31"/>
      <c r="I428" s="24" t="str">
        <f aca="false">IF(B428="","",YEAR(B428))</f>
        <v/>
      </c>
      <c r="J428" s="34" t="str">
        <f aca="false">IF(B428="","",IF(MONTH(B428)=1,"X",""))</f>
        <v/>
      </c>
      <c r="K428" s="34" t="str">
        <f aca="false">IF(B428="","",IF(MONTH(B428)=2,"X",""))</f>
        <v/>
      </c>
      <c r="L428" s="34" t="str">
        <f aca="false">IF(B428="","",IF(MONTH(B428)=3,"X",""))</f>
        <v/>
      </c>
      <c r="M428" s="34" t="str">
        <f aca="false">IF(B428="","",IF(MONTH(B428)=4,"X",""))</f>
        <v/>
      </c>
      <c r="N428" s="34" t="str">
        <f aca="false">IF(B428="","",IF(MONTH(B428)=5,"X",""))</f>
        <v/>
      </c>
      <c r="O428" s="34" t="str">
        <f aca="false">IF(B428="","",IF(MONTH(B428)=6,"X",""))</f>
        <v/>
      </c>
      <c r="P428" s="34" t="str">
        <f aca="false">IF(B428="","",IF(MONTH(B428)=7,"X",""))</f>
        <v/>
      </c>
      <c r="Q428" s="34" t="str">
        <f aca="false">IF(B428="","",IF(MONTH(B428)=8,"X",""))</f>
        <v/>
      </c>
      <c r="R428" s="34" t="str">
        <f aca="false">IF(B428="","",IF(MONTH(B428)=9,"X",""))</f>
        <v/>
      </c>
      <c r="S428" s="34" t="str">
        <f aca="false">IF(B428="","",IF(MONTH(B428)=10,"X",""))</f>
        <v/>
      </c>
      <c r="T428" s="34" t="str">
        <f aca="false">IF(B428="","",IF(MONTH(B428)=11,"X",""))</f>
        <v/>
      </c>
      <c r="U428" s="34" t="str">
        <f aca="false">IF(B428="","",IF(MONTH(B428)=12,"X",""))</f>
        <v/>
      </c>
      <c r="V428" s="24" t="str">
        <f aca="false">IF(E428="","",COUNTIF($E$5:$E$1000,E428))</f>
        <v/>
      </c>
      <c r="W428" s="35" t="str">
        <f aca="false">IF(E428="","",_xlfn.TEXTJOIN(" + ",TRUE(),IF(COUNTIFS($E$5:$E$1000,E428,$C$5:$C$1000,"Auditoría Interna")&gt;0,"Interna",""),IF(COUNTIFS($E$5:$E$1000,E428,$C$5:$C$1000,"Auditoría Externa")&gt;0,"Externa",""),IF(COUNTIFS($E$5:$E$1000,E428,$C$5:$C$1000,"SSF")&gt;0,"SSF",""),IF(COUNTIFS($E$5:$E$1000,E428,$C$5:$C$1000,"Comité de Supervisión")&gt;0,"Comité Sup.",""),IF(COUNTIFS($E$5:$E$1000,E428,$C$5:$C$1000,"Consejo de Administración")&gt;0,"Consejo",""),IF(COUNTIFS($E$5:$E$1000,E428,$C$5:$C$1000,"Otros")&gt;0,"Otros","")))</f>
        <v/>
      </c>
      <c r="X428" s="24" t="str">
        <f aca="false">IF(E428="","",COUNTIFS($E$5:$E$1000,E428,$AB$5:$AB$1000,AB428,$C$5:$C$1000,"&lt;&gt;"&amp;C428))</f>
        <v/>
      </c>
      <c r="Y428" s="33"/>
      <c r="Z428" s="31"/>
      <c r="AA428" s="33"/>
      <c r="AB428" s="37" t="str">
        <f aca="false">IF(B428="","",YEAR(B428)*100+MONTH(B428))</f>
        <v/>
      </c>
      <c r="AC428" s="37" t="str">
        <f aca="false">IF(AND(E428&lt;&gt;"",E428=Cruce!$C$5),COUNTIF($E$5:E428,E428),"")</f>
        <v/>
      </c>
      <c r="AD428" s="37" t="str">
        <f aca="false">IF(E428="","",C428&amp;"|"&amp;Y428&amp;"|"&amp;IF(B428="","s/f",TEXT(B428,"yyyymmdd")))</f>
        <v/>
      </c>
      <c r="AE428" s="37" t="n">
        <f aca="false">IF(E428="",0,IF(COUNTIFS($E$5:E428,E428,$AD$5:AD428,AD428)=1,1,0))</f>
        <v>0</v>
      </c>
    </row>
    <row r="429" customFormat="false" ht="15" hidden="false" customHeight="true" outlineLevel="0" collapsed="false">
      <c r="A429" s="31"/>
      <c r="B429" s="30"/>
      <c r="C429" s="31"/>
      <c r="D429" s="31"/>
      <c r="E429" s="32"/>
      <c r="F429" s="32"/>
      <c r="G429" s="33"/>
      <c r="H429" s="31"/>
      <c r="I429" s="24" t="str">
        <f aca="false">IF(B429="","",YEAR(B429))</f>
        <v/>
      </c>
      <c r="J429" s="34" t="str">
        <f aca="false">IF(B429="","",IF(MONTH(B429)=1,"X",""))</f>
        <v/>
      </c>
      <c r="K429" s="34" t="str">
        <f aca="false">IF(B429="","",IF(MONTH(B429)=2,"X",""))</f>
        <v/>
      </c>
      <c r="L429" s="34" t="str">
        <f aca="false">IF(B429="","",IF(MONTH(B429)=3,"X",""))</f>
        <v/>
      </c>
      <c r="M429" s="34" t="str">
        <f aca="false">IF(B429="","",IF(MONTH(B429)=4,"X",""))</f>
        <v/>
      </c>
      <c r="N429" s="34" t="str">
        <f aca="false">IF(B429="","",IF(MONTH(B429)=5,"X",""))</f>
        <v/>
      </c>
      <c r="O429" s="34" t="str">
        <f aca="false">IF(B429="","",IF(MONTH(B429)=6,"X",""))</f>
        <v/>
      </c>
      <c r="P429" s="34" t="str">
        <f aca="false">IF(B429="","",IF(MONTH(B429)=7,"X",""))</f>
        <v/>
      </c>
      <c r="Q429" s="34" t="str">
        <f aca="false">IF(B429="","",IF(MONTH(B429)=8,"X",""))</f>
        <v/>
      </c>
      <c r="R429" s="34" t="str">
        <f aca="false">IF(B429="","",IF(MONTH(B429)=9,"X",""))</f>
        <v/>
      </c>
      <c r="S429" s="34" t="str">
        <f aca="false">IF(B429="","",IF(MONTH(B429)=10,"X",""))</f>
        <v/>
      </c>
      <c r="T429" s="34" t="str">
        <f aca="false">IF(B429="","",IF(MONTH(B429)=11,"X",""))</f>
        <v/>
      </c>
      <c r="U429" s="34" t="str">
        <f aca="false">IF(B429="","",IF(MONTH(B429)=12,"X",""))</f>
        <v/>
      </c>
      <c r="V429" s="24" t="str">
        <f aca="false">IF(E429="","",COUNTIF($E$5:$E$1000,E429))</f>
        <v/>
      </c>
      <c r="W429" s="35" t="str">
        <f aca="false">IF(E429="","",_xlfn.TEXTJOIN(" + ",TRUE(),IF(COUNTIFS($E$5:$E$1000,E429,$C$5:$C$1000,"Auditoría Interna")&gt;0,"Interna",""),IF(COUNTIFS($E$5:$E$1000,E429,$C$5:$C$1000,"Auditoría Externa")&gt;0,"Externa",""),IF(COUNTIFS($E$5:$E$1000,E429,$C$5:$C$1000,"SSF")&gt;0,"SSF",""),IF(COUNTIFS($E$5:$E$1000,E429,$C$5:$C$1000,"Comité de Supervisión")&gt;0,"Comité Sup.",""),IF(COUNTIFS($E$5:$E$1000,E429,$C$5:$C$1000,"Consejo de Administración")&gt;0,"Consejo",""),IF(COUNTIFS($E$5:$E$1000,E429,$C$5:$C$1000,"Otros")&gt;0,"Otros","")))</f>
        <v/>
      </c>
      <c r="X429" s="24" t="str">
        <f aca="false">IF(E429="","",COUNTIFS($E$5:$E$1000,E429,$AB$5:$AB$1000,AB429,$C$5:$C$1000,"&lt;&gt;"&amp;C429))</f>
        <v/>
      </c>
      <c r="Y429" s="33"/>
      <c r="Z429" s="31"/>
      <c r="AA429" s="33"/>
      <c r="AB429" s="37" t="str">
        <f aca="false">IF(B429="","",YEAR(B429)*100+MONTH(B429))</f>
        <v/>
      </c>
      <c r="AC429" s="37" t="str">
        <f aca="false">IF(AND(E429&lt;&gt;"",E429=Cruce!$C$5),COUNTIF($E$5:E429,E429),"")</f>
        <v/>
      </c>
      <c r="AD429" s="37" t="str">
        <f aca="false">IF(E429="","",C429&amp;"|"&amp;Y429&amp;"|"&amp;IF(B429="","s/f",TEXT(B429,"yyyymmdd")))</f>
        <v/>
      </c>
      <c r="AE429" s="37" t="n">
        <f aca="false">IF(E429="",0,IF(COUNTIFS($E$5:E429,E429,$AD$5:AD429,AD429)=1,1,0))</f>
        <v>0</v>
      </c>
    </row>
    <row r="430" customFormat="false" ht="15" hidden="false" customHeight="true" outlineLevel="0" collapsed="false">
      <c r="A430" s="31"/>
      <c r="B430" s="30"/>
      <c r="C430" s="31"/>
      <c r="D430" s="31"/>
      <c r="E430" s="32"/>
      <c r="F430" s="32"/>
      <c r="G430" s="33"/>
      <c r="H430" s="31"/>
      <c r="I430" s="24" t="str">
        <f aca="false">IF(B430="","",YEAR(B430))</f>
        <v/>
      </c>
      <c r="J430" s="34" t="str">
        <f aca="false">IF(B430="","",IF(MONTH(B430)=1,"X",""))</f>
        <v/>
      </c>
      <c r="K430" s="34" t="str">
        <f aca="false">IF(B430="","",IF(MONTH(B430)=2,"X",""))</f>
        <v/>
      </c>
      <c r="L430" s="34" t="str">
        <f aca="false">IF(B430="","",IF(MONTH(B430)=3,"X",""))</f>
        <v/>
      </c>
      <c r="M430" s="34" t="str">
        <f aca="false">IF(B430="","",IF(MONTH(B430)=4,"X",""))</f>
        <v/>
      </c>
      <c r="N430" s="34" t="str">
        <f aca="false">IF(B430="","",IF(MONTH(B430)=5,"X",""))</f>
        <v/>
      </c>
      <c r="O430" s="34" t="str">
        <f aca="false">IF(B430="","",IF(MONTH(B430)=6,"X",""))</f>
        <v/>
      </c>
      <c r="P430" s="34" t="str">
        <f aca="false">IF(B430="","",IF(MONTH(B430)=7,"X",""))</f>
        <v/>
      </c>
      <c r="Q430" s="34" t="str">
        <f aca="false">IF(B430="","",IF(MONTH(B430)=8,"X",""))</f>
        <v/>
      </c>
      <c r="R430" s="34" t="str">
        <f aca="false">IF(B430="","",IF(MONTH(B430)=9,"X",""))</f>
        <v/>
      </c>
      <c r="S430" s="34" t="str">
        <f aca="false">IF(B430="","",IF(MONTH(B430)=10,"X",""))</f>
        <v/>
      </c>
      <c r="T430" s="34" t="str">
        <f aca="false">IF(B430="","",IF(MONTH(B430)=11,"X",""))</f>
        <v/>
      </c>
      <c r="U430" s="34" t="str">
        <f aca="false">IF(B430="","",IF(MONTH(B430)=12,"X",""))</f>
        <v/>
      </c>
      <c r="V430" s="24" t="str">
        <f aca="false">IF(E430="","",COUNTIF($E$5:$E$1000,E430))</f>
        <v/>
      </c>
      <c r="W430" s="35" t="str">
        <f aca="false">IF(E430="","",_xlfn.TEXTJOIN(" + ",TRUE(),IF(COUNTIFS($E$5:$E$1000,E430,$C$5:$C$1000,"Auditoría Interna")&gt;0,"Interna",""),IF(COUNTIFS($E$5:$E$1000,E430,$C$5:$C$1000,"Auditoría Externa")&gt;0,"Externa",""),IF(COUNTIFS($E$5:$E$1000,E430,$C$5:$C$1000,"SSF")&gt;0,"SSF",""),IF(COUNTIFS($E$5:$E$1000,E430,$C$5:$C$1000,"Comité de Supervisión")&gt;0,"Comité Sup.",""),IF(COUNTIFS($E$5:$E$1000,E430,$C$5:$C$1000,"Consejo de Administración")&gt;0,"Consejo",""),IF(COUNTIFS($E$5:$E$1000,E430,$C$5:$C$1000,"Otros")&gt;0,"Otros","")))</f>
        <v/>
      </c>
      <c r="X430" s="24" t="str">
        <f aca="false">IF(E430="","",COUNTIFS($E$5:$E$1000,E430,$AB$5:$AB$1000,AB430,$C$5:$C$1000,"&lt;&gt;"&amp;C430))</f>
        <v/>
      </c>
      <c r="Y430" s="33"/>
      <c r="Z430" s="31"/>
      <c r="AA430" s="33"/>
      <c r="AB430" s="37" t="str">
        <f aca="false">IF(B430="","",YEAR(B430)*100+MONTH(B430))</f>
        <v/>
      </c>
      <c r="AC430" s="37" t="str">
        <f aca="false">IF(AND(E430&lt;&gt;"",E430=Cruce!$C$5),COUNTIF($E$5:E430,E430),"")</f>
        <v/>
      </c>
      <c r="AD430" s="37" t="str">
        <f aca="false">IF(E430="","",C430&amp;"|"&amp;Y430&amp;"|"&amp;IF(B430="","s/f",TEXT(B430,"yyyymmdd")))</f>
        <v/>
      </c>
      <c r="AE430" s="37" t="n">
        <f aca="false">IF(E430="",0,IF(COUNTIFS($E$5:E430,E430,$AD$5:AD430,AD430)=1,1,0))</f>
        <v>0</v>
      </c>
    </row>
    <row r="431" customFormat="false" ht="15" hidden="false" customHeight="true" outlineLevel="0" collapsed="false">
      <c r="A431" s="31"/>
      <c r="B431" s="30"/>
      <c r="C431" s="31"/>
      <c r="D431" s="31"/>
      <c r="E431" s="32"/>
      <c r="F431" s="32"/>
      <c r="G431" s="33"/>
      <c r="H431" s="31"/>
      <c r="I431" s="24" t="str">
        <f aca="false">IF(B431="","",YEAR(B431))</f>
        <v/>
      </c>
      <c r="J431" s="34" t="str">
        <f aca="false">IF(B431="","",IF(MONTH(B431)=1,"X",""))</f>
        <v/>
      </c>
      <c r="K431" s="34" t="str">
        <f aca="false">IF(B431="","",IF(MONTH(B431)=2,"X",""))</f>
        <v/>
      </c>
      <c r="L431" s="34" t="str">
        <f aca="false">IF(B431="","",IF(MONTH(B431)=3,"X",""))</f>
        <v/>
      </c>
      <c r="M431" s="34" t="str">
        <f aca="false">IF(B431="","",IF(MONTH(B431)=4,"X",""))</f>
        <v/>
      </c>
      <c r="N431" s="34" t="str">
        <f aca="false">IF(B431="","",IF(MONTH(B431)=5,"X",""))</f>
        <v/>
      </c>
      <c r="O431" s="34" t="str">
        <f aca="false">IF(B431="","",IF(MONTH(B431)=6,"X",""))</f>
        <v/>
      </c>
      <c r="P431" s="34" t="str">
        <f aca="false">IF(B431="","",IF(MONTH(B431)=7,"X",""))</f>
        <v/>
      </c>
      <c r="Q431" s="34" t="str">
        <f aca="false">IF(B431="","",IF(MONTH(B431)=8,"X",""))</f>
        <v/>
      </c>
      <c r="R431" s="34" t="str">
        <f aca="false">IF(B431="","",IF(MONTH(B431)=9,"X",""))</f>
        <v/>
      </c>
      <c r="S431" s="34" t="str">
        <f aca="false">IF(B431="","",IF(MONTH(B431)=10,"X",""))</f>
        <v/>
      </c>
      <c r="T431" s="34" t="str">
        <f aca="false">IF(B431="","",IF(MONTH(B431)=11,"X",""))</f>
        <v/>
      </c>
      <c r="U431" s="34" t="str">
        <f aca="false">IF(B431="","",IF(MONTH(B431)=12,"X",""))</f>
        <v/>
      </c>
      <c r="V431" s="24" t="str">
        <f aca="false">IF(E431="","",COUNTIF($E$5:$E$1000,E431))</f>
        <v/>
      </c>
      <c r="W431" s="35" t="str">
        <f aca="false">IF(E431="","",_xlfn.TEXTJOIN(" + ",TRUE(),IF(COUNTIFS($E$5:$E$1000,E431,$C$5:$C$1000,"Auditoría Interna")&gt;0,"Interna",""),IF(COUNTIFS($E$5:$E$1000,E431,$C$5:$C$1000,"Auditoría Externa")&gt;0,"Externa",""),IF(COUNTIFS($E$5:$E$1000,E431,$C$5:$C$1000,"SSF")&gt;0,"SSF",""),IF(COUNTIFS($E$5:$E$1000,E431,$C$5:$C$1000,"Comité de Supervisión")&gt;0,"Comité Sup.",""),IF(COUNTIFS($E$5:$E$1000,E431,$C$5:$C$1000,"Consejo de Administración")&gt;0,"Consejo",""),IF(COUNTIFS($E$5:$E$1000,E431,$C$5:$C$1000,"Otros")&gt;0,"Otros","")))</f>
        <v/>
      </c>
      <c r="X431" s="24" t="str">
        <f aca="false">IF(E431="","",COUNTIFS($E$5:$E$1000,E431,$AB$5:$AB$1000,AB431,$C$5:$C$1000,"&lt;&gt;"&amp;C431))</f>
        <v/>
      </c>
      <c r="Y431" s="33"/>
      <c r="Z431" s="31"/>
      <c r="AA431" s="33"/>
      <c r="AB431" s="37" t="str">
        <f aca="false">IF(B431="","",YEAR(B431)*100+MONTH(B431))</f>
        <v/>
      </c>
      <c r="AC431" s="37" t="str">
        <f aca="false">IF(AND(E431&lt;&gt;"",E431=Cruce!$C$5),COUNTIF($E$5:E431,E431),"")</f>
        <v/>
      </c>
      <c r="AD431" s="37" t="str">
        <f aca="false">IF(E431="","",C431&amp;"|"&amp;Y431&amp;"|"&amp;IF(B431="","s/f",TEXT(B431,"yyyymmdd")))</f>
        <v/>
      </c>
      <c r="AE431" s="37" t="n">
        <f aca="false">IF(E431="",0,IF(COUNTIFS($E$5:E431,E431,$AD$5:AD431,AD431)=1,1,0))</f>
        <v>0</v>
      </c>
    </row>
    <row r="432" customFormat="false" ht="15" hidden="false" customHeight="true" outlineLevel="0" collapsed="false">
      <c r="A432" s="31"/>
      <c r="B432" s="30"/>
      <c r="C432" s="31"/>
      <c r="D432" s="31"/>
      <c r="E432" s="32"/>
      <c r="F432" s="32"/>
      <c r="G432" s="33"/>
      <c r="H432" s="31"/>
      <c r="I432" s="24" t="str">
        <f aca="false">IF(B432="","",YEAR(B432))</f>
        <v/>
      </c>
      <c r="J432" s="34" t="str">
        <f aca="false">IF(B432="","",IF(MONTH(B432)=1,"X",""))</f>
        <v/>
      </c>
      <c r="K432" s="34" t="str">
        <f aca="false">IF(B432="","",IF(MONTH(B432)=2,"X",""))</f>
        <v/>
      </c>
      <c r="L432" s="34" t="str">
        <f aca="false">IF(B432="","",IF(MONTH(B432)=3,"X",""))</f>
        <v/>
      </c>
      <c r="M432" s="34" t="str">
        <f aca="false">IF(B432="","",IF(MONTH(B432)=4,"X",""))</f>
        <v/>
      </c>
      <c r="N432" s="34" t="str">
        <f aca="false">IF(B432="","",IF(MONTH(B432)=5,"X",""))</f>
        <v/>
      </c>
      <c r="O432" s="34" t="str">
        <f aca="false">IF(B432="","",IF(MONTH(B432)=6,"X",""))</f>
        <v/>
      </c>
      <c r="P432" s="34" t="str">
        <f aca="false">IF(B432="","",IF(MONTH(B432)=7,"X",""))</f>
        <v/>
      </c>
      <c r="Q432" s="34" t="str">
        <f aca="false">IF(B432="","",IF(MONTH(B432)=8,"X",""))</f>
        <v/>
      </c>
      <c r="R432" s="34" t="str">
        <f aca="false">IF(B432="","",IF(MONTH(B432)=9,"X",""))</f>
        <v/>
      </c>
      <c r="S432" s="34" t="str">
        <f aca="false">IF(B432="","",IF(MONTH(B432)=10,"X",""))</f>
        <v/>
      </c>
      <c r="T432" s="34" t="str">
        <f aca="false">IF(B432="","",IF(MONTH(B432)=11,"X",""))</f>
        <v/>
      </c>
      <c r="U432" s="34" t="str">
        <f aca="false">IF(B432="","",IF(MONTH(B432)=12,"X",""))</f>
        <v/>
      </c>
      <c r="V432" s="24" t="str">
        <f aca="false">IF(E432="","",COUNTIF($E$5:$E$1000,E432))</f>
        <v/>
      </c>
      <c r="W432" s="35" t="str">
        <f aca="false">IF(E432="","",_xlfn.TEXTJOIN(" + ",TRUE(),IF(COUNTIFS($E$5:$E$1000,E432,$C$5:$C$1000,"Auditoría Interna")&gt;0,"Interna",""),IF(COUNTIFS($E$5:$E$1000,E432,$C$5:$C$1000,"Auditoría Externa")&gt;0,"Externa",""),IF(COUNTIFS($E$5:$E$1000,E432,$C$5:$C$1000,"SSF")&gt;0,"SSF",""),IF(COUNTIFS($E$5:$E$1000,E432,$C$5:$C$1000,"Comité de Supervisión")&gt;0,"Comité Sup.",""),IF(COUNTIFS($E$5:$E$1000,E432,$C$5:$C$1000,"Consejo de Administración")&gt;0,"Consejo",""),IF(COUNTIFS($E$5:$E$1000,E432,$C$5:$C$1000,"Otros")&gt;0,"Otros","")))</f>
        <v/>
      </c>
      <c r="X432" s="24" t="str">
        <f aca="false">IF(E432="","",COUNTIFS($E$5:$E$1000,E432,$AB$5:$AB$1000,AB432,$C$5:$C$1000,"&lt;&gt;"&amp;C432))</f>
        <v/>
      </c>
      <c r="Y432" s="33"/>
      <c r="Z432" s="31"/>
      <c r="AA432" s="33"/>
      <c r="AB432" s="37" t="str">
        <f aca="false">IF(B432="","",YEAR(B432)*100+MONTH(B432))</f>
        <v/>
      </c>
      <c r="AC432" s="37" t="str">
        <f aca="false">IF(AND(E432&lt;&gt;"",E432=Cruce!$C$5),COUNTIF($E$5:E432,E432),"")</f>
        <v/>
      </c>
      <c r="AD432" s="37" t="str">
        <f aca="false">IF(E432="","",C432&amp;"|"&amp;Y432&amp;"|"&amp;IF(B432="","s/f",TEXT(B432,"yyyymmdd")))</f>
        <v/>
      </c>
      <c r="AE432" s="37" t="n">
        <f aca="false">IF(E432="",0,IF(COUNTIFS($E$5:E432,E432,$AD$5:AD432,AD432)=1,1,0))</f>
        <v>0</v>
      </c>
    </row>
    <row r="433" customFormat="false" ht="15" hidden="false" customHeight="true" outlineLevel="0" collapsed="false">
      <c r="A433" s="31"/>
      <c r="B433" s="30"/>
      <c r="C433" s="31"/>
      <c r="D433" s="31"/>
      <c r="E433" s="32"/>
      <c r="F433" s="32"/>
      <c r="G433" s="33"/>
      <c r="H433" s="31"/>
      <c r="I433" s="24" t="str">
        <f aca="false">IF(B433="","",YEAR(B433))</f>
        <v/>
      </c>
      <c r="J433" s="34" t="str">
        <f aca="false">IF(B433="","",IF(MONTH(B433)=1,"X",""))</f>
        <v/>
      </c>
      <c r="K433" s="34" t="str">
        <f aca="false">IF(B433="","",IF(MONTH(B433)=2,"X",""))</f>
        <v/>
      </c>
      <c r="L433" s="34" t="str">
        <f aca="false">IF(B433="","",IF(MONTH(B433)=3,"X",""))</f>
        <v/>
      </c>
      <c r="M433" s="34" t="str">
        <f aca="false">IF(B433="","",IF(MONTH(B433)=4,"X",""))</f>
        <v/>
      </c>
      <c r="N433" s="34" t="str">
        <f aca="false">IF(B433="","",IF(MONTH(B433)=5,"X",""))</f>
        <v/>
      </c>
      <c r="O433" s="34" t="str">
        <f aca="false">IF(B433="","",IF(MONTH(B433)=6,"X",""))</f>
        <v/>
      </c>
      <c r="P433" s="34" t="str">
        <f aca="false">IF(B433="","",IF(MONTH(B433)=7,"X",""))</f>
        <v/>
      </c>
      <c r="Q433" s="34" t="str">
        <f aca="false">IF(B433="","",IF(MONTH(B433)=8,"X",""))</f>
        <v/>
      </c>
      <c r="R433" s="34" t="str">
        <f aca="false">IF(B433="","",IF(MONTH(B433)=9,"X",""))</f>
        <v/>
      </c>
      <c r="S433" s="34" t="str">
        <f aca="false">IF(B433="","",IF(MONTH(B433)=10,"X",""))</f>
        <v/>
      </c>
      <c r="T433" s="34" t="str">
        <f aca="false">IF(B433="","",IF(MONTH(B433)=11,"X",""))</f>
        <v/>
      </c>
      <c r="U433" s="34" t="str">
        <f aca="false">IF(B433="","",IF(MONTH(B433)=12,"X",""))</f>
        <v/>
      </c>
      <c r="V433" s="24" t="str">
        <f aca="false">IF(E433="","",COUNTIF($E$5:$E$1000,E433))</f>
        <v/>
      </c>
      <c r="W433" s="35" t="str">
        <f aca="false">IF(E433="","",_xlfn.TEXTJOIN(" + ",TRUE(),IF(COUNTIFS($E$5:$E$1000,E433,$C$5:$C$1000,"Auditoría Interna")&gt;0,"Interna",""),IF(COUNTIFS($E$5:$E$1000,E433,$C$5:$C$1000,"Auditoría Externa")&gt;0,"Externa",""),IF(COUNTIFS($E$5:$E$1000,E433,$C$5:$C$1000,"SSF")&gt;0,"SSF",""),IF(COUNTIFS($E$5:$E$1000,E433,$C$5:$C$1000,"Comité de Supervisión")&gt;0,"Comité Sup.",""),IF(COUNTIFS($E$5:$E$1000,E433,$C$5:$C$1000,"Consejo de Administración")&gt;0,"Consejo",""),IF(COUNTIFS($E$5:$E$1000,E433,$C$5:$C$1000,"Otros")&gt;0,"Otros","")))</f>
        <v/>
      </c>
      <c r="X433" s="24" t="str">
        <f aca="false">IF(E433="","",COUNTIFS($E$5:$E$1000,E433,$AB$5:$AB$1000,AB433,$C$5:$C$1000,"&lt;&gt;"&amp;C433))</f>
        <v/>
      </c>
      <c r="Y433" s="33"/>
      <c r="Z433" s="31"/>
      <c r="AA433" s="33"/>
      <c r="AB433" s="37" t="str">
        <f aca="false">IF(B433="","",YEAR(B433)*100+MONTH(B433))</f>
        <v/>
      </c>
      <c r="AC433" s="37" t="str">
        <f aca="false">IF(AND(E433&lt;&gt;"",E433=Cruce!$C$5),COUNTIF($E$5:E433,E433),"")</f>
        <v/>
      </c>
      <c r="AD433" s="37" t="str">
        <f aca="false">IF(E433="","",C433&amp;"|"&amp;Y433&amp;"|"&amp;IF(B433="","s/f",TEXT(B433,"yyyymmdd")))</f>
        <v/>
      </c>
      <c r="AE433" s="37" t="n">
        <f aca="false">IF(E433="",0,IF(COUNTIFS($E$5:E433,E433,$AD$5:AD433,AD433)=1,1,0))</f>
        <v>0</v>
      </c>
    </row>
    <row r="434" customFormat="false" ht="15" hidden="false" customHeight="true" outlineLevel="0" collapsed="false">
      <c r="A434" s="31"/>
      <c r="B434" s="30"/>
      <c r="C434" s="31"/>
      <c r="D434" s="31"/>
      <c r="E434" s="32"/>
      <c r="F434" s="32"/>
      <c r="G434" s="33"/>
      <c r="H434" s="31"/>
      <c r="I434" s="24" t="str">
        <f aca="false">IF(B434="","",YEAR(B434))</f>
        <v/>
      </c>
      <c r="J434" s="34" t="str">
        <f aca="false">IF(B434="","",IF(MONTH(B434)=1,"X",""))</f>
        <v/>
      </c>
      <c r="K434" s="34" t="str">
        <f aca="false">IF(B434="","",IF(MONTH(B434)=2,"X",""))</f>
        <v/>
      </c>
      <c r="L434" s="34" t="str">
        <f aca="false">IF(B434="","",IF(MONTH(B434)=3,"X",""))</f>
        <v/>
      </c>
      <c r="M434" s="34" t="str">
        <f aca="false">IF(B434="","",IF(MONTH(B434)=4,"X",""))</f>
        <v/>
      </c>
      <c r="N434" s="34" t="str">
        <f aca="false">IF(B434="","",IF(MONTH(B434)=5,"X",""))</f>
        <v/>
      </c>
      <c r="O434" s="34" t="str">
        <f aca="false">IF(B434="","",IF(MONTH(B434)=6,"X",""))</f>
        <v/>
      </c>
      <c r="P434" s="34" t="str">
        <f aca="false">IF(B434="","",IF(MONTH(B434)=7,"X",""))</f>
        <v/>
      </c>
      <c r="Q434" s="34" t="str">
        <f aca="false">IF(B434="","",IF(MONTH(B434)=8,"X",""))</f>
        <v/>
      </c>
      <c r="R434" s="34" t="str">
        <f aca="false">IF(B434="","",IF(MONTH(B434)=9,"X",""))</f>
        <v/>
      </c>
      <c r="S434" s="34" t="str">
        <f aca="false">IF(B434="","",IF(MONTH(B434)=10,"X",""))</f>
        <v/>
      </c>
      <c r="T434" s="34" t="str">
        <f aca="false">IF(B434="","",IF(MONTH(B434)=11,"X",""))</f>
        <v/>
      </c>
      <c r="U434" s="34" t="str">
        <f aca="false">IF(B434="","",IF(MONTH(B434)=12,"X",""))</f>
        <v/>
      </c>
      <c r="V434" s="24" t="str">
        <f aca="false">IF(E434="","",COUNTIF($E$5:$E$1000,E434))</f>
        <v/>
      </c>
      <c r="W434" s="35" t="str">
        <f aca="false">IF(E434="","",_xlfn.TEXTJOIN(" + ",TRUE(),IF(COUNTIFS($E$5:$E$1000,E434,$C$5:$C$1000,"Auditoría Interna")&gt;0,"Interna",""),IF(COUNTIFS($E$5:$E$1000,E434,$C$5:$C$1000,"Auditoría Externa")&gt;0,"Externa",""),IF(COUNTIFS($E$5:$E$1000,E434,$C$5:$C$1000,"SSF")&gt;0,"SSF",""),IF(COUNTIFS($E$5:$E$1000,E434,$C$5:$C$1000,"Comité de Supervisión")&gt;0,"Comité Sup.",""),IF(COUNTIFS($E$5:$E$1000,E434,$C$5:$C$1000,"Consejo de Administración")&gt;0,"Consejo",""),IF(COUNTIFS($E$5:$E$1000,E434,$C$5:$C$1000,"Otros")&gt;0,"Otros","")))</f>
        <v/>
      </c>
      <c r="X434" s="24" t="str">
        <f aca="false">IF(E434="","",COUNTIFS($E$5:$E$1000,E434,$AB$5:$AB$1000,AB434,$C$5:$C$1000,"&lt;&gt;"&amp;C434))</f>
        <v/>
      </c>
      <c r="Y434" s="33"/>
      <c r="Z434" s="31"/>
      <c r="AA434" s="33"/>
      <c r="AB434" s="37" t="str">
        <f aca="false">IF(B434="","",YEAR(B434)*100+MONTH(B434))</f>
        <v/>
      </c>
      <c r="AC434" s="37" t="str">
        <f aca="false">IF(AND(E434&lt;&gt;"",E434=Cruce!$C$5),COUNTIF($E$5:E434,E434),"")</f>
        <v/>
      </c>
      <c r="AD434" s="37" t="str">
        <f aca="false">IF(E434="","",C434&amp;"|"&amp;Y434&amp;"|"&amp;IF(B434="","s/f",TEXT(B434,"yyyymmdd")))</f>
        <v/>
      </c>
      <c r="AE434" s="37" t="n">
        <f aca="false">IF(E434="",0,IF(COUNTIFS($E$5:E434,E434,$AD$5:AD434,AD434)=1,1,0))</f>
        <v>0</v>
      </c>
    </row>
    <row r="435" customFormat="false" ht="15" hidden="false" customHeight="true" outlineLevel="0" collapsed="false">
      <c r="A435" s="31"/>
      <c r="B435" s="30"/>
      <c r="C435" s="31"/>
      <c r="D435" s="31"/>
      <c r="E435" s="32"/>
      <c r="F435" s="32"/>
      <c r="G435" s="33"/>
      <c r="H435" s="31"/>
      <c r="I435" s="24" t="str">
        <f aca="false">IF(B435="","",YEAR(B435))</f>
        <v/>
      </c>
      <c r="J435" s="34" t="str">
        <f aca="false">IF(B435="","",IF(MONTH(B435)=1,"X",""))</f>
        <v/>
      </c>
      <c r="K435" s="34" t="str">
        <f aca="false">IF(B435="","",IF(MONTH(B435)=2,"X",""))</f>
        <v/>
      </c>
      <c r="L435" s="34" t="str">
        <f aca="false">IF(B435="","",IF(MONTH(B435)=3,"X",""))</f>
        <v/>
      </c>
      <c r="M435" s="34" t="str">
        <f aca="false">IF(B435="","",IF(MONTH(B435)=4,"X",""))</f>
        <v/>
      </c>
      <c r="N435" s="34" t="str">
        <f aca="false">IF(B435="","",IF(MONTH(B435)=5,"X",""))</f>
        <v/>
      </c>
      <c r="O435" s="34" t="str">
        <f aca="false">IF(B435="","",IF(MONTH(B435)=6,"X",""))</f>
        <v/>
      </c>
      <c r="P435" s="34" t="str">
        <f aca="false">IF(B435="","",IF(MONTH(B435)=7,"X",""))</f>
        <v/>
      </c>
      <c r="Q435" s="34" t="str">
        <f aca="false">IF(B435="","",IF(MONTH(B435)=8,"X",""))</f>
        <v/>
      </c>
      <c r="R435" s="34" t="str">
        <f aca="false">IF(B435="","",IF(MONTH(B435)=9,"X",""))</f>
        <v/>
      </c>
      <c r="S435" s="34" t="str">
        <f aca="false">IF(B435="","",IF(MONTH(B435)=10,"X",""))</f>
        <v/>
      </c>
      <c r="T435" s="34" t="str">
        <f aca="false">IF(B435="","",IF(MONTH(B435)=11,"X",""))</f>
        <v/>
      </c>
      <c r="U435" s="34" t="str">
        <f aca="false">IF(B435="","",IF(MONTH(B435)=12,"X",""))</f>
        <v/>
      </c>
      <c r="V435" s="24" t="str">
        <f aca="false">IF(E435="","",COUNTIF($E$5:$E$1000,E435))</f>
        <v/>
      </c>
      <c r="W435" s="35" t="str">
        <f aca="false">IF(E435="","",_xlfn.TEXTJOIN(" + ",TRUE(),IF(COUNTIFS($E$5:$E$1000,E435,$C$5:$C$1000,"Auditoría Interna")&gt;0,"Interna",""),IF(COUNTIFS($E$5:$E$1000,E435,$C$5:$C$1000,"Auditoría Externa")&gt;0,"Externa",""),IF(COUNTIFS($E$5:$E$1000,E435,$C$5:$C$1000,"SSF")&gt;0,"SSF",""),IF(COUNTIFS($E$5:$E$1000,E435,$C$5:$C$1000,"Comité de Supervisión")&gt;0,"Comité Sup.",""),IF(COUNTIFS($E$5:$E$1000,E435,$C$5:$C$1000,"Consejo de Administración")&gt;0,"Consejo",""),IF(COUNTIFS($E$5:$E$1000,E435,$C$5:$C$1000,"Otros")&gt;0,"Otros","")))</f>
        <v/>
      </c>
      <c r="X435" s="24" t="str">
        <f aca="false">IF(E435="","",COUNTIFS($E$5:$E$1000,E435,$AB$5:$AB$1000,AB435,$C$5:$C$1000,"&lt;&gt;"&amp;C435))</f>
        <v/>
      </c>
      <c r="Y435" s="33"/>
      <c r="Z435" s="31"/>
      <c r="AA435" s="33"/>
      <c r="AB435" s="37" t="str">
        <f aca="false">IF(B435="","",YEAR(B435)*100+MONTH(B435))</f>
        <v/>
      </c>
      <c r="AC435" s="37" t="str">
        <f aca="false">IF(AND(E435&lt;&gt;"",E435=Cruce!$C$5),COUNTIF($E$5:E435,E435),"")</f>
        <v/>
      </c>
      <c r="AD435" s="37" t="str">
        <f aca="false">IF(E435="","",C435&amp;"|"&amp;Y435&amp;"|"&amp;IF(B435="","s/f",TEXT(B435,"yyyymmdd")))</f>
        <v/>
      </c>
      <c r="AE435" s="37" t="n">
        <f aca="false">IF(E435="",0,IF(COUNTIFS($E$5:E435,E435,$AD$5:AD435,AD435)=1,1,0))</f>
        <v>0</v>
      </c>
    </row>
    <row r="436" customFormat="false" ht="15" hidden="false" customHeight="true" outlineLevel="0" collapsed="false">
      <c r="A436" s="31"/>
      <c r="B436" s="30"/>
      <c r="C436" s="31"/>
      <c r="D436" s="31"/>
      <c r="E436" s="32"/>
      <c r="F436" s="32"/>
      <c r="G436" s="33"/>
      <c r="H436" s="31"/>
      <c r="I436" s="24" t="str">
        <f aca="false">IF(B436="","",YEAR(B436))</f>
        <v/>
      </c>
      <c r="J436" s="34" t="str">
        <f aca="false">IF(B436="","",IF(MONTH(B436)=1,"X",""))</f>
        <v/>
      </c>
      <c r="K436" s="34" t="str">
        <f aca="false">IF(B436="","",IF(MONTH(B436)=2,"X",""))</f>
        <v/>
      </c>
      <c r="L436" s="34" t="str">
        <f aca="false">IF(B436="","",IF(MONTH(B436)=3,"X",""))</f>
        <v/>
      </c>
      <c r="M436" s="34" t="str">
        <f aca="false">IF(B436="","",IF(MONTH(B436)=4,"X",""))</f>
        <v/>
      </c>
      <c r="N436" s="34" t="str">
        <f aca="false">IF(B436="","",IF(MONTH(B436)=5,"X",""))</f>
        <v/>
      </c>
      <c r="O436" s="34" t="str">
        <f aca="false">IF(B436="","",IF(MONTH(B436)=6,"X",""))</f>
        <v/>
      </c>
      <c r="P436" s="34" t="str">
        <f aca="false">IF(B436="","",IF(MONTH(B436)=7,"X",""))</f>
        <v/>
      </c>
      <c r="Q436" s="34" t="str">
        <f aca="false">IF(B436="","",IF(MONTH(B436)=8,"X",""))</f>
        <v/>
      </c>
      <c r="R436" s="34" t="str">
        <f aca="false">IF(B436="","",IF(MONTH(B436)=9,"X",""))</f>
        <v/>
      </c>
      <c r="S436" s="34" t="str">
        <f aca="false">IF(B436="","",IF(MONTH(B436)=10,"X",""))</f>
        <v/>
      </c>
      <c r="T436" s="34" t="str">
        <f aca="false">IF(B436="","",IF(MONTH(B436)=11,"X",""))</f>
        <v/>
      </c>
      <c r="U436" s="34" t="str">
        <f aca="false">IF(B436="","",IF(MONTH(B436)=12,"X",""))</f>
        <v/>
      </c>
      <c r="V436" s="24" t="str">
        <f aca="false">IF(E436="","",COUNTIF($E$5:$E$1000,E436))</f>
        <v/>
      </c>
      <c r="W436" s="35" t="str">
        <f aca="false">IF(E436="","",_xlfn.TEXTJOIN(" + ",TRUE(),IF(COUNTIFS($E$5:$E$1000,E436,$C$5:$C$1000,"Auditoría Interna")&gt;0,"Interna",""),IF(COUNTIFS($E$5:$E$1000,E436,$C$5:$C$1000,"Auditoría Externa")&gt;0,"Externa",""),IF(COUNTIFS($E$5:$E$1000,E436,$C$5:$C$1000,"SSF")&gt;0,"SSF",""),IF(COUNTIFS($E$5:$E$1000,E436,$C$5:$C$1000,"Comité de Supervisión")&gt;0,"Comité Sup.",""),IF(COUNTIFS($E$5:$E$1000,E436,$C$5:$C$1000,"Consejo de Administración")&gt;0,"Consejo",""),IF(COUNTIFS($E$5:$E$1000,E436,$C$5:$C$1000,"Otros")&gt;0,"Otros","")))</f>
        <v/>
      </c>
      <c r="X436" s="24" t="str">
        <f aca="false">IF(E436="","",COUNTIFS($E$5:$E$1000,E436,$AB$5:$AB$1000,AB436,$C$5:$C$1000,"&lt;&gt;"&amp;C436))</f>
        <v/>
      </c>
      <c r="Y436" s="33"/>
      <c r="Z436" s="31"/>
      <c r="AA436" s="33"/>
      <c r="AB436" s="37" t="str">
        <f aca="false">IF(B436="","",YEAR(B436)*100+MONTH(B436))</f>
        <v/>
      </c>
      <c r="AC436" s="37" t="str">
        <f aca="false">IF(AND(E436&lt;&gt;"",E436=Cruce!$C$5),COUNTIF($E$5:E436,E436),"")</f>
        <v/>
      </c>
      <c r="AD436" s="37" t="str">
        <f aca="false">IF(E436="","",C436&amp;"|"&amp;Y436&amp;"|"&amp;IF(B436="","s/f",TEXT(B436,"yyyymmdd")))</f>
        <v/>
      </c>
      <c r="AE436" s="37" t="n">
        <f aca="false">IF(E436="",0,IF(COUNTIFS($E$5:E436,E436,$AD$5:AD436,AD436)=1,1,0))</f>
        <v>0</v>
      </c>
    </row>
    <row r="437" customFormat="false" ht="15" hidden="false" customHeight="true" outlineLevel="0" collapsed="false">
      <c r="A437" s="31"/>
      <c r="B437" s="30"/>
      <c r="C437" s="31"/>
      <c r="D437" s="31"/>
      <c r="E437" s="32"/>
      <c r="F437" s="32"/>
      <c r="G437" s="33"/>
      <c r="H437" s="31"/>
      <c r="I437" s="24" t="str">
        <f aca="false">IF(B437="","",YEAR(B437))</f>
        <v/>
      </c>
      <c r="J437" s="34" t="str">
        <f aca="false">IF(B437="","",IF(MONTH(B437)=1,"X",""))</f>
        <v/>
      </c>
      <c r="K437" s="34" t="str">
        <f aca="false">IF(B437="","",IF(MONTH(B437)=2,"X",""))</f>
        <v/>
      </c>
      <c r="L437" s="34" t="str">
        <f aca="false">IF(B437="","",IF(MONTH(B437)=3,"X",""))</f>
        <v/>
      </c>
      <c r="M437" s="34" t="str">
        <f aca="false">IF(B437="","",IF(MONTH(B437)=4,"X",""))</f>
        <v/>
      </c>
      <c r="N437" s="34" t="str">
        <f aca="false">IF(B437="","",IF(MONTH(B437)=5,"X",""))</f>
        <v/>
      </c>
      <c r="O437" s="34" t="str">
        <f aca="false">IF(B437="","",IF(MONTH(B437)=6,"X",""))</f>
        <v/>
      </c>
      <c r="P437" s="34" t="str">
        <f aca="false">IF(B437="","",IF(MONTH(B437)=7,"X",""))</f>
        <v/>
      </c>
      <c r="Q437" s="34" t="str">
        <f aca="false">IF(B437="","",IF(MONTH(B437)=8,"X",""))</f>
        <v/>
      </c>
      <c r="R437" s="34" t="str">
        <f aca="false">IF(B437="","",IF(MONTH(B437)=9,"X",""))</f>
        <v/>
      </c>
      <c r="S437" s="34" t="str">
        <f aca="false">IF(B437="","",IF(MONTH(B437)=10,"X",""))</f>
        <v/>
      </c>
      <c r="T437" s="34" t="str">
        <f aca="false">IF(B437="","",IF(MONTH(B437)=11,"X",""))</f>
        <v/>
      </c>
      <c r="U437" s="34" t="str">
        <f aca="false">IF(B437="","",IF(MONTH(B437)=12,"X",""))</f>
        <v/>
      </c>
      <c r="V437" s="24" t="str">
        <f aca="false">IF(E437="","",COUNTIF($E$5:$E$1000,E437))</f>
        <v/>
      </c>
      <c r="W437" s="35" t="str">
        <f aca="false">IF(E437="","",_xlfn.TEXTJOIN(" + ",TRUE(),IF(COUNTIFS($E$5:$E$1000,E437,$C$5:$C$1000,"Auditoría Interna")&gt;0,"Interna",""),IF(COUNTIFS($E$5:$E$1000,E437,$C$5:$C$1000,"Auditoría Externa")&gt;0,"Externa",""),IF(COUNTIFS($E$5:$E$1000,E437,$C$5:$C$1000,"SSF")&gt;0,"SSF",""),IF(COUNTIFS($E$5:$E$1000,E437,$C$5:$C$1000,"Comité de Supervisión")&gt;0,"Comité Sup.",""),IF(COUNTIFS($E$5:$E$1000,E437,$C$5:$C$1000,"Consejo de Administración")&gt;0,"Consejo",""),IF(COUNTIFS($E$5:$E$1000,E437,$C$5:$C$1000,"Otros")&gt;0,"Otros","")))</f>
        <v/>
      </c>
      <c r="X437" s="24" t="str">
        <f aca="false">IF(E437="","",COUNTIFS($E$5:$E$1000,E437,$AB$5:$AB$1000,AB437,$C$5:$C$1000,"&lt;&gt;"&amp;C437))</f>
        <v/>
      </c>
      <c r="Y437" s="33"/>
      <c r="Z437" s="31"/>
      <c r="AA437" s="33"/>
      <c r="AB437" s="37" t="str">
        <f aca="false">IF(B437="","",YEAR(B437)*100+MONTH(B437))</f>
        <v/>
      </c>
      <c r="AC437" s="37" t="str">
        <f aca="false">IF(AND(E437&lt;&gt;"",E437=Cruce!$C$5),COUNTIF($E$5:E437,E437),"")</f>
        <v/>
      </c>
      <c r="AD437" s="37" t="str">
        <f aca="false">IF(E437="","",C437&amp;"|"&amp;Y437&amp;"|"&amp;IF(B437="","s/f",TEXT(B437,"yyyymmdd")))</f>
        <v/>
      </c>
      <c r="AE437" s="37" t="n">
        <f aca="false">IF(E437="",0,IF(COUNTIFS($E$5:E437,E437,$AD$5:AD437,AD437)=1,1,0))</f>
        <v>0</v>
      </c>
    </row>
    <row r="438" customFormat="false" ht="15" hidden="false" customHeight="true" outlineLevel="0" collapsed="false">
      <c r="A438" s="31"/>
      <c r="B438" s="30"/>
      <c r="C438" s="31"/>
      <c r="D438" s="31"/>
      <c r="E438" s="32"/>
      <c r="F438" s="32"/>
      <c r="G438" s="33"/>
      <c r="H438" s="31"/>
      <c r="I438" s="24" t="str">
        <f aca="false">IF(B438="","",YEAR(B438))</f>
        <v/>
      </c>
      <c r="J438" s="34" t="str">
        <f aca="false">IF(B438="","",IF(MONTH(B438)=1,"X",""))</f>
        <v/>
      </c>
      <c r="K438" s="34" t="str">
        <f aca="false">IF(B438="","",IF(MONTH(B438)=2,"X",""))</f>
        <v/>
      </c>
      <c r="L438" s="34" t="str">
        <f aca="false">IF(B438="","",IF(MONTH(B438)=3,"X",""))</f>
        <v/>
      </c>
      <c r="M438" s="34" t="str">
        <f aca="false">IF(B438="","",IF(MONTH(B438)=4,"X",""))</f>
        <v/>
      </c>
      <c r="N438" s="34" t="str">
        <f aca="false">IF(B438="","",IF(MONTH(B438)=5,"X",""))</f>
        <v/>
      </c>
      <c r="O438" s="34" t="str">
        <f aca="false">IF(B438="","",IF(MONTH(B438)=6,"X",""))</f>
        <v/>
      </c>
      <c r="P438" s="34" t="str">
        <f aca="false">IF(B438="","",IF(MONTH(B438)=7,"X",""))</f>
        <v/>
      </c>
      <c r="Q438" s="34" t="str">
        <f aca="false">IF(B438="","",IF(MONTH(B438)=8,"X",""))</f>
        <v/>
      </c>
      <c r="R438" s="34" t="str">
        <f aca="false">IF(B438="","",IF(MONTH(B438)=9,"X",""))</f>
        <v/>
      </c>
      <c r="S438" s="34" t="str">
        <f aca="false">IF(B438="","",IF(MONTH(B438)=10,"X",""))</f>
        <v/>
      </c>
      <c r="T438" s="34" t="str">
        <f aca="false">IF(B438="","",IF(MONTH(B438)=11,"X",""))</f>
        <v/>
      </c>
      <c r="U438" s="34" t="str">
        <f aca="false">IF(B438="","",IF(MONTH(B438)=12,"X",""))</f>
        <v/>
      </c>
      <c r="V438" s="24" t="str">
        <f aca="false">IF(E438="","",COUNTIF($E$5:$E$1000,E438))</f>
        <v/>
      </c>
      <c r="W438" s="35" t="str">
        <f aca="false">IF(E438="","",_xlfn.TEXTJOIN(" + ",TRUE(),IF(COUNTIFS($E$5:$E$1000,E438,$C$5:$C$1000,"Auditoría Interna")&gt;0,"Interna",""),IF(COUNTIFS($E$5:$E$1000,E438,$C$5:$C$1000,"Auditoría Externa")&gt;0,"Externa",""),IF(COUNTIFS($E$5:$E$1000,E438,$C$5:$C$1000,"SSF")&gt;0,"SSF",""),IF(COUNTIFS($E$5:$E$1000,E438,$C$5:$C$1000,"Comité de Supervisión")&gt;0,"Comité Sup.",""),IF(COUNTIFS($E$5:$E$1000,E438,$C$5:$C$1000,"Consejo de Administración")&gt;0,"Consejo",""),IF(COUNTIFS($E$5:$E$1000,E438,$C$5:$C$1000,"Otros")&gt;0,"Otros","")))</f>
        <v/>
      </c>
      <c r="X438" s="24" t="str">
        <f aca="false">IF(E438="","",COUNTIFS($E$5:$E$1000,E438,$AB$5:$AB$1000,AB438,$C$5:$C$1000,"&lt;&gt;"&amp;C438))</f>
        <v/>
      </c>
      <c r="Y438" s="33"/>
      <c r="Z438" s="31"/>
      <c r="AA438" s="33"/>
      <c r="AB438" s="37" t="str">
        <f aca="false">IF(B438="","",YEAR(B438)*100+MONTH(B438))</f>
        <v/>
      </c>
      <c r="AC438" s="37" t="str">
        <f aca="false">IF(AND(E438&lt;&gt;"",E438=Cruce!$C$5),COUNTIF($E$5:E438,E438),"")</f>
        <v/>
      </c>
      <c r="AD438" s="37" t="str">
        <f aca="false">IF(E438="","",C438&amp;"|"&amp;Y438&amp;"|"&amp;IF(B438="","s/f",TEXT(B438,"yyyymmdd")))</f>
        <v/>
      </c>
      <c r="AE438" s="37" t="n">
        <f aca="false">IF(E438="",0,IF(COUNTIFS($E$5:E438,E438,$AD$5:AD438,AD438)=1,1,0))</f>
        <v>0</v>
      </c>
    </row>
    <row r="439" customFormat="false" ht="15" hidden="false" customHeight="true" outlineLevel="0" collapsed="false">
      <c r="A439" s="31"/>
      <c r="B439" s="30"/>
      <c r="C439" s="31"/>
      <c r="D439" s="31"/>
      <c r="E439" s="32"/>
      <c r="F439" s="32"/>
      <c r="G439" s="33"/>
      <c r="H439" s="31"/>
      <c r="I439" s="24" t="str">
        <f aca="false">IF(B439="","",YEAR(B439))</f>
        <v/>
      </c>
      <c r="J439" s="34" t="str">
        <f aca="false">IF(B439="","",IF(MONTH(B439)=1,"X",""))</f>
        <v/>
      </c>
      <c r="K439" s="34" t="str">
        <f aca="false">IF(B439="","",IF(MONTH(B439)=2,"X",""))</f>
        <v/>
      </c>
      <c r="L439" s="34" t="str">
        <f aca="false">IF(B439="","",IF(MONTH(B439)=3,"X",""))</f>
        <v/>
      </c>
      <c r="M439" s="34" t="str">
        <f aca="false">IF(B439="","",IF(MONTH(B439)=4,"X",""))</f>
        <v/>
      </c>
      <c r="N439" s="34" t="str">
        <f aca="false">IF(B439="","",IF(MONTH(B439)=5,"X",""))</f>
        <v/>
      </c>
      <c r="O439" s="34" t="str">
        <f aca="false">IF(B439="","",IF(MONTH(B439)=6,"X",""))</f>
        <v/>
      </c>
      <c r="P439" s="34" t="str">
        <f aca="false">IF(B439="","",IF(MONTH(B439)=7,"X",""))</f>
        <v/>
      </c>
      <c r="Q439" s="34" t="str">
        <f aca="false">IF(B439="","",IF(MONTH(B439)=8,"X",""))</f>
        <v/>
      </c>
      <c r="R439" s="34" t="str">
        <f aca="false">IF(B439="","",IF(MONTH(B439)=9,"X",""))</f>
        <v/>
      </c>
      <c r="S439" s="34" t="str">
        <f aca="false">IF(B439="","",IF(MONTH(B439)=10,"X",""))</f>
        <v/>
      </c>
      <c r="T439" s="34" t="str">
        <f aca="false">IF(B439="","",IF(MONTH(B439)=11,"X",""))</f>
        <v/>
      </c>
      <c r="U439" s="34" t="str">
        <f aca="false">IF(B439="","",IF(MONTH(B439)=12,"X",""))</f>
        <v/>
      </c>
      <c r="V439" s="24" t="str">
        <f aca="false">IF(E439="","",COUNTIF($E$5:$E$1000,E439))</f>
        <v/>
      </c>
      <c r="W439" s="35" t="str">
        <f aca="false">IF(E439="","",_xlfn.TEXTJOIN(" + ",TRUE(),IF(COUNTIFS($E$5:$E$1000,E439,$C$5:$C$1000,"Auditoría Interna")&gt;0,"Interna",""),IF(COUNTIFS($E$5:$E$1000,E439,$C$5:$C$1000,"Auditoría Externa")&gt;0,"Externa",""),IF(COUNTIFS($E$5:$E$1000,E439,$C$5:$C$1000,"SSF")&gt;0,"SSF",""),IF(COUNTIFS($E$5:$E$1000,E439,$C$5:$C$1000,"Comité de Supervisión")&gt;0,"Comité Sup.",""),IF(COUNTIFS($E$5:$E$1000,E439,$C$5:$C$1000,"Consejo de Administración")&gt;0,"Consejo",""),IF(COUNTIFS($E$5:$E$1000,E439,$C$5:$C$1000,"Otros")&gt;0,"Otros","")))</f>
        <v/>
      </c>
      <c r="X439" s="24" t="str">
        <f aca="false">IF(E439="","",COUNTIFS($E$5:$E$1000,E439,$AB$5:$AB$1000,AB439,$C$5:$C$1000,"&lt;&gt;"&amp;C439))</f>
        <v/>
      </c>
      <c r="Y439" s="33"/>
      <c r="Z439" s="31"/>
      <c r="AA439" s="33"/>
      <c r="AB439" s="37" t="str">
        <f aca="false">IF(B439="","",YEAR(B439)*100+MONTH(B439))</f>
        <v/>
      </c>
      <c r="AC439" s="37" t="str">
        <f aca="false">IF(AND(E439&lt;&gt;"",E439=Cruce!$C$5),COUNTIF($E$5:E439,E439),"")</f>
        <v/>
      </c>
      <c r="AD439" s="37" t="str">
        <f aca="false">IF(E439="","",C439&amp;"|"&amp;Y439&amp;"|"&amp;IF(B439="","s/f",TEXT(B439,"yyyymmdd")))</f>
        <v/>
      </c>
      <c r="AE439" s="37" t="n">
        <f aca="false">IF(E439="",0,IF(COUNTIFS($E$5:E439,E439,$AD$5:AD439,AD439)=1,1,0))</f>
        <v>0</v>
      </c>
    </row>
    <row r="440" customFormat="false" ht="15" hidden="false" customHeight="true" outlineLevel="0" collapsed="false">
      <c r="A440" s="31"/>
      <c r="B440" s="30"/>
      <c r="C440" s="31"/>
      <c r="D440" s="31"/>
      <c r="E440" s="32"/>
      <c r="F440" s="32"/>
      <c r="G440" s="33"/>
      <c r="H440" s="31"/>
      <c r="I440" s="24" t="str">
        <f aca="false">IF(B440="","",YEAR(B440))</f>
        <v/>
      </c>
      <c r="J440" s="34" t="str">
        <f aca="false">IF(B440="","",IF(MONTH(B440)=1,"X",""))</f>
        <v/>
      </c>
      <c r="K440" s="34" t="str">
        <f aca="false">IF(B440="","",IF(MONTH(B440)=2,"X",""))</f>
        <v/>
      </c>
      <c r="L440" s="34" t="str">
        <f aca="false">IF(B440="","",IF(MONTH(B440)=3,"X",""))</f>
        <v/>
      </c>
      <c r="M440" s="34" t="str">
        <f aca="false">IF(B440="","",IF(MONTH(B440)=4,"X",""))</f>
        <v/>
      </c>
      <c r="N440" s="34" t="str">
        <f aca="false">IF(B440="","",IF(MONTH(B440)=5,"X",""))</f>
        <v/>
      </c>
      <c r="O440" s="34" t="str">
        <f aca="false">IF(B440="","",IF(MONTH(B440)=6,"X",""))</f>
        <v/>
      </c>
      <c r="P440" s="34" t="str">
        <f aca="false">IF(B440="","",IF(MONTH(B440)=7,"X",""))</f>
        <v/>
      </c>
      <c r="Q440" s="34" t="str">
        <f aca="false">IF(B440="","",IF(MONTH(B440)=8,"X",""))</f>
        <v/>
      </c>
      <c r="R440" s="34" t="str">
        <f aca="false">IF(B440="","",IF(MONTH(B440)=9,"X",""))</f>
        <v/>
      </c>
      <c r="S440" s="34" t="str">
        <f aca="false">IF(B440="","",IF(MONTH(B440)=10,"X",""))</f>
        <v/>
      </c>
      <c r="T440" s="34" t="str">
        <f aca="false">IF(B440="","",IF(MONTH(B440)=11,"X",""))</f>
        <v/>
      </c>
      <c r="U440" s="34" t="str">
        <f aca="false">IF(B440="","",IF(MONTH(B440)=12,"X",""))</f>
        <v/>
      </c>
      <c r="V440" s="24" t="str">
        <f aca="false">IF(E440="","",COUNTIF($E$5:$E$1000,E440))</f>
        <v/>
      </c>
      <c r="W440" s="35" t="str">
        <f aca="false">IF(E440="","",_xlfn.TEXTJOIN(" + ",TRUE(),IF(COUNTIFS($E$5:$E$1000,E440,$C$5:$C$1000,"Auditoría Interna")&gt;0,"Interna",""),IF(COUNTIFS($E$5:$E$1000,E440,$C$5:$C$1000,"Auditoría Externa")&gt;0,"Externa",""),IF(COUNTIFS($E$5:$E$1000,E440,$C$5:$C$1000,"SSF")&gt;0,"SSF",""),IF(COUNTIFS($E$5:$E$1000,E440,$C$5:$C$1000,"Comité de Supervisión")&gt;0,"Comité Sup.",""),IF(COUNTIFS($E$5:$E$1000,E440,$C$5:$C$1000,"Consejo de Administración")&gt;0,"Consejo",""),IF(COUNTIFS($E$5:$E$1000,E440,$C$5:$C$1000,"Otros")&gt;0,"Otros","")))</f>
        <v/>
      </c>
      <c r="X440" s="24" t="str">
        <f aca="false">IF(E440="","",COUNTIFS($E$5:$E$1000,E440,$AB$5:$AB$1000,AB440,$C$5:$C$1000,"&lt;&gt;"&amp;C440))</f>
        <v/>
      </c>
      <c r="Y440" s="33"/>
      <c r="Z440" s="31"/>
      <c r="AA440" s="33"/>
      <c r="AB440" s="37" t="str">
        <f aca="false">IF(B440="","",YEAR(B440)*100+MONTH(B440))</f>
        <v/>
      </c>
      <c r="AC440" s="37" t="str">
        <f aca="false">IF(AND(E440&lt;&gt;"",E440=Cruce!$C$5),COUNTIF($E$5:E440,E440),"")</f>
        <v/>
      </c>
      <c r="AD440" s="37" t="str">
        <f aca="false">IF(E440="","",C440&amp;"|"&amp;Y440&amp;"|"&amp;IF(B440="","s/f",TEXT(B440,"yyyymmdd")))</f>
        <v/>
      </c>
      <c r="AE440" s="37" t="n">
        <f aca="false">IF(E440="",0,IF(COUNTIFS($E$5:E440,E440,$AD$5:AD440,AD440)=1,1,0))</f>
        <v>0</v>
      </c>
    </row>
    <row r="441" customFormat="false" ht="15" hidden="false" customHeight="true" outlineLevel="0" collapsed="false">
      <c r="A441" s="31"/>
      <c r="B441" s="30"/>
      <c r="C441" s="31"/>
      <c r="D441" s="31"/>
      <c r="E441" s="32"/>
      <c r="F441" s="32"/>
      <c r="G441" s="33"/>
      <c r="H441" s="31"/>
      <c r="I441" s="24" t="str">
        <f aca="false">IF(B441="","",YEAR(B441))</f>
        <v/>
      </c>
      <c r="J441" s="34" t="str">
        <f aca="false">IF(B441="","",IF(MONTH(B441)=1,"X",""))</f>
        <v/>
      </c>
      <c r="K441" s="34" t="str">
        <f aca="false">IF(B441="","",IF(MONTH(B441)=2,"X",""))</f>
        <v/>
      </c>
      <c r="L441" s="34" t="str">
        <f aca="false">IF(B441="","",IF(MONTH(B441)=3,"X",""))</f>
        <v/>
      </c>
      <c r="M441" s="34" t="str">
        <f aca="false">IF(B441="","",IF(MONTH(B441)=4,"X",""))</f>
        <v/>
      </c>
      <c r="N441" s="34" t="str">
        <f aca="false">IF(B441="","",IF(MONTH(B441)=5,"X",""))</f>
        <v/>
      </c>
      <c r="O441" s="34" t="str">
        <f aca="false">IF(B441="","",IF(MONTH(B441)=6,"X",""))</f>
        <v/>
      </c>
      <c r="P441" s="34" t="str">
        <f aca="false">IF(B441="","",IF(MONTH(B441)=7,"X",""))</f>
        <v/>
      </c>
      <c r="Q441" s="34" t="str">
        <f aca="false">IF(B441="","",IF(MONTH(B441)=8,"X",""))</f>
        <v/>
      </c>
      <c r="R441" s="34" t="str">
        <f aca="false">IF(B441="","",IF(MONTH(B441)=9,"X",""))</f>
        <v/>
      </c>
      <c r="S441" s="34" t="str">
        <f aca="false">IF(B441="","",IF(MONTH(B441)=10,"X",""))</f>
        <v/>
      </c>
      <c r="T441" s="34" t="str">
        <f aca="false">IF(B441="","",IF(MONTH(B441)=11,"X",""))</f>
        <v/>
      </c>
      <c r="U441" s="34" t="str">
        <f aca="false">IF(B441="","",IF(MONTH(B441)=12,"X",""))</f>
        <v/>
      </c>
      <c r="V441" s="24" t="str">
        <f aca="false">IF(E441="","",COUNTIF($E$5:$E$1000,E441))</f>
        <v/>
      </c>
      <c r="W441" s="35" t="str">
        <f aca="false">IF(E441="","",_xlfn.TEXTJOIN(" + ",TRUE(),IF(COUNTIFS($E$5:$E$1000,E441,$C$5:$C$1000,"Auditoría Interna")&gt;0,"Interna",""),IF(COUNTIFS($E$5:$E$1000,E441,$C$5:$C$1000,"Auditoría Externa")&gt;0,"Externa",""),IF(COUNTIFS($E$5:$E$1000,E441,$C$5:$C$1000,"SSF")&gt;0,"SSF",""),IF(COUNTIFS($E$5:$E$1000,E441,$C$5:$C$1000,"Comité de Supervisión")&gt;0,"Comité Sup.",""),IF(COUNTIFS($E$5:$E$1000,E441,$C$5:$C$1000,"Consejo de Administración")&gt;0,"Consejo",""),IF(COUNTIFS($E$5:$E$1000,E441,$C$5:$C$1000,"Otros")&gt;0,"Otros","")))</f>
        <v/>
      </c>
      <c r="X441" s="24" t="str">
        <f aca="false">IF(E441="","",COUNTIFS($E$5:$E$1000,E441,$AB$5:$AB$1000,AB441,$C$5:$C$1000,"&lt;&gt;"&amp;C441))</f>
        <v/>
      </c>
      <c r="Y441" s="33"/>
      <c r="Z441" s="31"/>
      <c r="AA441" s="33"/>
      <c r="AB441" s="37" t="str">
        <f aca="false">IF(B441="","",YEAR(B441)*100+MONTH(B441))</f>
        <v/>
      </c>
      <c r="AC441" s="37" t="str">
        <f aca="false">IF(AND(E441&lt;&gt;"",E441=Cruce!$C$5),COUNTIF($E$5:E441,E441),"")</f>
        <v/>
      </c>
      <c r="AD441" s="37" t="str">
        <f aca="false">IF(E441="","",C441&amp;"|"&amp;Y441&amp;"|"&amp;IF(B441="","s/f",TEXT(B441,"yyyymmdd")))</f>
        <v/>
      </c>
      <c r="AE441" s="37" t="n">
        <f aca="false">IF(E441="",0,IF(COUNTIFS($E$5:E441,E441,$AD$5:AD441,AD441)=1,1,0))</f>
        <v>0</v>
      </c>
    </row>
    <row r="442" customFormat="false" ht="15" hidden="false" customHeight="true" outlineLevel="0" collapsed="false">
      <c r="A442" s="31"/>
      <c r="B442" s="30"/>
      <c r="C442" s="31"/>
      <c r="D442" s="31"/>
      <c r="E442" s="32"/>
      <c r="F442" s="32"/>
      <c r="G442" s="33"/>
      <c r="H442" s="31"/>
      <c r="I442" s="24" t="str">
        <f aca="false">IF(B442="","",YEAR(B442))</f>
        <v/>
      </c>
      <c r="J442" s="34" t="str">
        <f aca="false">IF(B442="","",IF(MONTH(B442)=1,"X",""))</f>
        <v/>
      </c>
      <c r="K442" s="34" t="str">
        <f aca="false">IF(B442="","",IF(MONTH(B442)=2,"X",""))</f>
        <v/>
      </c>
      <c r="L442" s="34" t="str">
        <f aca="false">IF(B442="","",IF(MONTH(B442)=3,"X",""))</f>
        <v/>
      </c>
      <c r="M442" s="34" t="str">
        <f aca="false">IF(B442="","",IF(MONTH(B442)=4,"X",""))</f>
        <v/>
      </c>
      <c r="N442" s="34" t="str">
        <f aca="false">IF(B442="","",IF(MONTH(B442)=5,"X",""))</f>
        <v/>
      </c>
      <c r="O442" s="34" t="str">
        <f aca="false">IF(B442="","",IF(MONTH(B442)=6,"X",""))</f>
        <v/>
      </c>
      <c r="P442" s="34" t="str">
        <f aca="false">IF(B442="","",IF(MONTH(B442)=7,"X",""))</f>
        <v/>
      </c>
      <c r="Q442" s="34" t="str">
        <f aca="false">IF(B442="","",IF(MONTH(B442)=8,"X",""))</f>
        <v/>
      </c>
      <c r="R442" s="34" t="str">
        <f aca="false">IF(B442="","",IF(MONTH(B442)=9,"X",""))</f>
        <v/>
      </c>
      <c r="S442" s="34" t="str">
        <f aca="false">IF(B442="","",IF(MONTH(B442)=10,"X",""))</f>
        <v/>
      </c>
      <c r="T442" s="34" t="str">
        <f aca="false">IF(B442="","",IF(MONTH(B442)=11,"X",""))</f>
        <v/>
      </c>
      <c r="U442" s="34" t="str">
        <f aca="false">IF(B442="","",IF(MONTH(B442)=12,"X",""))</f>
        <v/>
      </c>
      <c r="V442" s="24" t="str">
        <f aca="false">IF(E442="","",COUNTIF($E$5:$E$1000,E442))</f>
        <v/>
      </c>
      <c r="W442" s="35" t="str">
        <f aca="false">IF(E442="","",_xlfn.TEXTJOIN(" + ",TRUE(),IF(COUNTIFS($E$5:$E$1000,E442,$C$5:$C$1000,"Auditoría Interna")&gt;0,"Interna",""),IF(COUNTIFS($E$5:$E$1000,E442,$C$5:$C$1000,"Auditoría Externa")&gt;0,"Externa",""),IF(COUNTIFS($E$5:$E$1000,E442,$C$5:$C$1000,"SSF")&gt;0,"SSF",""),IF(COUNTIFS($E$5:$E$1000,E442,$C$5:$C$1000,"Comité de Supervisión")&gt;0,"Comité Sup.",""),IF(COUNTIFS($E$5:$E$1000,E442,$C$5:$C$1000,"Consejo de Administración")&gt;0,"Consejo",""),IF(COUNTIFS($E$5:$E$1000,E442,$C$5:$C$1000,"Otros")&gt;0,"Otros","")))</f>
        <v/>
      </c>
      <c r="X442" s="24" t="str">
        <f aca="false">IF(E442="","",COUNTIFS($E$5:$E$1000,E442,$AB$5:$AB$1000,AB442,$C$5:$C$1000,"&lt;&gt;"&amp;C442))</f>
        <v/>
      </c>
      <c r="Y442" s="33"/>
      <c r="Z442" s="31"/>
      <c r="AA442" s="33"/>
      <c r="AB442" s="37" t="str">
        <f aca="false">IF(B442="","",YEAR(B442)*100+MONTH(B442))</f>
        <v/>
      </c>
      <c r="AC442" s="37" t="str">
        <f aca="false">IF(AND(E442&lt;&gt;"",E442=Cruce!$C$5),COUNTIF($E$5:E442,E442),"")</f>
        <v/>
      </c>
      <c r="AD442" s="37" t="str">
        <f aca="false">IF(E442="","",C442&amp;"|"&amp;Y442&amp;"|"&amp;IF(B442="","s/f",TEXT(B442,"yyyymmdd")))</f>
        <v/>
      </c>
      <c r="AE442" s="37" t="n">
        <f aca="false">IF(E442="",0,IF(COUNTIFS($E$5:E442,E442,$AD$5:AD442,AD442)=1,1,0))</f>
        <v>0</v>
      </c>
    </row>
    <row r="443" customFormat="false" ht="15" hidden="false" customHeight="true" outlineLevel="0" collapsed="false">
      <c r="A443" s="31"/>
      <c r="B443" s="30"/>
      <c r="C443" s="31"/>
      <c r="D443" s="31"/>
      <c r="E443" s="32"/>
      <c r="F443" s="32"/>
      <c r="G443" s="33"/>
      <c r="H443" s="31"/>
      <c r="I443" s="24" t="str">
        <f aca="false">IF(B443="","",YEAR(B443))</f>
        <v/>
      </c>
      <c r="J443" s="34" t="str">
        <f aca="false">IF(B443="","",IF(MONTH(B443)=1,"X",""))</f>
        <v/>
      </c>
      <c r="K443" s="34" t="str">
        <f aca="false">IF(B443="","",IF(MONTH(B443)=2,"X",""))</f>
        <v/>
      </c>
      <c r="L443" s="34" t="str">
        <f aca="false">IF(B443="","",IF(MONTH(B443)=3,"X",""))</f>
        <v/>
      </c>
      <c r="M443" s="34" t="str">
        <f aca="false">IF(B443="","",IF(MONTH(B443)=4,"X",""))</f>
        <v/>
      </c>
      <c r="N443" s="34" t="str">
        <f aca="false">IF(B443="","",IF(MONTH(B443)=5,"X",""))</f>
        <v/>
      </c>
      <c r="O443" s="34" t="str">
        <f aca="false">IF(B443="","",IF(MONTH(B443)=6,"X",""))</f>
        <v/>
      </c>
      <c r="P443" s="34" t="str">
        <f aca="false">IF(B443="","",IF(MONTH(B443)=7,"X",""))</f>
        <v/>
      </c>
      <c r="Q443" s="34" t="str">
        <f aca="false">IF(B443="","",IF(MONTH(B443)=8,"X",""))</f>
        <v/>
      </c>
      <c r="R443" s="34" t="str">
        <f aca="false">IF(B443="","",IF(MONTH(B443)=9,"X",""))</f>
        <v/>
      </c>
      <c r="S443" s="34" t="str">
        <f aca="false">IF(B443="","",IF(MONTH(B443)=10,"X",""))</f>
        <v/>
      </c>
      <c r="T443" s="34" t="str">
        <f aca="false">IF(B443="","",IF(MONTH(B443)=11,"X",""))</f>
        <v/>
      </c>
      <c r="U443" s="34" t="str">
        <f aca="false">IF(B443="","",IF(MONTH(B443)=12,"X",""))</f>
        <v/>
      </c>
      <c r="V443" s="24" t="str">
        <f aca="false">IF(E443="","",COUNTIF($E$5:$E$1000,E443))</f>
        <v/>
      </c>
      <c r="W443" s="35" t="str">
        <f aca="false">IF(E443="","",_xlfn.TEXTJOIN(" + ",TRUE(),IF(COUNTIFS($E$5:$E$1000,E443,$C$5:$C$1000,"Auditoría Interna")&gt;0,"Interna",""),IF(COUNTIFS($E$5:$E$1000,E443,$C$5:$C$1000,"Auditoría Externa")&gt;0,"Externa",""),IF(COUNTIFS($E$5:$E$1000,E443,$C$5:$C$1000,"SSF")&gt;0,"SSF",""),IF(COUNTIFS($E$5:$E$1000,E443,$C$5:$C$1000,"Comité de Supervisión")&gt;0,"Comité Sup.",""),IF(COUNTIFS($E$5:$E$1000,E443,$C$5:$C$1000,"Consejo de Administración")&gt;0,"Consejo",""),IF(COUNTIFS($E$5:$E$1000,E443,$C$5:$C$1000,"Otros")&gt;0,"Otros","")))</f>
        <v/>
      </c>
      <c r="X443" s="24" t="str">
        <f aca="false">IF(E443="","",COUNTIFS($E$5:$E$1000,E443,$AB$5:$AB$1000,AB443,$C$5:$C$1000,"&lt;&gt;"&amp;C443))</f>
        <v/>
      </c>
      <c r="Y443" s="33"/>
      <c r="Z443" s="31"/>
      <c r="AA443" s="33"/>
      <c r="AB443" s="37" t="str">
        <f aca="false">IF(B443="","",YEAR(B443)*100+MONTH(B443))</f>
        <v/>
      </c>
      <c r="AC443" s="37" t="str">
        <f aca="false">IF(AND(E443&lt;&gt;"",E443=Cruce!$C$5),COUNTIF($E$5:E443,E443),"")</f>
        <v/>
      </c>
      <c r="AD443" s="37" t="str">
        <f aca="false">IF(E443="","",C443&amp;"|"&amp;Y443&amp;"|"&amp;IF(B443="","s/f",TEXT(B443,"yyyymmdd")))</f>
        <v/>
      </c>
      <c r="AE443" s="37" t="n">
        <f aca="false">IF(E443="",0,IF(COUNTIFS($E$5:E443,E443,$AD$5:AD443,AD443)=1,1,0))</f>
        <v>0</v>
      </c>
    </row>
    <row r="444" customFormat="false" ht="15" hidden="false" customHeight="true" outlineLevel="0" collapsed="false">
      <c r="A444" s="31"/>
      <c r="B444" s="30"/>
      <c r="C444" s="31"/>
      <c r="D444" s="31"/>
      <c r="E444" s="32"/>
      <c r="F444" s="32"/>
      <c r="G444" s="33"/>
      <c r="H444" s="31"/>
      <c r="I444" s="24" t="str">
        <f aca="false">IF(B444="","",YEAR(B444))</f>
        <v/>
      </c>
      <c r="J444" s="34" t="str">
        <f aca="false">IF(B444="","",IF(MONTH(B444)=1,"X",""))</f>
        <v/>
      </c>
      <c r="K444" s="34" t="str">
        <f aca="false">IF(B444="","",IF(MONTH(B444)=2,"X",""))</f>
        <v/>
      </c>
      <c r="L444" s="34" t="str">
        <f aca="false">IF(B444="","",IF(MONTH(B444)=3,"X",""))</f>
        <v/>
      </c>
      <c r="M444" s="34" t="str">
        <f aca="false">IF(B444="","",IF(MONTH(B444)=4,"X",""))</f>
        <v/>
      </c>
      <c r="N444" s="34" t="str">
        <f aca="false">IF(B444="","",IF(MONTH(B444)=5,"X",""))</f>
        <v/>
      </c>
      <c r="O444" s="34" t="str">
        <f aca="false">IF(B444="","",IF(MONTH(B444)=6,"X",""))</f>
        <v/>
      </c>
      <c r="P444" s="34" t="str">
        <f aca="false">IF(B444="","",IF(MONTH(B444)=7,"X",""))</f>
        <v/>
      </c>
      <c r="Q444" s="34" t="str">
        <f aca="false">IF(B444="","",IF(MONTH(B444)=8,"X",""))</f>
        <v/>
      </c>
      <c r="R444" s="34" t="str">
        <f aca="false">IF(B444="","",IF(MONTH(B444)=9,"X",""))</f>
        <v/>
      </c>
      <c r="S444" s="34" t="str">
        <f aca="false">IF(B444="","",IF(MONTH(B444)=10,"X",""))</f>
        <v/>
      </c>
      <c r="T444" s="34" t="str">
        <f aca="false">IF(B444="","",IF(MONTH(B444)=11,"X",""))</f>
        <v/>
      </c>
      <c r="U444" s="34" t="str">
        <f aca="false">IF(B444="","",IF(MONTH(B444)=12,"X",""))</f>
        <v/>
      </c>
      <c r="V444" s="24" t="str">
        <f aca="false">IF(E444="","",COUNTIF($E$5:$E$1000,E444))</f>
        <v/>
      </c>
      <c r="W444" s="35" t="str">
        <f aca="false">IF(E444="","",_xlfn.TEXTJOIN(" + ",TRUE(),IF(COUNTIFS($E$5:$E$1000,E444,$C$5:$C$1000,"Auditoría Interna")&gt;0,"Interna",""),IF(COUNTIFS($E$5:$E$1000,E444,$C$5:$C$1000,"Auditoría Externa")&gt;0,"Externa",""),IF(COUNTIFS($E$5:$E$1000,E444,$C$5:$C$1000,"SSF")&gt;0,"SSF",""),IF(COUNTIFS($E$5:$E$1000,E444,$C$5:$C$1000,"Comité de Supervisión")&gt;0,"Comité Sup.",""),IF(COUNTIFS($E$5:$E$1000,E444,$C$5:$C$1000,"Consejo de Administración")&gt;0,"Consejo",""),IF(COUNTIFS($E$5:$E$1000,E444,$C$5:$C$1000,"Otros")&gt;0,"Otros","")))</f>
        <v/>
      </c>
      <c r="X444" s="24" t="str">
        <f aca="false">IF(E444="","",COUNTIFS($E$5:$E$1000,E444,$AB$5:$AB$1000,AB444,$C$5:$C$1000,"&lt;&gt;"&amp;C444))</f>
        <v/>
      </c>
      <c r="Y444" s="33"/>
      <c r="Z444" s="31"/>
      <c r="AA444" s="33"/>
      <c r="AB444" s="37" t="str">
        <f aca="false">IF(B444="","",YEAR(B444)*100+MONTH(B444))</f>
        <v/>
      </c>
      <c r="AC444" s="37" t="str">
        <f aca="false">IF(AND(E444&lt;&gt;"",E444=Cruce!$C$5),COUNTIF($E$5:E444,E444),"")</f>
        <v/>
      </c>
      <c r="AD444" s="37" t="str">
        <f aca="false">IF(E444="","",C444&amp;"|"&amp;Y444&amp;"|"&amp;IF(B444="","s/f",TEXT(B444,"yyyymmdd")))</f>
        <v/>
      </c>
      <c r="AE444" s="37" t="n">
        <f aca="false">IF(E444="",0,IF(COUNTIFS($E$5:E444,E444,$AD$5:AD444,AD444)=1,1,0))</f>
        <v>0</v>
      </c>
    </row>
    <row r="445" customFormat="false" ht="15" hidden="false" customHeight="true" outlineLevel="0" collapsed="false">
      <c r="A445" s="31"/>
      <c r="B445" s="30"/>
      <c r="C445" s="31"/>
      <c r="D445" s="31"/>
      <c r="E445" s="32"/>
      <c r="F445" s="32"/>
      <c r="G445" s="33"/>
      <c r="H445" s="31"/>
      <c r="I445" s="24" t="str">
        <f aca="false">IF(B445="","",YEAR(B445))</f>
        <v/>
      </c>
      <c r="J445" s="34" t="str">
        <f aca="false">IF(B445="","",IF(MONTH(B445)=1,"X",""))</f>
        <v/>
      </c>
      <c r="K445" s="34" t="str">
        <f aca="false">IF(B445="","",IF(MONTH(B445)=2,"X",""))</f>
        <v/>
      </c>
      <c r="L445" s="34" t="str">
        <f aca="false">IF(B445="","",IF(MONTH(B445)=3,"X",""))</f>
        <v/>
      </c>
      <c r="M445" s="34" t="str">
        <f aca="false">IF(B445="","",IF(MONTH(B445)=4,"X",""))</f>
        <v/>
      </c>
      <c r="N445" s="34" t="str">
        <f aca="false">IF(B445="","",IF(MONTH(B445)=5,"X",""))</f>
        <v/>
      </c>
      <c r="O445" s="34" t="str">
        <f aca="false">IF(B445="","",IF(MONTH(B445)=6,"X",""))</f>
        <v/>
      </c>
      <c r="P445" s="34" t="str">
        <f aca="false">IF(B445="","",IF(MONTH(B445)=7,"X",""))</f>
        <v/>
      </c>
      <c r="Q445" s="34" t="str">
        <f aca="false">IF(B445="","",IF(MONTH(B445)=8,"X",""))</f>
        <v/>
      </c>
      <c r="R445" s="34" t="str">
        <f aca="false">IF(B445="","",IF(MONTH(B445)=9,"X",""))</f>
        <v/>
      </c>
      <c r="S445" s="34" t="str">
        <f aca="false">IF(B445="","",IF(MONTH(B445)=10,"X",""))</f>
        <v/>
      </c>
      <c r="T445" s="34" t="str">
        <f aca="false">IF(B445="","",IF(MONTH(B445)=11,"X",""))</f>
        <v/>
      </c>
      <c r="U445" s="34" t="str">
        <f aca="false">IF(B445="","",IF(MONTH(B445)=12,"X",""))</f>
        <v/>
      </c>
      <c r="V445" s="24" t="str">
        <f aca="false">IF(E445="","",COUNTIF($E$5:$E$1000,E445))</f>
        <v/>
      </c>
      <c r="W445" s="35" t="str">
        <f aca="false">IF(E445="","",_xlfn.TEXTJOIN(" + ",TRUE(),IF(COUNTIFS($E$5:$E$1000,E445,$C$5:$C$1000,"Auditoría Interna")&gt;0,"Interna",""),IF(COUNTIFS($E$5:$E$1000,E445,$C$5:$C$1000,"Auditoría Externa")&gt;0,"Externa",""),IF(COUNTIFS($E$5:$E$1000,E445,$C$5:$C$1000,"SSF")&gt;0,"SSF",""),IF(COUNTIFS($E$5:$E$1000,E445,$C$5:$C$1000,"Comité de Supervisión")&gt;0,"Comité Sup.",""),IF(COUNTIFS($E$5:$E$1000,E445,$C$5:$C$1000,"Consejo de Administración")&gt;0,"Consejo",""),IF(COUNTIFS($E$5:$E$1000,E445,$C$5:$C$1000,"Otros")&gt;0,"Otros","")))</f>
        <v/>
      </c>
      <c r="X445" s="24" t="str">
        <f aca="false">IF(E445="","",COUNTIFS($E$5:$E$1000,E445,$AB$5:$AB$1000,AB445,$C$5:$C$1000,"&lt;&gt;"&amp;C445))</f>
        <v/>
      </c>
      <c r="Y445" s="33"/>
      <c r="Z445" s="31"/>
      <c r="AA445" s="33"/>
      <c r="AB445" s="37" t="str">
        <f aca="false">IF(B445="","",YEAR(B445)*100+MONTH(B445))</f>
        <v/>
      </c>
      <c r="AC445" s="37" t="str">
        <f aca="false">IF(AND(E445&lt;&gt;"",E445=Cruce!$C$5),COUNTIF($E$5:E445,E445),"")</f>
        <v/>
      </c>
      <c r="AD445" s="37" t="str">
        <f aca="false">IF(E445="","",C445&amp;"|"&amp;Y445&amp;"|"&amp;IF(B445="","s/f",TEXT(B445,"yyyymmdd")))</f>
        <v/>
      </c>
      <c r="AE445" s="37" t="n">
        <f aca="false">IF(E445="",0,IF(COUNTIFS($E$5:E445,E445,$AD$5:AD445,AD445)=1,1,0))</f>
        <v>0</v>
      </c>
    </row>
    <row r="446" customFormat="false" ht="15" hidden="false" customHeight="true" outlineLevel="0" collapsed="false">
      <c r="A446" s="31"/>
      <c r="B446" s="30"/>
      <c r="C446" s="31"/>
      <c r="D446" s="31"/>
      <c r="E446" s="32"/>
      <c r="F446" s="32"/>
      <c r="G446" s="33"/>
      <c r="H446" s="31"/>
      <c r="I446" s="24" t="str">
        <f aca="false">IF(B446="","",YEAR(B446))</f>
        <v/>
      </c>
      <c r="J446" s="34" t="str">
        <f aca="false">IF(B446="","",IF(MONTH(B446)=1,"X",""))</f>
        <v/>
      </c>
      <c r="K446" s="34" t="str">
        <f aca="false">IF(B446="","",IF(MONTH(B446)=2,"X",""))</f>
        <v/>
      </c>
      <c r="L446" s="34" t="str">
        <f aca="false">IF(B446="","",IF(MONTH(B446)=3,"X",""))</f>
        <v/>
      </c>
      <c r="M446" s="34" t="str">
        <f aca="false">IF(B446="","",IF(MONTH(B446)=4,"X",""))</f>
        <v/>
      </c>
      <c r="N446" s="34" t="str">
        <f aca="false">IF(B446="","",IF(MONTH(B446)=5,"X",""))</f>
        <v/>
      </c>
      <c r="O446" s="34" t="str">
        <f aca="false">IF(B446="","",IF(MONTH(B446)=6,"X",""))</f>
        <v/>
      </c>
      <c r="P446" s="34" t="str">
        <f aca="false">IF(B446="","",IF(MONTH(B446)=7,"X",""))</f>
        <v/>
      </c>
      <c r="Q446" s="34" t="str">
        <f aca="false">IF(B446="","",IF(MONTH(B446)=8,"X",""))</f>
        <v/>
      </c>
      <c r="R446" s="34" t="str">
        <f aca="false">IF(B446="","",IF(MONTH(B446)=9,"X",""))</f>
        <v/>
      </c>
      <c r="S446" s="34" t="str">
        <f aca="false">IF(B446="","",IF(MONTH(B446)=10,"X",""))</f>
        <v/>
      </c>
      <c r="T446" s="34" t="str">
        <f aca="false">IF(B446="","",IF(MONTH(B446)=11,"X",""))</f>
        <v/>
      </c>
      <c r="U446" s="34" t="str">
        <f aca="false">IF(B446="","",IF(MONTH(B446)=12,"X",""))</f>
        <v/>
      </c>
      <c r="V446" s="24" t="str">
        <f aca="false">IF(E446="","",COUNTIF($E$5:$E$1000,E446))</f>
        <v/>
      </c>
      <c r="W446" s="35" t="str">
        <f aca="false">IF(E446="","",_xlfn.TEXTJOIN(" + ",TRUE(),IF(COUNTIFS($E$5:$E$1000,E446,$C$5:$C$1000,"Auditoría Interna")&gt;0,"Interna",""),IF(COUNTIFS($E$5:$E$1000,E446,$C$5:$C$1000,"Auditoría Externa")&gt;0,"Externa",""),IF(COUNTIFS($E$5:$E$1000,E446,$C$5:$C$1000,"SSF")&gt;0,"SSF",""),IF(COUNTIFS($E$5:$E$1000,E446,$C$5:$C$1000,"Comité de Supervisión")&gt;0,"Comité Sup.",""),IF(COUNTIFS($E$5:$E$1000,E446,$C$5:$C$1000,"Consejo de Administración")&gt;0,"Consejo",""),IF(COUNTIFS($E$5:$E$1000,E446,$C$5:$C$1000,"Otros")&gt;0,"Otros","")))</f>
        <v/>
      </c>
      <c r="X446" s="24" t="str">
        <f aca="false">IF(E446="","",COUNTIFS($E$5:$E$1000,E446,$AB$5:$AB$1000,AB446,$C$5:$C$1000,"&lt;&gt;"&amp;C446))</f>
        <v/>
      </c>
      <c r="Y446" s="33"/>
      <c r="Z446" s="31"/>
      <c r="AA446" s="33"/>
      <c r="AB446" s="37" t="str">
        <f aca="false">IF(B446="","",YEAR(B446)*100+MONTH(B446))</f>
        <v/>
      </c>
      <c r="AC446" s="37" t="str">
        <f aca="false">IF(AND(E446&lt;&gt;"",E446=Cruce!$C$5),COUNTIF($E$5:E446,E446),"")</f>
        <v/>
      </c>
      <c r="AD446" s="37" t="str">
        <f aca="false">IF(E446="","",C446&amp;"|"&amp;Y446&amp;"|"&amp;IF(B446="","s/f",TEXT(B446,"yyyymmdd")))</f>
        <v/>
      </c>
      <c r="AE446" s="37" t="n">
        <f aca="false">IF(E446="",0,IF(COUNTIFS($E$5:E446,E446,$AD$5:AD446,AD446)=1,1,0))</f>
        <v>0</v>
      </c>
    </row>
    <row r="447" customFormat="false" ht="15" hidden="false" customHeight="true" outlineLevel="0" collapsed="false">
      <c r="A447" s="31"/>
      <c r="B447" s="30"/>
      <c r="C447" s="31"/>
      <c r="D447" s="31"/>
      <c r="E447" s="32"/>
      <c r="F447" s="32"/>
      <c r="G447" s="33"/>
      <c r="H447" s="31"/>
      <c r="I447" s="24" t="str">
        <f aca="false">IF(B447="","",YEAR(B447))</f>
        <v/>
      </c>
      <c r="J447" s="34" t="str">
        <f aca="false">IF(B447="","",IF(MONTH(B447)=1,"X",""))</f>
        <v/>
      </c>
      <c r="K447" s="34" t="str">
        <f aca="false">IF(B447="","",IF(MONTH(B447)=2,"X",""))</f>
        <v/>
      </c>
      <c r="L447" s="34" t="str">
        <f aca="false">IF(B447="","",IF(MONTH(B447)=3,"X",""))</f>
        <v/>
      </c>
      <c r="M447" s="34" t="str">
        <f aca="false">IF(B447="","",IF(MONTH(B447)=4,"X",""))</f>
        <v/>
      </c>
      <c r="N447" s="34" t="str">
        <f aca="false">IF(B447="","",IF(MONTH(B447)=5,"X",""))</f>
        <v/>
      </c>
      <c r="O447" s="34" t="str">
        <f aca="false">IF(B447="","",IF(MONTH(B447)=6,"X",""))</f>
        <v/>
      </c>
      <c r="P447" s="34" t="str">
        <f aca="false">IF(B447="","",IF(MONTH(B447)=7,"X",""))</f>
        <v/>
      </c>
      <c r="Q447" s="34" t="str">
        <f aca="false">IF(B447="","",IF(MONTH(B447)=8,"X",""))</f>
        <v/>
      </c>
      <c r="R447" s="34" t="str">
        <f aca="false">IF(B447="","",IF(MONTH(B447)=9,"X",""))</f>
        <v/>
      </c>
      <c r="S447" s="34" t="str">
        <f aca="false">IF(B447="","",IF(MONTH(B447)=10,"X",""))</f>
        <v/>
      </c>
      <c r="T447" s="34" t="str">
        <f aca="false">IF(B447="","",IF(MONTH(B447)=11,"X",""))</f>
        <v/>
      </c>
      <c r="U447" s="34" t="str">
        <f aca="false">IF(B447="","",IF(MONTH(B447)=12,"X",""))</f>
        <v/>
      </c>
      <c r="V447" s="24" t="str">
        <f aca="false">IF(E447="","",COUNTIF($E$5:$E$1000,E447))</f>
        <v/>
      </c>
      <c r="W447" s="35" t="str">
        <f aca="false">IF(E447="","",_xlfn.TEXTJOIN(" + ",TRUE(),IF(COUNTIFS($E$5:$E$1000,E447,$C$5:$C$1000,"Auditoría Interna")&gt;0,"Interna",""),IF(COUNTIFS($E$5:$E$1000,E447,$C$5:$C$1000,"Auditoría Externa")&gt;0,"Externa",""),IF(COUNTIFS($E$5:$E$1000,E447,$C$5:$C$1000,"SSF")&gt;0,"SSF",""),IF(COUNTIFS($E$5:$E$1000,E447,$C$5:$C$1000,"Comité de Supervisión")&gt;0,"Comité Sup.",""),IF(COUNTIFS($E$5:$E$1000,E447,$C$5:$C$1000,"Consejo de Administración")&gt;0,"Consejo",""),IF(COUNTIFS($E$5:$E$1000,E447,$C$5:$C$1000,"Otros")&gt;0,"Otros","")))</f>
        <v/>
      </c>
      <c r="X447" s="24" t="str">
        <f aca="false">IF(E447="","",COUNTIFS($E$5:$E$1000,E447,$AB$5:$AB$1000,AB447,$C$5:$C$1000,"&lt;&gt;"&amp;C447))</f>
        <v/>
      </c>
      <c r="Y447" s="33"/>
      <c r="Z447" s="31"/>
      <c r="AA447" s="33"/>
      <c r="AB447" s="37" t="str">
        <f aca="false">IF(B447="","",YEAR(B447)*100+MONTH(B447))</f>
        <v/>
      </c>
      <c r="AC447" s="37" t="str">
        <f aca="false">IF(AND(E447&lt;&gt;"",E447=Cruce!$C$5),COUNTIF($E$5:E447,E447),"")</f>
        <v/>
      </c>
      <c r="AD447" s="37" t="str">
        <f aca="false">IF(E447="","",C447&amp;"|"&amp;Y447&amp;"|"&amp;IF(B447="","s/f",TEXT(B447,"yyyymmdd")))</f>
        <v/>
      </c>
      <c r="AE447" s="37" t="n">
        <f aca="false">IF(E447="",0,IF(COUNTIFS($E$5:E447,E447,$AD$5:AD447,AD447)=1,1,0))</f>
        <v>0</v>
      </c>
    </row>
    <row r="448" customFormat="false" ht="15" hidden="false" customHeight="true" outlineLevel="0" collapsed="false">
      <c r="A448" s="31"/>
      <c r="B448" s="30"/>
      <c r="C448" s="31"/>
      <c r="D448" s="31"/>
      <c r="E448" s="32"/>
      <c r="F448" s="32"/>
      <c r="G448" s="33"/>
      <c r="H448" s="31"/>
      <c r="I448" s="24" t="str">
        <f aca="false">IF(B448="","",YEAR(B448))</f>
        <v/>
      </c>
      <c r="J448" s="34" t="str">
        <f aca="false">IF(B448="","",IF(MONTH(B448)=1,"X",""))</f>
        <v/>
      </c>
      <c r="K448" s="34" t="str">
        <f aca="false">IF(B448="","",IF(MONTH(B448)=2,"X",""))</f>
        <v/>
      </c>
      <c r="L448" s="34" t="str">
        <f aca="false">IF(B448="","",IF(MONTH(B448)=3,"X",""))</f>
        <v/>
      </c>
      <c r="M448" s="34" t="str">
        <f aca="false">IF(B448="","",IF(MONTH(B448)=4,"X",""))</f>
        <v/>
      </c>
      <c r="N448" s="34" t="str">
        <f aca="false">IF(B448="","",IF(MONTH(B448)=5,"X",""))</f>
        <v/>
      </c>
      <c r="O448" s="34" t="str">
        <f aca="false">IF(B448="","",IF(MONTH(B448)=6,"X",""))</f>
        <v/>
      </c>
      <c r="P448" s="34" t="str">
        <f aca="false">IF(B448="","",IF(MONTH(B448)=7,"X",""))</f>
        <v/>
      </c>
      <c r="Q448" s="34" t="str">
        <f aca="false">IF(B448="","",IF(MONTH(B448)=8,"X",""))</f>
        <v/>
      </c>
      <c r="R448" s="34" t="str">
        <f aca="false">IF(B448="","",IF(MONTH(B448)=9,"X",""))</f>
        <v/>
      </c>
      <c r="S448" s="34" t="str">
        <f aca="false">IF(B448="","",IF(MONTH(B448)=10,"X",""))</f>
        <v/>
      </c>
      <c r="T448" s="34" t="str">
        <f aca="false">IF(B448="","",IF(MONTH(B448)=11,"X",""))</f>
        <v/>
      </c>
      <c r="U448" s="34" t="str">
        <f aca="false">IF(B448="","",IF(MONTH(B448)=12,"X",""))</f>
        <v/>
      </c>
      <c r="V448" s="24" t="str">
        <f aca="false">IF(E448="","",COUNTIF($E$5:$E$1000,E448))</f>
        <v/>
      </c>
      <c r="W448" s="35" t="str">
        <f aca="false">IF(E448="","",_xlfn.TEXTJOIN(" + ",TRUE(),IF(COUNTIFS($E$5:$E$1000,E448,$C$5:$C$1000,"Auditoría Interna")&gt;0,"Interna",""),IF(COUNTIFS($E$5:$E$1000,E448,$C$5:$C$1000,"Auditoría Externa")&gt;0,"Externa",""),IF(COUNTIFS($E$5:$E$1000,E448,$C$5:$C$1000,"SSF")&gt;0,"SSF",""),IF(COUNTIFS($E$5:$E$1000,E448,$C$5:$C$1000,"Comité de Supervisión")&gt;0,"Comité Sup.",""),IF(COUNTIFS($E$5:$E$1000,E448,$C$5:$C$1000,"Consejo de Administración")&gt;0,"Consejo",""),IF(COUNTIFS($E$5:$E$1000,E448,$C$5:$C$1000,"Otros")&gt;0,"Otros","")))</f>
        <v/>
      </c>
      <c r="X448" s="24" t="str">
        <f aca="false">IF(E448="","",COUNTIFS($E$5:$E$1000,E448,$AB$5:$AB$1000,AB448,$C$5:$C$1000,"&lt;&gt;"&amp;C448))</f>
        <v/>
      </c>
      <c r="Y448" s="33"/>
      <c r="Z448" s="31"/>
      <c r="AA448" s="33"/>
      <c r="AB448" s="37" t="str">
        <f aca="false">IF(B448="","",YEAR(B448)*100+MONTH(B448))</f>
        <v/>
      </c>
      <c r="AC448" s="37" t="str">
        <f aca="false">IF(AND(E448&lt;&gt;"",E448=Cruce!$C$5),COUNTIF($E$5:E448,E448),"")</f>
        <v/>
      </c>
      <c r="AD448" s="37" t="str">
        <f aca="false">IF(E448="","",C448&amp;"|"&amp;Y448&amp;"|"&amp;IF(B448="","s/f",TEXT(B448,"yyyymmdd")))</f>
        <v/>
      </c>
      <c r="AE448" s="37" t="n">
        <f aca="false">IF(E448="",0,IF(COUNTIFS($E$5:E448,E448,$AD$5:AD448,AD448)=1,1,0))</f>
        <v>0</v>
      </c>
    </row>
    <row r="449" customFormat="false" ht="15" hidden="false" customHeight="true" outlineLevel="0" collapsed="false">
      <c r="A449" s="31"/>
      <c r="B449" s="30"/>
      <c r="C449" s="31"/>
      <c r="D449" s="31"/>
      <c r="E449" s="32"/>
      <c r="F449" s="32"/>
      <c r="G449" s="33"/>
      <c r="H449" s="31"/>
      <c r="I449" s="24" t="str">
        <f aca="false">IF(B449="","",YEAR(B449))</f>
        <v/>
      </c>
      <c r="J449" s="34" t="str">
        <f aca="false">IF(B449="","",IF(MONTH(B449)=1,"X",""))</f>
        <v/>
      </c>
      <c r="K449" s="34" t="str">
        <f aca="false">IF(B449="","",IF(MONTH(B449)=2,"X",""))</f>
        <v/>
      </c>
      <c r="L449" s="34" t="str">
        <f aca="false">IF(B449="","",IF(MONTH(B449)=3,"X",""))</f>
        <v/>
      </c>
      <c r="M449" s="34" t="str">
        <f aca="false">IF(B449="","",IF(MONTH(B449)=4,"X",""))</f>
        <v/>
      </c>
      <c r="N449" s="34" t="str">
        <f aca="false">IF(B449="","",IF(MONTH(B449)=5,"X",""))</f>
        <v/>
      </c>
      <c r="O449" s="34" t="str">
        <f aca="false">IF(B449="","",IF(MONTH(B449)=6,"X",""))</f>
        <v/>
      </c>
      <c r="P449" s="34" t="str">
        <f aca="false">IF(B449="","",IF(MONTH(B449)=7,"X",""))</f>
        <v/>
      </c>
      <c r="Q449" s="34" t="str">
        <f aca="false">IF(B449="","",IF(MONTH(B449)=8,"X",""))</f>
        <v/>
      </c>
      <c r="R449" s="34" t="str">
        <f aca="false">IF(B449="","",IF(MONTH(B449)=9,"X",""))</f>
        <v/>
      </c>
      <c r="S449" s="34" t="str">
        <f aca="false">IF(B449="","",IF(MONTH(B449)=10,"X",""))</f>
        <v/>
      </c>
      <c r="T449" s="34" t="str">
        <f aca="false">IF(B449="","",IF(MONTH(B449)=11,"X",""))</f>
        <v/>
      </c>
      <c r="U449" s="34" t="str">
        <f aca="false">IF(B449="","",IF(MONTH(B449)=12,"X",""))</f>
        <v/>
      </c>
      <c r="V449" s="24" t="str">
        <f aca="false">IF(E449="","",COUNTIF($E$5:$E$1000,E449))</f>
        <v/>
      </c>
      <c r="W449" s="35" t="str">
        <f aca="false">IF(E449="","",_xlfn.TEXTJOIN(" + ",TRUE(),IF(COUNTIFS($E$5:$E$1000,E449,$C$5:$C$1000,"Auditoría Interna")&gt;0,"Interna",""),IF(COUNTIFS($E$5:$E$1000,E449,$C$5:$C$1000,"Auditoría Externa")&gt;0,"Externa",""),IF(COUNTIFS($E$5:$E$1000,E449,$C$5:$C$1000,"SSF")&gt;0,"SSF",""),IF(COUNTIFS($E$5:$E$1000,E449,$C$5:$C$1000,"Comité de Supervisión")&gt;0,"Comité Sup.",""),IF(COUNTIFS($E$5:$E$1000,E449,$C$5:$C$1000,"Consejo de Administración")&gt;0,"Consejo",""),IF(COUNTIFS($E$5:$E$1000,E449,$C$5:$C$1000,"Otros")&gt;0,"Otros","")))</f>
        <v/>
      </c>
      <c r="X449" s="24" t="str">
        <f aca="false">IF(E449="","",COUNTIFS($E$5:$E$1000,E449,$AB$5:$AB$1000,AB449,$C$5:$C$1000,"&lt;&gt;"&amp;C449))</f>
        <v/>
      </c>
      <c r="Y449" s="33"/>
      <c r="Z449" s="31"/>
      <c r="AA449" s="33"/>
      <c r="AB449" s="37" t="str">
        <f aca="false">IF(B449="","",YEAR(B449)*100+MONTH(B449))</f>
        <v/>
      </c>
      <c r="AC449" s="37" t="str">
        <f aca="false">IF(AND(E449&lt;&gt;"",E449=Cruce!$C$5),COUNTIF($E$5:E449,E449),"")</f>
        <v/>
      </c>
      <c r="AD449" s="37" t="str">
        <f aca="false">IF(E449="","",C449&amp;"|"&amp;Y449&amp;"|"&amp;IF(B449="","s/f",TEXT(B449,"yyyymmdd")))</f>
        <v/>
      </c>
      <c r="AE449" s="37" t="n">
        <f aca="false">IF(E449="",0,IF(COUNTIFS($E$5:E449,E449,$AD$5:AD449,AD449)=1,1,0))</f>
        <v>0</v>
      </c>
    </row>
    <row r="450" customFormat="false" ht="15" hidden="false" customHeight="true" outlineLevel="0" collapsed="false">
      <c r="A450" s="31"/>
      <c r="B450" s="30"/>
      <c r="C450" s="31"/>
      <c r="D450" s="31"/>
      <c r="E450" s="32"/>
      <c r="F450" s="32"/>
      <c r="G450" s="33"/>
      <c r="H450" s="31"/>
      <c r="I450" s="24" t="str">
        <f aca="false">IF(B450="","",YEAR(B450))</f>
        <v/>
      </c>
      <c r="J450" s="34" t="str">
        <f aca="false">IF(B450="","",IF(MONTH(B450)=1,"X",""))</f>
        <v/>
      </c>
      <c r="K450" s="34" t="str">
        <f aca="false">IF(B450="","",IF(MONTH(B450)=2,"X",""))</f>
        <v/>
      </c>
      <c r="L450" s="34" t="str">
        <f aca="false">IF(B450="","",IF(MONTH(B450)=3,"X",""))</f>
        <v/>
      </c>
      <c r="M450" s="34" t="str">
        <f aca="false">IF(B450="","",IF(MONTH(B450)=4,"X",""))</f>
        <v/>
      </c>
      <c r="N450" s="34" t="str">
        <f aca="false">IF(B450="","",IF(MONTH(B450)=5,"X",""))</f>
        <v/>
      </c>
      <c r="O450" s="34" t="str">
        <f aca="false">IF(B450="","",IF(MONTH(B450)=6,"X",""))</f>
        <v/>
      </c>
      <c r="P450" s="34" t="str">
        <f aca="false">IF(B450="","",IF(MONTH(B450)=7,"X",""))</f>
        <v/>
      </c>
      <c r="Q450" s="34" t="str">
        <f aca="false">IF(B450="","",IF(MONTH(B450)=8,"X",""))</f>
        <v/>
      </c>
      <c r="R450" s="34" t="str">
        <f aca="false">IF(B450="","",IF(MONTH(B450)=9,"X",""))</f>
        <v/>
      </c>
      <c r="S450" s="34" t="str">
        <f aca="false">IF(B450="","",IF(MONTH(B450)=10,"X",""))</f>
        <v/>
      </c>
      <c r="T450" s="34" t="str">
        <f aca="false">IF(B450="","",IF(MONTH(B450)=11,"X",""))</f>
        <v/>
      </c>
      <c r="U450" s="34" t="str">
        <f aca="false">IF(B450="","",IF(MONTH(B450)=12,"X",""))</f>
        <v/>
      </c>
      <c r="V450" s="24" t="str">
        <f aca="false">IF(E450="","",COUNTIF($E$5:$E$1000,E450))</f>
        <v/>
      </c>
      <c r="W450" s="35" t="str">
        <f aca="false">IF(E450="","",_xlfn.TEXTJOIN(" + ",TRUE(),IF(COUNTIFS($E$5:$E$1000,E450,$C$5:$C$1000,"Auditoría Interna")&gt;0,"Interna",""),IF(COUNTIFS($E$5:$E$1000,E450,$C$5:$C$1000,"Auditoría Externa")&gt;0,"Externa",""),IF(COUNTIFS($E$5:$E$1000,E450,$C$5:$C$1000,"SSF")&gt;0,"SSF",""),IF(COUNTIFS($E$5:$E$1000,E450,$C$5:$C$1000,"Comité de Supervisión")&gt;0,"Comité Sup.",""),IF(COUNTIFS($E$5:$E$1000,E450,$C$5:$C$1000,"Consejo de Administración")&gt;0,"Consejo",""),IF(COUNTIFS($E$5:$E$1000,E450,$C$5:$C$1000,"Otros")&gt;0,"Otros","")))</f>
        <v/>
      </c>
      <c r="X450" s="24" t="str">
        <f aca="false">IF(E450="","",COUNTIFS($E$5:$E$1000,E450,$AB$5:$AB$1000,AB450,$C$5:$C$1000,"&lt;&gt;"&amp;C450))</f>
        <v/>
      </c>
      <c r="Y450" s="33"/>
      <c r="Z450" s="31"/>
      <c r="AA450" s="33"/>
      <c r="AB450" s="37" t="str">
        <f aca="false">IF(B450="","",YEAR(B450)*100+MONTH(B450))</f>
        <v/>
      </c>
      <c r="AC450" s="37" t="str">
        <f aca="false">IF(AND(E450&lt;&gt;"",E450=Cruce!$C$5),COUNTIF($E$5:E450,E450),"")</f>
        <v/>
      </c>
      <c r="AD450" s="37" t="str">
        <f aca="false">IF(E450="","",C450&amp;"|"&amp;Y450&amp;"|"&amp;IF(B450="","s/f",TEXT(B450,"yyyymmdd")))</f>
        <v/>
      </c>
      <c r="AE450" s="37" t="n">
        <f aca="false">IF(E450="",0,IF(COUNTIFS($E$5:E450,E450,$AD$5:AD450,AD450)=1,1,0))</f>
        <v>0</v>
      </c>
    </row>
    <row r="451" customFormat="false" ht="15" hidden="false" customHeight="true" outlineLevel="0" collapsed="false">
      <c r="A451" s="31"/>
      <c r="B451" s="30"/>
      <c r="C451" s="31"/>
      <c r="D451" s="31"/>
      <c r="E451" s="32"/>
      <c r="F451" s="32"/>
      <c r="G451" s="33"/>
      <c r="H451" s="31"/>
      <c r="I451" s="24" t="str">
        <f aca="false">IF(B451="","",YEAR(B451))</f>
        <v/>
      </c>
      <c r="J451" s="34" t="str">
        <f aca="false">IF(B451="","",IF(MONTH(B451)=1,"X",""))</f>
        <v/>
      </c>
      <c r="K451" s="34" t="str">
        <f aca="false">IF(B451="","",IF(MONTH(B451)=2,"X",""))</f>
        <v/>
      </c>
      <c r="L451" s="34" t="str">
        <f aca="false">IF(B451="","",IF(MONTH(B451)=3,"X",""))</f>
        <v/>
      </c>
      <c r="M451" s="34" t="str">
        <f aca="false">IF(B451="","",IF(MONTH(B451)=4,"X",""))</f>
        <v/>
      </c>
      <c r="N451" s="34" t="str">
        <f aca="false">IF(B451="","",IF(MONTH(B451)=5,"X",""))</f>
        <v/>
      </c>
      <c r="O451" s="34" t="str">
        <f aca="false">IF(B451="","",IF(MONTH(B451)=6,"X",""))</f>
        <v/>
      </c>
      <c r="P451" s="34" t="str">
        <f aca="false">IF(B451="","",IF(MONTH(B451)=7,"X",""))</f>
        <v/>
      </c>
      <c r="Q451" s="34" t="str">
        <f aca="false">IF(B451="","",IF(MONTH(B451)=8,"X",""))</f>
        <v/>
      </c>
      <c r="R451" s="34" t="str">
        <f aca="false">IF(B451="","",IF(MONTH(B451)=9,"X",""))</f>
        <v/>
      </c>
      <c r="S451" s="34" t="str">
        <f aca="false">IF(B451="","",IF(MONTH(B451)=10,"X",""))</f>
        <v/>
      </c>
      <c r="T451" s="34" t="str">
        <f aca="false">IF(B451="","",IF(MONTH(B451)=11,"X",""))</f>
        <v/>
      </c>
      <c r="U451" s="34" t="str">
        <f aca="false">IF(B451="","",IF(MONTH(B451)=12,"X",""))</f>
        <v/>
      </c>
      <c r="V451" s="24" t="str">
        <f aca="false">IF(E451="","",COUNTIF($E$5:$E$1000,E451))</f>
        <v/>
      </c>
      <c r="W451" s="35" t="str">
        <f aca="false">IF(E451="","",_xlfn.TEXTJOIN(" + ",TRUE(),IF(COUNTIFS($E$5:$E$1000,E451,$C$5:$C$1000,"Auditoría Interna")&gt;0,"Interna",""),IF(COUNTIFS($E$5:$E$1000,E451,$C$5:$C$1000,"Auditoría Externa")&gt;0,"Externa",""),IF(COUNTIFS($E$5:$E$1000,E451,$C$5:$C$1000,"SSF")&gt;0,"SSF",""),IF(COUNTIFS($E$5:$E$1000,E451,$C$5:$C$1000,"Comité de Supervisión")&gt;0,"Comité Sup.",""),IF(COUNTIFS($E$5:$E$1000,E451,$C$5:$C$1000,"Consejo de Administración")&gt;0,"Consejo",""),IF(COUNTIFS($E$5:$E$1000,E451,$C$5:$C$1000,"Otros")&gt;0,"Otros","")))</f>
        <v/>
      </c>
      <c r="X451" s="24" t="str">
        <f aca="false">IF(E451="","",COUNTIFS($E$5:$E$1000,E451,$AB$5:$AB$1000,AB451,$C$5:$C$1000,"&lt;&gt;"&amp;C451))</f>
        <v/>
      </c>
      <c r="Y451" s="33"/>
      <c r="Z451" s="31"/>
      <c r="AA451" s="33"/>
      <c r="AB451" s="37" t="str">
        <f aca="false">IF(B451="","",YEAR(B451)*100+MONTH(B451))</f>
        <v/>
      </c>
      <c r="AC451" s="37" t="str">
        <f aca="false">IF(AND(E451&lt;&gt;"",E451=Cruce!$C$5),COUNTIF($E$5:E451,E451),"")</f>
        <v/>
      </c>
      <c r="AD451" s="37" t="str">
        <f aca="false">IF(E451="","",C451&amp;"|"&amp;Y451&amp;"|"&amp;IF(B451="","s/f",TEXT(B451,"yyyymmdd")))</f>
        <v/>
      </c>
      <c r="AE451" s="37" t="n">
        <f aca="false">IF(E451="",0,IF(COUNTIFS($E$5:E451,E451,$AD$5:AD451,AD451)=1,1,0))</f>
        <v>0</v>
      </c>
    </row>
    <row r="452" customFormat="false" ht="15" hidden="false" customHeight="true" outlineLevel="0" collapsed="false">
      <c r="A452" s="31"/>
      <c r="B452" s="30"/>
      <c r="C452" s="31"/>
      <c r="D452" s="31"/>
      <c r="E452" s="32"/>
      <c r="F452" s="32"/>
      <c r="G452" s="33"/>
      <c r="H452" s="31"/>
      <c r="I452" s="24" t="str">
        <f aca="false">IF(B452="","",YEAR(B452))</f>
        <v/>
      </c>
      <c r="J452" s="34" t="str">
        <f aca="false">IF(B452="","",IF(MONTH(B452)=1,"X",""))</f>
        <v/>
      </c>
      <c r="K452" s="34" t="str">
        <f aca="false">IF(B452="","",IF(MONTH(B452)=2,"X",""))</f>
        <v/>
      </c>
      <c r="L452" s="34" t="str">
        <f aca="false">IF(B452="","",IF(MONTH(B452)=3,"X",""))</f>
        <v/>
      </c>
      <c r="M452" s="34" t="str">
        <f aca="false">IF(B452="","",IF(MONTH(B452)=4,"X",""))</f>
        <v/>
      </c>
      <c r="N452" s="34" t="str">
        <f aca="false">IF(B452="","",IF(MONTH(B452)=5,"X",""))</f>
        <v/>
      </c>
      <c r="O452" s="34" t="str">
        <f aca="false">IF(B452="","",IF(MONTH(B452)=6,"X",""))</f>
        <v/>
      </c>
      <c r="P452" s="34" t="str">
        <f aca="false">IF(B452="","",IF(MONTH(B452)=7,"X",""))</f>
        <v/>
      </c>
      <c r="Q452" s="34" t="str">
        <f aca="false">IF(B452="","",IF(MONTH(B452)=8,"X",""))</f>
        <v/>
      </c>
      <c r="R452" s="34" t="str">
        <f aca="false">IF(B452="","",IF(MONTH(B452)=9,"X",""))</f>
        <v/>
      </c>
      <c r="S452" s="34" t="str">
        <f aca="false">IF(B452="","",IF(MONTH(B452)=10,"X",""))</f>
        <v/>
      </c>
      <c r="T452" s="34" t="str">
        <f aca="false">IF(B452="","",IF(MONTH(B452)=11,"X",""))</f>
        <v/>
      </c>
      <c r="U452" s="34" t="str">
        <f aca="false">IF(B452="","",IF(MONTH(B452)=12,"X",""))</f>
        <v/>
      </c>
      <c r="V452" s="24" t="str">
        <f aca="false">IF(E452="","",COUNTIF($E$5:$E$1000,E452))</f>
        <v/>
      </c>
      <c r="W452" s="35" t="str">
        <f aca="false">IF(E452="","",_xlfn.TEXTJOIN(" + ",TRUE(),IF(COUNTIFS($E$5:$E$1000,E452,$C$5:$C$1000,"Auditoría Interna")&gt;0,"Interna",""),IF(COUNTIFS($E$5:$E$1000,E452,$C$5:$C$1000,"Auditoría Externa")&gt;0,"Externa",""),IF(COUNTIFS($E$5:$E$1000,E452,$C$5:$C$1000,"SSF")&gt;0,"SSF",""),IF(COUNTIFS($E$5:$E$1000,E452,$C$5:$C$1000,"Comité de Supervisión")&gt;0,"Comité Sup.",""),IF(COUNTIFS($E$5:$E$1000,E452,$C$5:$C$1000,"Consejo de Administración")&gt;0,"Consejo",""),IF(COUNTIFS($E$5:$E$1000,E452,$C$5:$C$1000,"Otros")&gt;0,"Otros","")))</f>
        <v/>
      </c>
      <c r="X452" s="24" t="str">
        <f aca="false">IF(E452="","",COUNTIFS($E$5:$E$1000,E452,$AB$5:$AB$1000,AB452,$C$5:$C$1000,"&lt;&gt;"&amp;C452))</f>
        <v/>
      </c>
      <c r="Y452" s="33"/>
      <c r="Z452" s="31"/>
      <c r="AA452" s="33"/>
      <c r="AB452" s="37" t="str">
        <f aca="false">IF(B452="","",YEAR(B452)*100+MONTH(B452))</f>
        <v/>
      </c>
      <c r="AC452" s="37" t="str">
        <f aca="false">IF(AND(E452&lt;&gt;"",E452=Cruce!$C$5),COUNTIF($E$5:E452,E452),"")</f>
        <v/>
      </c>
      <c r="AD452" s="37" t="str">
        <f aca="false">IF(E452="","",C452&amp;"|"&amp;Y452&amp;"|"&amp;IF(B452="","s/f",TEXT(B452,"yyyymmdd")))</f>
        <v/>
      </c>
      <c r="AE452" s="37" t="n">
        <f aca="false">IF(E452="",0,IF(COUNTIFS($E$5:E452,E452,$AD$5:AD452,AD452)=1,1,0))</f>
        <v>0</v>
      </c>
    </row>
    <row r="453" customFormat="false" ht="15" hidden="false" customHeight="true" outlineLevel="0" collapsed="false">
      <c r="A453" s="31"/>
      <c r="B453" s="30"/>
      <c r="C453" s="31"/>
      <c r="D453" s="31"/>
      <c r="E453" s="32"/>
      <c r="F453" s="32"/>
      <c r="G453" s="33"/>
      <c r="H453" s="31"/>
      <c r="I453" s="24" t="str">
        <f aca="false">IF(B453="","",YEAR(B453))</f>
        <v/>
      </c>
      <c r="J453" s="34" t="str">
        <f aca="false">IF(B453="","",IF(MONTH(B453)=1,"X",""))</f>
        <v/>
      </c>
      <c r="K453" s="34" t="str">
        <f aca="false">IF(B453="","",IF(MONTH(B453)=2,"X",""))</f>
        <v/>
      </c>
      <c r="L453" s="34" t="str">
        <f aca="false">IF(B453="","",IF(MONTH(B453)=3,"X",""))</f>
        <v/>
      </c>
      <c r="M453" s="34" t="str">
        <f aca="false">IF(B453="","",IF(MONTH(B453)=4,"X",""))</f>
        <v/>
      </c>
      <c r="N453" s="34" t="str">
        <f aca="false">IF(B453="","",IF(MONTH(B453)=5,"X",""))</f>
        <v/>
      </c>
      <c r="O453" s="34" t="str">
        <f aca="false">IF(B453="","",IF(MONTH(B453)=6,"X",""))</f>
        <v/>
      </c>
      <c r="P453" s="34" t="str">
        <f aca="false">IF(B453="","",IF(MONTH(B453)=7,"X",""))</f>
        <v/>
      </c>
      <c r="Q453" s="34" t="str">
        <f aca="false">IF(B453="","",IF(MONTH(B453)=8,"X",""))</f>
        <v/>
      </c>
      <c r="R453" s="34" t="str">
        <f aca="false">IF(B453="","",IF(MONTH(B453)=9,"X",""))</f>
        <v/>
      </c>
      <c r="S453" s="34" t="str">
        <f aca="false">IF(B453="","",IF(MONTH(B453)=10,"X",""))</f>
        <v/>
      </c>
      <c r="T453" s="34" t="str">
        <f aca="false">IF(B453="","",IF(MONTH(B453)=11,"X",""))</f>
        <v/>
      </c>
      <c r="U453" s="34" t="str">
        <f aca="false">IF(B453="","",IF(MONTH(B453)=12,"X",""))</f>
        <v/>
      </c>
      <c r="V453" s="24" t="str">
        <f aca="false">IF(E453="","",COUNTIF($E$5:$E$1000,E453))</f>
        <v/>
      </c>
      <c r="W453" s="35" t="str">
        <f aca="false">IF(E453="","",_xlfn.TEXTJOIN(" + ",TRUE(),IF(COUNTIFS($E$5:$E$1000,E453,$C$5:$C$1000,"Auditoría Interna")&gt;0,"Interna",""),IF(COUNTIFS($E$5:$E$1000,E453,$C$5:$C$1000,"Auditoría Externa")&gt;0,"Externa",""),IF(COUNTIFS($E$5:$E$1000,E453,$C$5:$C$1000,"SSF")&gt;0,"SSF",""),IF(COUNTIFS($E$5:$E$1000,E453,$C$5:$C$1000,"Comité de Supervisión")&gt;0,"Comité Sup.",""),IF(COUNTIFS($E$5:$E$1000,E453,$C$5:$C$1000,"Consejo de Administración")&gt;0,"Consejo",""),IF(COUNTIFS($E$5:$E$1000,E453,$C$5:$C$1000,"Otros")&gt;0,"Otros","")))</f>
        <v/>
      </c>
      <c r="X453" s="24" t="str">
        <f aca="false">IF(E453="","",COUNTIFS($E$5:$E$1000,E453,$AB$5:$AB$1000,AB453,$C$5:$C$1000,"&lt;&gt;"&amp;C453))</f>
        <v/>
      </c>
      <c r="Y453" s="33"/>
      <c r="Z453" s="31"/>
      <c r="AA453" s="33"/>
      <c r="AB453" s="37" t="str">
        <f aca="false">IF(B453="","",YEAR(B453)*100+MONTH(B453))</f>
        <v/>
      </c>
      <c r="AC453" s="37" t="str">
        <f aca="false">IF(AND(E453&lt;&gt;"",E453=Cruce!$C$5),COUNTIF($E$5:E453,E453),"")</f>
        <v/>
      </c>
      <c r="AD453" s="37" t="str">
        <f aca="false">IF(E453="","",C453&amp;"|"&amp;Y453&amp;"|"&amp;IF(B453="","s/f",TEXT(B453,"yyyymmdd")))</f>
        <v/>
      </c>
      <c r="AE453" s="37" t="n">
        <f aca="false">IF(E453="",0,IF(COUNTIFS($E$5:E453,E453,$AD$5:AD453,AD453)=1,1,0))</f>
        <v>0</v>
      </c>
    </row>
    <row r="454" customFormat="false" ht="15" hidden="false" customHeight="true" outlineLevel="0" collapsed="false">
      <c r="A454" s="31"/>
      <c r="B454" s="30"/>
      <c r="C454" s="31"/>
      <c r="D454" s="31"/>
      <c r="E454" s="32"/>
      <c r="F454" s="32"/>
      <c r="G454" s="33"/>
      <c r="H454" s="31"/>
      <c r="I454" s="24" t="str">
        <f aca="false">IF(B454="","",YEAR(B454))</f>
        <v/>
      </c>
      <c r="J454" s="34" t="str">
        <f aca="false">IF(B454="","",IF(MONTH(B454)=1,"X",""))</f>
        <v/>
      </c>
      <c r="K454" s="34" t="str">
        <f aca="false">IF(B454="","",IF(MONTH(B454)=2,"X",""))</f>
        <v/>
      </c>
      <c r="L454" s="34" t="str">
        <f aca="false">IF(B454="","",IF(MONTH(B454)=3,"X",""))</f>
        <v/>
      </c>
      <c r="M454" s="34" t="str">
        <f aca="false">IF(B454="","",IF(MONTH(B454)=4,"X",""))</f>
        <v/>
      </c>
      <c r="N454" s="34" t="str">
        <f aca="false">IF(B454="","",IF(MONTH(B454)=5,"X",""))</f>
        <v/>
      </c>
      <c r="O454" s="34" t="str">
        <f aca="false">IF(B454="","",IF(MONTH(B454)=6,"X",""))</f>
        <v/>
      </c>
      <c r="P454" s="34" t="str">
        <f aca="false">IF(B454="","",IF(MONTH(B454)=7,"X",""))</f>
        <v/>
      </c>
      <c r="Q454" s="34" t="str">
        <f aca="false">IF(B454="","",IF(MONTH(B454)=8,"X",""))</f>
        <v/>
      </c>
      <c r="R454" s="34" t="str">
        <f aca="false">IF(B454="","",IF(MONTH(B454)=9,"X",""))</f>
        <v/>
      </c>
      <c r="S454" s="34" t="str">
        <f aca="false">IF(B454="","",IF(MONTH(B454)=10,"X",""))</f>
        <v/>
      </c>
      <c r="T454" s="34" t="str">
        <f aca="false">IF(B454="","",IF(MONTH(B454)=11,"X",""))</f>
        <v/>
      </c>
      <c r="U454" s="34" t="str">
        <f aca="false">IF(B454="","",IF(MONTH(B454)=12,"X",""))</f>
        <v/>
      </c>
      <c r="V454" s="24" t="str">
        <f aca="false">IF(E454="","",COUNTIF($E$5:$E$1000,E454))</f>
        <v/>
      </c>
      <c r="W454" s="35" t="str">
        <f aca="false">IF(E454="","",_xlfn.TEXTJOIN(" + ",TRUE(),IF(COUNTIFS($E$5:$E$1000,E454,$C$5:$C$1000,"Auditoría Interna")&gt;0,"Interna",""),IF(COUNTIFS($E$5:$E$1000,E454,$C$5:$C$1000,"Auditoría Externa")&gt;0,"Externa",""),IF(COUNTIFS($E$5:$E$1000,E454,$C$5:$C$1000,"SSF")&gt;0,"SSF",""),IF(COUNTIFS($E$5:$E$1000,E454,$C$5:$C$1000,"Comité de Supervisión")&gt;0,"Comité Sup.",""),IF(COUNTIFS($E$5:$E$1000,E454,$C$5:$C$1000,"Consejo de Administración")&gt;0,"Consejo",""),IF(COUNTIFS($E$5:$E$1000,E454,$C$5:$C$1000,"Otros")&gt;0,"Otros","")))</f>
        <v/>
      </c>
      <c r="X454" s="24" t="str">
        <f aca="false">IF(E454="","",COUNTIFS($E$5:$E$1000,E454,$AB$5:$AB$1000,AB454,$C$5:$C$1000,"&lt;&gt;"&amp;C454))</f>
        <v/>
      </c>
      <c r="Y454" s="33"/>
      <c r="Z454" s="31"/>
      <c r="AA454" s="33"/>
      <c r="AB454" s="37" t="str">
        <f aca="false">IF(B454="","",YEAR(B454)*100+MONTH(B454))</f>
        <v/>
      </c>
      <c r="AC454" s="37" t="str">
        <f aca="false">IF(AND(E454&lt;&gt;"",E454=Cruce!$C$5),COUNTIF($E$5:E454,E454),"")</f>
        <v/>
      </c>
      <c r="AD454" s="37" t="str">
        <f aca="false">IF(E454="","",C454&amp;"|"&amp;Y454&amp;"|"&amp;IF(B454="","s/f",TEXT(B454,"yyyymmdd")))</f>
        <v/>
      </c>
      <c r="AE454" s="37" t="n">
        <f aca="false">IF(E454="",0,IF(COUNTIFS($E$5:E454,E454,$AD$5:AD454,AD454)=1,1,0))</f>
        <v>0</v>
      </c>
    </row>
    <row r="455" customFormat="false" ht="15" hidden="false" customHeight="true" outlineLevel="0" collapsed="false">
      <c r="A455" s="31"/>
      <c r="B455" s="30"/>
      <c r="C455" s="31"/>
      <c r="D455" s="31"/>
      <c r="E455" s="32"/>
      <c r="F455" s="32"/>
      <c r="G455" s="33"/>
      <c r="H455" s="31"/>
      <c r="I455" s="24" t="str">
        <f aca="false">IF(B455="","",YEAR(B455))</f>
        <v/>
      </c>
      <c r="J455" s="34" t="str">
        <f aca="false">IF(B455="","",IF(MONTH(B455)=1,"X",""))</f>
        <v/>
      </c>
      <c r="K455" s="34" t="str">
        <f aca="false">IF(B455="","",IF(MONTH(B455)=2,"X",""))</f>
        <v/>
      </c>
      <c r="L455" s="34" t="str">
        <f aca="false">IF(B455="","",IF(MONTH(B455)=3,"X",""))</f>
        <v/>
      </c>
      <c r="M455" s="34" t="str">
        <f aca="false">IF(B455="","",IF(MONTH(B455)=4,"X",""))</f>
        <v/>
      </c>
      <c r="N455" s="34" t="str">
        <f aca="false">IF(B455="","",IF(MONTH(B455)=5,"X",""))</f>
        <v/>
      </c>
      <c r="O455" s="34" t="str">
        <f aca="false">IF(B455="","",IF(MONTH(B455)=6,"X",""))</f>
        <v/>
      </c>
      <c r="P455" s="34" t="str">
        <f aca="false">IF(B455="","",IF(MONTH(B455)=7,"X",""))</f>
        <v/>
      </c>
      <c r="Q455" s="34" t="str">
        <f aca="false">IF(B455="","",IF(MONTH(B455)=8,"X",""))</f>
        <v/>
      </c>
      <c r="R455" s="34" t="str">
        <f aca="false">IF(B455="","",IF(MONTH(B455)=9,"X",""))</f>
        <v/>
      </c>
      <c r="S455" s="34" t="str">
        <f aca="false">IF(B455="","",IF(MONTH(B455)=10,"X",""))</f>
        <v/>
      </c>
      <c r="T455" s="34" t="str">
        <f aca="false">IF(B455="","",IF(MONTH(B455)=11,"X",""))</f>
        <v/>
      </c>
      <c r="U455" s="34" t="str">
        <f aca="false">IF(B455="","",IF(MONTH(B455)=12,"X",""))</f>
        <v/>
      </c>
      <c r="V455" s="24" t="str">
        <f aca="false">IF(E455="","",COUNTIF($E$5:$E$1000,E455))</f>
        <v/>
      </c>
      <c r="W455" s="35" t="str">
        <f aca="false">IF(E455="","",_xlfn.TEXTJOIN(" + ",TRUE(),IF(COUNTIFS($E$5:$E$1000,E455,$C$5:$C$1000,"Auditoría Interna")&gt;0,"Interna",""),IF(COUNTIFS($E$5:$E$1000,E455,$C$5:$C$1000,"Auditoría Externa")&gt;0,"Externa",""),IF(COUNTIFS($E$5:$E$1000,E455,$C$5:$C$1000,"SSF")&gt;0,"SSF",""),IF(COUNTIFS($E$5:$E$1000,E455,$C$5:$C$1000,"Comité de Supervisión")&gt;0,"Comité Sup.",""),IF(COUNTIFS($E$5:$E$1000,E455,$C$5:$C$1000,"Consejo de Administración")&gt;0,"Consejo",""),IF(COUNTIFS($E$5:$E$1000,E455,$C$5:$C$1000,"Otros")&gt;0,"Otros","")))</f>
        <v/>
      </c>
      <c r="X455" s="24" t="str">
        <f aca="false">IF(E455="","",COUNTIFS($E$5:$E$1000,E455,$AB$5:$AB$1000,AB455,$C$5:$C$1000,"&lt;&gt;"&amp;C455))</f>
        <v/>
      </c>
      <c r="Y455" s="33"/>
      <c r="Z455" s="31"/>
      <c r="AA455" s="33"/>
      <c r="AB455" s="37" t="str">
        <f aca="false">IF(B455="","",YEAR(B455)*100+MONTH(B455))</f>
        <v/>
      </c>
      <c r="AC455" s="37" t="str">
        <f aca="false">IF(AND(E455&lt;&gt;"",E455=Cruce!$C$5),COUNTIF($E$5:E455,E455),"")</f>
        <v/>
      </c>
      <c r="AD455" s="37" t="str">
        <f aca="false">IF(E455="","",C455&amp;"|"&amp;Y455&amp;"|"&amp;IF(B455="","s/f",TEXT(B455,"yyyymmdd")))</f>
        <v/>
      </c>
      <c r="AE455" s="37" t="n">
        <f aca="false">IF(E455="",0,IF(COUNTIFS($E$5:E455,E455,$AD$5:AD455,AD455)=1,1,0))</f>
        <v>0</v>
      </c>
    </row>
    <row r="456" customFormat="false" ht="15" hidden="false" customHeight="true" outlineLevel="0" collapsed="false">
      <c r="A456" s="31"/>
      <c r="B456" s="30"/>
      <c r="C456" s="31"/>
      <c r="D456" s="31"/>
      <c r="E456" s="32"/>
      <c r="F456" s="32"/>
      <c r="G456" s="33"/>
      <c r="H456" s="31"/>
      <c r="I456" s="24" t="str">
        <f aca="false">IF(B456="","",YEAR(B456))</f>
        <v/>
      </c>
      <c r="J456" s="34" t="str">
        <f aca="false">IF(B456="","",IF(MONTH(B456)=1,"X",""))</f>
        <v/>
      </c>
      <c r="K456" s="34" t="str">
        <f aca="false">IF(B456="","",IF(MONTH(B456)=2,"X",""))</f>
        <v/>
      </c>
      <c r="L456" s="34" t="str">
        <f aca="false">IF(B456="","",IF(MONTH(B456)=3,"X",""))</f>
        <v/>
      </c>
      <c r="M456" s="34" t="str">
        <f aca="false">IF(B456="","",IF(MONTH(B456)=4,"X",""))</f>
        <v/>
      </c>
      <c r="N456" s="34" t="str">
        <f aca="false">IF(B456="","",IF(MONTH(B456)=5,"X",""))</f>
        <v/>
      </c>
      <c r="O456" s="34" t="str">
        <f aca="false">IF(B456="","",IF(MONTH(B456)=6,"X",""))</f>
        <v/>
      </c>
      <c r="P456" s="34" t="str">
        <f aca="false">IF(B456="","",IF(MONTH(B456)=7,"X",""))</f>
        <v/>
      </c>
      <c r="Q456" s="34" t="str">
        <f aca="false">IF(B456="","",IF(MONTH(B456)=8,"X",""))</f>
        <v/>
      </c>
      <c r="R456" s="34" t="str">
        <f aca="false">IF(B456="","",IF(MONTH(B456)=9,"X",""))</f>
        <v/>
      </c>
      <c r="S456" s="34" t="str">
        <f aca="false">IF(B456="","",IF(MONTH(B456)=10,"X",""))</f>
        <v/>
      </c>
      <c r="T456" s="34" t="str">
        <f aca="false">IF(B456="","",IF(MONTH(B456)=11,"X",""))</f>
        <v/>
      </c>
      <c r="U456" s="34" t="str">
        <f aca="false">IF(B456="","",IF(MONTH(B456)=12,"X",""))</f>
        <v/>
      </c>
      <c r="V456" s="24" t="str">
        <f aca="false">IF(E456="","",COUNTIF($E$5:$E$1000,E456))</f>
        <v/>
      </c>
      <c r="W456" s="35" t="str">
        <f aca="false">IF(E456="","",_xlfn.TEXTJOIN(" + ",TRUE(),IF(COUNTIFS($E$5:$E$1000,E456,$C$5:$C$1000,"Auditoría Interna")&gt;0,"Interna",""),IF(COUNTIFS($E$5:$E$1000,E456,$C$5:$C$1000,"Auditoría Externa")&gt;0,"Externa",""),IF(COUNTIFS($E$5:$E$1000,E456,$C$5:$C$1000,"SSF")&gt;0,"SSF",""),IF(COUNTIFS($E$5:$E$1000,E456,$C$5:$C$1000,"Comité de Supervisión")&gt;0,"Comité Sup.",""),IF(COUNTIFS($E$5:$E$1000,E456,$C$5:$C$1000,"Consejo de Administración")&gt;0,"Consejo",""),IF(COUNTIFS($E$5:$E$1000,E456,$C$5:$C$1000,"Otros")&gt;0,"Otros","")))</f>
        <v/>
      </c>
      <c r="X456" s="24" t="str">
        <f aca="false">IF(E456="","",COUNTIFS($E$5:$E$1000,E456,$AB$5:$AB$1000,AB456,$C$5:$C$1000,"&lt;&gt;"&amp;C456))</f>
        <v/>
      </c>
      <c r="Y456" s="33"/>
      <c r="Z456" s="31"/>
      <c r="AA456" s="33"/>
      <c r="AB456" s="37" t="str">
        <f aca="false">IF(B456="","",YEAR(B456)*100+MONTH(B456))</f>
        <v/>
      </c>
      <c r="AC456" s="37" t="str">
        <f aca="false">IF(AND(E456&lt;&gt;"",E456=Cruce!$C$5),COUNTIF($E$5:E456,E456),"")</f>
        <v/>
      </c>
      <c r="AD456" s="37" t="str">
        <f aca="false">IF(E456="","",C456&amp;"|"&amp;Y456&amp;"|"&amp;IF(B456="","s/f",TEXT(B456,"yyyymmdd")))</f>
        <v/>
      </c>
      <c r="AE456" s="37" t="n">
        <f aca="false">IF(E456="",0,IF(COUNTIFS($E$5:E456,E456,$AD$5:AD456,AD456)=1,1,0))</f>
        <v>0</v>
      </c>
    </row>
    <row r="457" customFormat="false" ht="15" hidden="false" customHeight="true" outlineLevel="0" collapsed="false">
      <c r="A457" s="31"/>
      <c r="B457" s="30"/>
      <c r="C457" s="31"/>
      <c r="D457" s="31"/>
      <c r="E457" s="32"/>
      <c r="F457" s="32"/>
      <c r="G457" s="33"/>
      <c r="H457" s="31"/>
      <c r="I457" s="24" t="str">
        <f aca="false">IF(B457="","",YEAR(B457))</f>
        <v/>
      </c>
      <c r="J457" s="34" t="str">
        <f aca="false">IF(B457="","",IF(MONTH(B457)=1,"X",""))</f>
        <v/>
      </c>
      <c r="K457" s="34" t="str">
        <f aca="false">IF(B457="","",IF(MONTH(B457)=2,"X",""))</f>
        <v/>
      </c>
      <c r="L457" s="34" t="str">
        <f aca="false">IF(B457="","",IF(MONTH(B457)=3,"X",""))</f>
        <v/>
      </c>
      <c r="M457" s="34" t="str">
        <f aca="false">IF(B457="","",IF(MONTH(B457)=4,"X",""))</f>
        <v/>
      </c>
      <c r="N457" s="34" t="str">
        <f aca="false">IF(B457="","",IF(MONTH(B457)=5,"X",""))</f>
        <v/>
      </c>
      <c r="O457" s="34" t="str">
        <f aca="false">IF(B457="","",IF(MONTH(B457)=6,"X",""))</f>
        <v/>
      </c>
      <c r="P457" s="34" t="str">
        <f aca="false">IF(B457="","",IF(MONTH(B457)=7,"X",""))</f>
        <v/>
      </c>
      <c r="Q457" s="34" t="str">
        <f aca="false">IF(B457="","",IF(MONTH(B457)=8,"X",""))</f>
        <v/>
      </c>
      <c r="R457" s="34" t="str">
        <f aca="false">IF(B457="","",IF(MONTH(B457)=9,"X",""))</f>
        <v/>
      </c>
      <c r="S457" s="34" t="str">
        <f aca="false">IF(B457="","",IF(MONTH(B457)=10,"X",""))</f>
        <v/>
      </c>
      <c r="T457" s="34" t="str">
        <f aca="false">IF(B457="","",IF(MONTH(B457)=11,"X",""))</f>
        <v/>
      </c>
      <c r="U457" s="34" t="str">
        <f aca="false">IF(B457="","",IF(MONTH(B457)=12,"X",""))</f>
        <v/>
      </c>
      <c r="V457" s="24" t="str">
        <f aca="false">IF(E457="","",COUNTIF($E$5:$E$1000,E457))</f>
        <v/>
      </c>
      <c r="W457" s="35" t="str">
        <f aca="false">IF(E457="","",_xlfn.TEXTJOIN(" + ",TRUE(),IF(COUNTIFS($E$5:$E$1000,E457,$C$5:$C$1000,"Auditoría Interna")&gt;0,"Interna",""),IF(COUNTIFS($E$5:$E$1000,E457,$C$5:$C$1000,"Auditoría Externa")&gt;0,"Externa",""),IF(COUNTIFS($E$5:$E$1000,E457,$C$5:$C$1000,"SSF")&gt;0,"SSF",""),IF(COUNTIFS($E$5:$E$1000,E457,$C$5:$C$1000,"Comité de Supervisión")&gt;0,"Comité Sup.",""),IF(COUNTIFS($E$5:$E$1000,E457,$C$5:$C$1000,"Consejo de Administración")&gt;0,"Consejo",""),IF(COUNTIFS($E$5:$E$1000,E457,$C$5:$C$1000,"Otros")&gt;0,"Otros","")))</f>
        <v/>
      </c>
      <c r="X457" s="24" t="str">
        <f aca="false">IF(E457="","",COUNTIFS($E$5:$E$1000,E457,$AB$5:$AB$1000,AB457,$C$5:$C$1000,"&lt;&gt;"&amp;C457))</f>
        <v/>
      </c>
      <c r="Y457" s="33"/>
      <c r="Z457" s="31"/>
      <c r="AA457" s="33"/>
      <c r="AB457" s="37" t="str">
        <f aca="false">IF(B457="","",YEAR(B457)*100+MONTH(B457))</f>
        <v/>
      </c>
      <c r="AC457" s="37" t="str">
        <f aca="false">IF(AND(E457&lt;&gt;"",E457=Cruce!$C$5),COUNTIF($E$5:E457,E457),"")</f>
        <v/>
      </c>
      <c r="AD457" s="37" t="str">
        <f aca="false">IF(E457="","",C457&amp;"|"&amp;Y457&amp;"|"&amp;IF(B457="","s/f",TEXT(B457,"yyyymmdd")))</f>
        <v/>
      </c>
      <c r="AE457" s="37" t="n">
        <f aca="false">IF(E457="",0,IF(COUNTIFS($E$5:E457,E457,$AD$5:AD457,AD457)=1,1,0))</f>
        <v>0</v>
      </c>
    </row>
    <row r="458" customFormat="false" ht="15" hidden="false" customHeight="true" outlineLevel="0" collapsed="false">
      <c r="A458" s="31"/>
      <c r="B458" s="30"/>
      <c r="C458" s="31"/>
      <c r="D458" s="31"/>
      <c r="E458" s="32"/>
      <c r="F458" s="32"/>
      <c r="G458" s="33"/>
      <c r="H458" s="31"/>
      <c r="I458" s="24" t="str">
        <f aca="false">IF(B458="","",YEAR(B458))</f>
        <v/>
      </c>
      <c r="J458" s="34" t="str">
        <f aca="false">IF(B458="","",IF(MONTH(B458)=1,"X",""))</f>
        <v/>
      </c>
      <c r="K458" s="34" t="str">
        <f aca="false">IF(B458="","",IF(MONTH(B458)=2,"X",""))</f>
        <v/>
      </c>
      <c r="L458" s="34" t="str">
        <f aca="false">IF(B458="","",IF(MONTH(B458)=3,"X",""))</f>
        <v/>
      </c>
      <c r="M458" s="34" t="str">
        <f aca="false">IF(B458="","",IF(MONTH(B458)=4,"X",""))</f>
        <v/>
      </c>
      <c r="N458" s="34" t="str">
        <f aca="false">IF(B458="","",IF(MONTH(B458)=5,"X",""))</f>
        <v/>
      </c>
      <c r="O458" s="34" t="str">
        <f aca="false">IF(B458="","",IF(MONTH(B458)=6,"X",""))</f>
        <v/>
      </c>
      <c r="P458" s="34" t="str">
        <f aca="false">IF(B458="","",IF(MONTH(B458)=7,"X",""))</f>
        <v/>
      </c>
      <c r="Q458" s="34" t="str">
        <f aca="false">IF(B458="","",IF(MONTH(B458)=8,"X",""))</f>
        <v/>
      </c>
      <c r="R458" s="34" t="str">
        <f aca="false">IF(B458="","",IF(MONTH(B458)=9,"X",""))</f>
        <v/>
      </c>
      <c r="S458" s="34" t="str">
        <f aca="false">IF(B458="","",IF(MONTH(B458)=10,"X",""))</f>
        <v/>
      </c>
      <c r="T458" s="34" t="str">
        <f aca="false">IF(B458="","",IF(MONTH(B458)=11,"X",""))</f>
        <v/>
      </c>
      <c r="U458" s="34" t="str">
        <f aca="false">IF(B458="","",IF(MONTH(B458)=12,"X",""))</f>
        <v/>
      </c>
      <c r="V458" s="24" t="str">
        <f aca="false">IF(E458="","",COUNTIF($E$5:$E$1000,E458))</f>
        <v/>
      </c>
      <c r="W458" s="35" t="str">
        <f aca="false">IF(E458="","",_xlfn.TEXTJOIN(" + ",TRUE(),IF(COUNTIFS($E$5:$E$1000,E458,$C$5:$C$1000,"Auditoría Interna")&gt;0,"Interna",""),IF(COUNTIFS($E$5:$E$1000,E458,$C$5:$C$1000,"Auditoría Externa")&gt;0,"Externa",""),IF(COUNTIFS($E$5:$E$1000,E458,$C$5:$C$1000,"SSF")&gt;0,"SSF",""),IF(COUNTIFS($E$5:$E$1000,E458,$C$5:$C$1000,"Comité de Supervisión")&gt;0,"Comité Sup.",""),IF(COUNTIFS($E$5:$E$1000,E458,$C$5:$C$1000,"Consejo de Administración")&gt;0,"Consejo",""),IF(COUNTIFS($E$5:$E$1000,E458,$C$5:$C$1000,"Otros")&gt;0,"Otros","")))</f>
        <v/>
      </c>
      <c r="X458" s="24" t="str">
        <f aca="false">IF(E458="","",COUNTIFS($E$5:$E$1000,E458,$AB$5:$AB$1000,AB458,$C$5:$C$1000,"&lt;&gt;"&amp;C458))</f>
        <v/>
      </c>
      <c r="Y458" s="33"/>
      <c r="Z458" s="31"/>
      <c r="AA458" s="33"/>
      <c r="AB458" s="37" t="str">
        <f aca="false">IF(B458="","",YEAR(B458)*100+MONTH(B458))</f>
        <v/>
      </c>
      <c r="AC458" s="37" t="str">
        <f aca="false">IF(AND(E458&lt;&gt;"",E458=Cruce!$C$5),COUNTIF($E$5:E458,E458),"")</f>
        <v/>
      </c>
      <c r="AD458" s="37" t="str">
        <f aca="false">IF(E458="","",C458&amp;"|"&amp;Y458&amp;"|"&amp;IF(B458="","s/f",TEXT(B458,"yyyymmdd")))</f>
        <v/>
      </c>
      <c r="AE458" s="37" t="n">
        <f aca="false">IF(E458="",0,IF(COUNTIFS($E$5:E458,E458,$AD$5:AD458,AD458)=1,1,0))</f>
        <v>0</v>
      </c>
    </row>
    <row r="459" customFormat="false" ht="15" hidden="false" customHeight="true" outlineLevel="0" collapsed="false">
      <c r="A459" s="31"/>
      <c r="B459" s="30"/>
      <c r="C459" s="31"/>
      <c r="D459" s="31"/>
      <c r="E459" s="32"/>
      <c r="F459" s="32"/>
      <c r="G459" s="33"/>
      <c r="H459" s="31"/>
      <c r="I459" s="24" t="str">
        <f aca="false">IF(B459="","",YEAR(B459))</f>
        <v/>
      </c>
      <c r="J459" s="34" t="str">
        <f aca="false">IF(B459="","",IF(MONTH(B459)=1,"X",""))</f>
        <v/>
      </c>
      <c r="K459" s="34" t="str">
        <f aca="false">IF(B459="","",IF(MONTH(B459)=2,"X",""))</f>
        <v/>
      </c>
      <c r="L459" s="34" t="str">
        <f aca="false">IF(B459="","",IF(MONTH(B459)=3,"X",""))</f>
        <v/>
      </c>
      <c r="M459" s="34" t="str">
        <f aca="false">IF(B459="","",IF(MONTH(B459)=4,"X",""))</f>
        <v/>
      </c>
      <c r="N459" s="34" t="str">
        <f aca="false">IF(B459="","",IF(MONTH(B459)=5,"X",""))</f>
        <v/>
      </c>
      <c r="O459" s="34" t="str">
        <f aca="false">IF(B459="","",IF(MONTH(B459)=6,"X",""))</f>
        <v/>
      </c>
      <c r="P459" s="34" t="str">
        <f aca="false">IF(B459="","",IF(MONTH(B459)=7,"X",""))</f>
        <v/>
      </c>
      <c r="Q459" s="34" t="str">
        <f aca="false">IF(B459="","",IF(MONTH(B459)=8,"X",""))</f>
        <v/>
      </c>
      <c r="R459" s="34" t="str">
        <f aca="false">IF(B459="","",IF(MONTH(B459)=9,"X",""))</f>
        <v/>
      </c>
      <c r="S459" s="34" t="str">
        <f aca="false">IF(B459="","",IF(MONTH(B459)=10,"X",""))</f>
        <v/>
      </c>
      <c r="T459" s="34" t="str">
        <f aca="false">IF(B459="","",IF(MONTH(B459)=11,"X",""))</f>
        <v/>
      </c>
      <c r="U459" s="34" t="str">
        <f aca="false">IF(B459="","",IF(MONTH(B459)=12,"X",""))</f>
        <v/>
      </c>
      <c r="V459" s="24" t="str">
        <f aca="false">IF(E459="","",COUNTIF($E$5:$E$1000,E459))</f>
        <v/>
      </c>
      <c r="W459" s="35" t="str">
        <f aca="false">IF(E459="","",_xlfn.TEXTJOIN(" + ",TRUE(),IF(COUNTIFS($E$5:$E$1000,E459,$C$5:$C$1000,"Auditoría Interna")&gt;0,"Interna",""),IF(COUNTIFS($E$5:$E$1000,E459,$C$5:$C$1000,"Auditoría Externa")&gt;0,"Externa",""),IF(COUNTIFS($E$5:$E$1000,E459,$C$5:$C$1000,"SSF")&gt;0,"SSF",""),IF(COUNTIFS($E$5:$E$1000,E459,$C$5:$C$1000,"Comité de Supervisión")&gt;0,"Comité Sup.",""),IF(COUNTIFS($E$5:$E$1000,E459,$C$5:$C$1000,"Consejo de Administración")&gt;0,"Consejo",""),IF(COUNTIFS($E$5:$E$1000,E459,$C$5:$C$1000,"Otros")&gt;0,"Otros","")))</f>
        <v/>
      </c>
      <c r="X459" s="24" t="str">
        <f aca="false">IF(E459="","",COUNTIFS($E$5:$E$1000,E459,$AB$5:$AB$1000,AB459,$C$5:$C$1000,"&lt;&gt;"&amp;C459))</f>
        <v/>
      </c>
      <c r="Y459" s="33"/>
      <c r="Z459" s="31"/>
      <c r="AA459" s="33"/>
      <c r="AB459" s="37" t="str">
        <f aca="false">IF(B459="","",YEAR(B459)*100+MONTH(B459))</f>
        <v/>
      </c>
      <c r="AC459" s="37" t="str">
        <f aca="false">IF(AND(E459&lt;&gt;"",E459=Cruce!$C$5),COUNTIF($E$5:E459,E459),"")</f>
        <v/>
      </c>
      <c r="AD459" s="37" t="str">
        <f aca="false">IF(E459="","",C459&amp;"|"&amp;Y459&amp;"|"&amp;IF(B459="","s/f",TEXT(B459,"yyyymmdd")))</f>
        <v/>
      </c>
      <c r="AE459" s="37" t="n">
        <f aca="false">IF(E459="",0,IF(COUNTIFS($E$5:E459,E459,$AD$5:AD459,AD459)=1,1,0))</f>
        <v>0</v>
      </c>
    </row>
    <row r="460" customFormat="false" ht="15" hidden="false" customHeight="true" outlineLevel="0" collapsed="false">
      <c r="A460" s="31"/>
      <c r="B460" s="30"/>
      <c r="C460" s="31"/>
      <c r="D460" s="31"/>
      <c r="E460" s="32"/>
      <c r="F460" s="32"/>
      <c r="G460" s="33"/>
      <c r="H460" s="31"/>
      <c r="I460" s="24" t="str">
        <f aca="false">IF(B460="","",YEAR(B460))</f>
        <v/>
      </c>
      <c r="J460" s="34" t="str">
        <f aca="false">IF(B460="","",IF(MONTH(B460)=1,"X",""))</f>
        <v/>
      </c>
      <c r="K460" s="34" t="str">
        <f aca="false">IF(B460="","",IF(MONTH(B460)=2,"X",""))</f>
        <v/>
      </c>
      <c r="L460" s="34" t="str">
        <f aca="false">IF(B460="","",IF(MONTH(B460)=3,"X",""))</f>
        <v/>
      </c>
      <c r="M460" s="34" t="str">
        <f aca="false">IF(B460="","",IF(MONTH(B460)=4,"X",""))</f>
        <v/>
      </c>
      <c r="N460" s="34" t="str">
        <f aca="false">IF(B460="","",IF(MONTH(B460)=5,"X",""))</f>
        <v/>
      </c>
      <c r="O460" s="34" t="str">
        <f aca="false">IF(B460="","",IF(MONTH(B460)=6,"X",""))</f>
        <v/>
      </c>
      <c r="P460" s="34" t="str">
        <f aca="false">IF(B460="","",IF(MONTH(B460)=7,"X",""))</f>
        <v/>
      </c>
      <c r="Q460" s="34" t="str">
        <f aca="false">IF(B460="","",IF(MONTH(B460)=8,"X",""))</f>
        <v/>
      </c>
      <c r="R460" s="34" t="str">
        <f aca="false">IF(B460="","",IF(MONTH(B460)=9,"X",""))</f>
        <v/>
      </c>
      <c r="S460" s="34" t="str">
        <f aca="false">IF(B460="","",IF(MONTH(B460)=10,"X",""))</f>
        <v/>
      </c>
      <c r="T460" s="34" t="str">
        <f aca="false">IF(B460="","",IF(MONTH(B460)=11,"X",""))</f>
        <v/>
      </c>
      <c r="U460" s="34" t="str">
        <f aca="false">IF(B460="","",IF(MONTH(B460)=12,"X",""))</f>
        <v/>
      </c>
      <c r="V460" s="24" t="str">
        <f aca="false">IF(E460="","",COUNTIF($E$5:$E$1000,E460))</f>
        <v/>
      </c>
      <c r="W460" s="35" t="str">
        <f aca="false">IF(E460="","",_xlfn.TEXTJOIN(" + ",TRUE(),IF(COUNTIFS($E$5:$E$1000,E460,$C$5:$C$1000,"Auditoría Interna")&gt;0,"Interna",""),IF(COUNTIFS($E$5:$E$1000,E460,$C$5:$C$1000,"Auditoría Externa")&gt;0,"Externa",""),IF(COUNTIFS($E$5:$E$1000,E460,$C$5:$C$1000,"SSF")&gt;0,"SSF",""),IF(COUNTIFS($E$5:$E$1000,E460,$C$5:$C$1000,"Comité de Supervisión")&gt;0,"Comité Sup.",""),IF(COUNTIFS($E$5:$E$1000,E460,$C$5:$C$1000,"Consejo de Administración")&gt;0,"Consejo",""),IF(COUNTIFS($E$5:$E$1000,E460,$C$5:$C$1000,"Otros")&gt;0,"Otros","")))</f>
        <v/>
      </c>
      <c r="X460" s="24" t="str">
        <f aca="false">IF(E460="","",COUNTIFS($E$5:$E$1000,E460,$AB$5:$AB$1000,AB460,$C$5:$C$1000,"&lt;&gt;"&amp;C460))</f>
        <v/>
      </c>
      <c r="Y460" s="33"/>
      <c r="Z460" s="31"/>
      <c r="AA460" s="33"/>
      <c r="AB460" s="37" t="str">
        <f aca="false">IF(B460="","",YEAR(B460)*100+MONTH(B460))</f>
        <v/>
      </c>
      <c r="AC460" s="37" t="str">
        <f aca="false">IF(AND(E460&lt;&gt;"",E460=Cruce!$C$5),COUNTIF($E$5:E460,E460),"")</f>
        <v/>
      </c>
      <c r="AD460" s="37" t="str">
        <f aca="false">IF(E460="","",C460&amp;"|"&amp;Y460&amp;"|"&amp;IF(B460="","s/f",TEXT(B460,"yyyymmdd")))</f>
        <v/>
      </c>
      <c r="AE460" s="37" t="n">
        <f aca="false">IF(E460="",0,IF(COUNTIFS($E$5:E460,E460,$AD$5:AD460,AD460)=1,1,0))</f>
        <v>0</v>
      </c>
    </row>
    <row r="461" customFormat="false" ht="15" hidden="false" customHeight="true" outlineLevel="0" collapsed="false">
      <c r="A461" s="31"/>
      <c r="B461" s="30"/>
      <c r="C461" s="31"/>
      <c r="D461" s="31"/>
      <c r="E461" s="32"/>
      <c r="F461" s="32"/>
      <c r="G461" s="33"/>
      <c r="H461" s="31"/>
      <c r="I461" s="24" t="str">
        <f aca="false">IF(B461="","",YEAR(B461))</f>
        <v/>
      </c>
      <c r="J461" s="34" t="str">
        <f aca="false">IF(B461="","",IF(MONTH(B461)=1,"X",""))</f>
        <v/>
      </c>
      <c r="K461" s="34" t="str">
        <f aca="false">IF(B461="","",IF(MONTH(B461)=2,"X",""))</f>
        <v/>
      </c>
      <c r="L461" s="34" t="str">
        <f aca="false">IF(B461="","",IF(MONTH(B461)=3,"X",""))</f>
        <v/>
      </c>
      <c r="M461" s="34" t="str">
        <f aca="false">IF(B461="","",IF(MONTH(B461)=4,"X",""))</f>
        <v/>
      </c>
      <c r="N461" s="34" t="str">
        <f aca="false">IF(B461="","",IF(MONTH(B461)=5,"X",""))</f>
        <v/>
      </c>
      <c r="O461" s="34" t="str">
        <f aca="false">IF(B461="","",IF(MONTH(B461)=6,"X",""))</f>
        <v/>
      </c>
      <c r="P461" s="34" t="str">
        <f aca="false">IF(B461="","",IF(MONTH(B461)=7,"X",""))</f>
        <v/>
      </c>
      <c r="Q461" s="34" t="str">
        <f aca="false">IF(B461="","",IF(MONTH(B461)=8,"X",""))</f>
        <v/>
      </c>
      <c r="R461" s="34" t="str">
        <f aca="false">IF(B461="","",IF(MONTH(B461)=9,"X",""))</f>
        <v/>
      </c>
      <c r="S461" s="34" t="str">
        <f aca="false">IF(B461="","",IF(MONTH(B461)=10,"X",""))</f>
        <v/>
      </c>
      <c r="T461" s="34" t="str">
        <f aca="false">IF(B461="","",IF(MONTH(B461)=11,"X",""))</f>
        <v/>
      </c>
      <c r="U461" s="34" t="str">
        <f aca="false">IF(B461="","",IF(MONTH(B461)=12,"X",""))</f>
        <v/>
      </c>
      <c r="V461" s="24" t="str">
        <f aca="false">IF(E461="","",COUNTIF($E$5:$E$1000,E461))</f>
        <v/>
      </c>
      <c r="W461" s="35" t="str">
        <f aca="false">IF(E461="","",_xlfn.TEXTJOIN(" + ",TRUE(),IF(COUNTIFS($E$5:$E$1000,E461,$C$5:$C$1000,"Auditoría Interna")&gt;0,"Interna",""),IF(COUNTIFS($E$5:$E$1000,E461,$C$5:$C$1000,"Auditoría Externa")&gt;0,"Externa",""),IF(COUNTIFS($E$5:$E$1000,E461,$C$5:$C$1000,"SSF")&gt;0,"SSF",""),IF(COUNTIFS($E$5:$E$1000,E461,$C$5:$C$1000,"Comité de Supervisión")&gt;0,"Comité Sup.",""),IF(COUNTIFS($E$5:$E$1000,E461,$C$5:$C$1000,"Consejo de Administración")&gt;0,"Consejo",""),IF(COUNTIFS($E$5:$E$1000,E461,$C$5:$C$1000,"Otros")&gt;0,"Otros","")))</f>
        <v/>
      </c>
      <c r="X461" s="24" t="str">
        <f aca="false">IF(E461="","",COUNTIFS($E$5:$E$1000,E461,$AB$5:$AB$1000,AB461,$C$5:$C$1000,"&lt;&gt;"&amp;C461))</f>
        <v/>
      </c>
      <c r="Y461" s="33"/>
      <c r="Z461" s="31"/>
      <c r="AA461" s="33"/>
      <c r="AB461" s="37" t="str">
        <f aca="false">IF(B461="","",YEAR(B461)*100+MONTH(B461))</f>
        <v/>
      </c>
      <c r="AC461" s="37" t="str">
        <f aca="false">IF(AND(E461&lt;&gt;"",E461=Cruce!$C$5),COUNTIF($E$5:E461,E461),"")</f>
        <v/>
      </c>
      <c r="AD461" s="37" t="str">
        <f aca="false">IF(E461="","",C461&amp;"|"&amp;Y461&amp;"|"&amp;IF(B461="","s/f",TEXT(B461,"yyyymmdd")))</f>
        <v/>
      </c>
      <c r="AE461" s="37" t="n">
        <f aca="false">IF(E461="",0,IF(COUNTIFS($E$5:E461,E461,$AD$5:AD461,AD461)=1,1,0))</f>
        <v>0</v>
      </c>
    </row>
    <row r="462" customFormat="false" ht="15" hidden="false" customHeight="true" outlineLevel="0" collapsed="false">
      <c r="A462" s="31"/>
      <c r="B462" s="30"/>
      <c r="C462" s="31"/>
      <c r="D462" s="31"/>
      <c r="E462" s="32"/>
      <c r="F462" s="32"/>
      <c r="G462" s="33"/>
      <c r="H462" s="31"/>
      <c r="I462" s="24" t="str">
        <f aca="false">IF(B462="","",YEAR(B462))</f>
        <v/>
      </c>
      <c r="J462" s="34" t="str">
        <f aca="false">IF(B462="","",IF(MONTH(B462)=1,"X",""))</f>
        <v/>
      </c>
      <c r="K462" s="34" t="str">
        <f aca="false">IF(B462="","",IF(MONTH(B462)=2,"X",""))</f>
        <v/>
      </c>
      <c r="L462" s="34" t="str">
        <f aca="false">IF(B462="","",IF(MONTH(B462)=3,"X",""))</f>
        <v/>
      </c>
      <c r="M462" s="34" t="str">
        <f aca="false">IF(B462="","",IF(MONTH(B462)=4,"X",""))</f>
        <v/>
      </c>
      <c r="N462" s="34" t="str">
        <f aca="false">IF(B462="","",IF(MONTH(B462)=5,"X",""))</f>
        <v/>
      </c>
      <c r="O462" s="34" t="str">
        <f aca="false">IF(B462="","",IF(MONTH(B462)=6,"X",""))</f>
        <v/>
      </c>
      <c r="P462" s="34" t="str">
        <f aca="false">IF(B462="","",IF(MONTH(B462)=7,"X",""))</f>
        <v/>
      </c>
      <c r="Q462" s="34" t="str">
        <f aca="false">IF(B462="","",IF(MONTH(B462)=8,"X",""))</f>
        <v/>
      </c>
      <c r="R462" s="34" t="str">
        <f aca="false">IF(B462="","",IF(MONTH(B462)=9,"X",""))</f>
        <v/>
      </c>
      <c r="S462" s="34" t="str">
        <f aca="false">IF(B462="","",IF(MONTH(B462)=10,"X",""))</f>
        <v/>
      </c>
      <c r="T462" s="34" t="str">
        <f aca="false">IF(B462="","",IF(MONTH(B462)=11,"X",""))</f>
        <v/>
      </c>
      <c r="U462" s="34" t="str">
        <f aca="false">IF(B462="","",IF(MONTH(B462)=12,"X",""))</f>
        <v/>
      </c>
      <c r="V462" s="24" t="str">
        <f aca="false">IF(E462="","",COUNTIF($E$5:$E$1000,E462))</f>
        <v/>
      </c>
      <c r="W462" s="35" t="str">
        <f aca="false">IF(E462="","",_xlfn.TEXTJOIN(" + ",TRUE(),IF(COUNTIFS($E$5:$E$1000,E462,$C$5:$C$1000,"Auditoría Interna")&gt;0,"Interna",""),IF(COUNTIFS($E$5:$E$1000,E462,$C$5:$C$1000,"Auditoría Externa")&gt;0,"Externa",""),IF(COUNTIFS($E$5:$E$1000,E462,$C$5:$C$1000,"SSF")&gt;0,"SSF",""),IF(COUNTIFS($E$5:$E$1000,E462,$C$5:$C$1000,"Comité de Supervisión")&gt;0,"Comité Sup.",""),IF(COUNTIFS($E$5:$E$1000,E462,$C$5:$C$1000,"Consejo de Administración")&gt;0,"Consejo",""),IF(COUNTIFS($E$5:$E$1000,E462,$C$5:$C$1000,"Otros")&gt;0,"Otros","")))</f>
        <v/>
      </c>
      <c r="X462" s="24" t="str">
        <f aca="false">IF(E462="","",COUNTIFS($E$5:$E$1000,E462,$AB$5:$AB$1000,AB462,$C$5:$C$1000,"&lt;&gt;"&amp;C462))</f>
        <v/>
      </c>
      <c r="Y462" s="33"/>
      <c r="Z462" s="31"/>
      <c r="AA462" s="33"/>
      <c r="AB462" s="37" t="str">
        <f aca="false">IF(B462="","",YEAR(B462)*100+MONTH(B462))</f>
        <v/>
      </c>
      <c r="AC462" s="37" t="str">
        <f aca="false">IF(AND(E462&lt;&gt;"",E462=Cruce!$C$5),COUNTIF($E$5:E462,E462),"")</f>
        <v/>
      </c>
      <c r="AD462" s="37" t="str">
        <f aca="false">IF(E462="","",C462&amp;"|"&amp;Y462&amp;"|"&amp;IF(B462="","s/f",TEXT(B462,"yyyymmdd")))</f>
        <v/>
      </c>
      <c r="AE462" s="37" t="n">
        <f aca="false">IF(E462="",0,IF(COUNTIFS($E$5:E462,E462,$AD$5:AD462,AD462)=1,1,0))</f>
        <v>0</v>
      </c>
    </row>
    <row r="463" customFormat="false" ht="15" hidden="false" customHeight="true" outlineLevel="0" collapsed="false">
      <c r="A463" s="31"/>
      <c r="B463" s="30"/>
      <c r="C463" s="31"/>
      <c r="D463" s="31"/>
      <c r="E463" s="32"/>
      <c r="F463" s="32"/>
      <c r="G463" s="33"/>
      <c r="H463" s="31"/>
      <c r="I463" s="24" t="str">
        <f aca="false">IF(B463="","",YEAR(B463))</f>
        <v/>
      </c>
      <c r="J463" s="34" t="str">
        <f aca="false">IF(B463="","",IF(MONTH(B463)=1,"X",""))</f>
        <v/>
      </c>
      <c r="K463" s="34" t="str">
        <f aca="false">IF(B463="","",IF(MONTH(B463)=2,"X",""))</f>
        <v/>
      </c>
      <c r="L463" s="34" t="str">
        <f aca="false">IF(B463="","",IF(MONTH(B463)=3,"X",""))</f>
        <v/>
      </c>
      <c r="M463" s="34" t="str">
        <f aca="false">IF(B463="","",IF(MONTH(B463)=4,"X",""))</f>
        <v/>
      </c>
      <c r="N463" s="34" t="str">
        <f aca="false">IF(B463="","",IF(MONTH(B463)=5,"X",""))</f>
        <v/>
      </c>
      <c r="O463" s="34" t="str">
        <f aca="false">IF(B463="","",IF(MONTH(B463)=6,"X",""))</f>
        <v/>
      </c>
      <c r="P463" s="34" t="str">
        <f aca="false">IF(B463="","",IF(MONTH(B463)=7,"X",""))</f>
        <v/>
      </c>
      <c r="Q463" s="34" t="str">
        <f aca="false">IF(B463="","",IF(MONTH(B463)=8,"X",""))</f>
        <v/>
      </c>
      <c r="R463" s="34" t="str">
        <f aca="false">IF(B463="","",IF(MONTH(B463)=9,"X",""))</f>
        <v/>
      </c>
      <c r="S463" s="34" t="str">
        <f aca="false">IF(B463="","",IF(MONTH(B463)=10,"X",""))</f>
        <v/>
      </c>
      <c r="T463" s="34" t="str">
        <f aca="false">IF(B463="","",IF(MONTH(B463)=11,"X",""))</f>
        <v/>
      </c>
      <c r="U463" s="34" t="str">
        <f aca="false">IF(B463="","",IF(MONTH(B463)=12,"X",""))</f>
        <v/>
      </c>
      <c r="V463" s="24" t="str">
        <f aca="false">IF(E463="","",COUNTIF($E$5:$E$1000,E463))</f>
        <v/>
      </c>
      <c r="W463" s="35" t="str">
        <f aca="false">IF(E463="","",_xlfn.TEXTJOIN(" + ",TRUE(),IF(COUNTIFS($E$5:$E$1000,E463,$C$5:$C$1000,"Auditoría Interna")&gt;0,"Interna",""),IF(COUNTIFS($E$5:$E$1000,E463,$C$5:$C$1000,"Auditoría Externa")&gt;0,"Externa",""),IF(COUNTIFS($E$5:$E$1000,E463,$C$5:$C$1000,"SSF")&gt;0,"SSF",""),IF(COUNTIFS($E$5:$E$1000,E463,$C$5:$C$1000,"Comité de Supervisión")&gt;0,"Comité Sup.",""),IF(COUNTIFS($E$5:$E$1000,E463,$C$5:$C$1000,"Consejo de Administración")&gt;0,"Consejo",""),IF(COUNTIFS($E$5:$E$1000,E463,$C$5:$C$1000,"Otros")&gt;0,"Otros","")))</f>
        <v/>
      </c>
      <c r="X463" s="24" t="str">
        <f aca="false">IF(E463="","",COUNTIFS($E$5:$E$1000,E463,$AB$5:$AB$1000,AB463,$C$5:$C$1000,"&lt;&gt;"&amp;C463))</f>
        <v/>
      </c>
      <c r="Y463" s="33"/>
      <c r="Z463" s="31"/>
      <c r="AA463" s="33"/>
      <c r="AB463" s="37" t="str">
        <f aca="false">IF(B463="","",YEAR(B463)*100+MONTH(B463))</f>
        <v/>
      </c>
      <c r="AC463" s="37" t="str">
        <f aca="false">IF(AND(E463&lt;&gt;"",E463=Cruce!$C$5),COUNTIF($E$5:E463,E463),"")</f>
        <v/>
      </c>
      <c r="AD463" s="37" t="str">
        <f aca="false">IF(E463="","",C463&amp;"|"&amp;Y463&amp;"|"&amp;IF(B463="","s/f",TEXT(B463,"yyyymmdd")))</f>
        <v/>
      </c>
      <c r="AE463" s="37" t="n">
        <f aca="false">IF(E463="",0,IF(COUNTIFS($E$5:E463,E463,$AD$5:AD463,AD463)=1,1,0))</f>
        <v>0</v>
      </c>
    </row>
    <row r="464" customFormat="false" ht="15" hidden="false" customHeight="true" outlineLevel="0" collapsed="false">
      <c r="A464" s="31"/>
      <c r="B464" s="30"/>
      <c r="C464" s="31"/>
      <c r="D464" s="31"/>
      <c r="E464" s="32"/>
      <c r="F464" s="32"/>
      <c r="G464" s="33"/>
      <c r="H464" s="31"/>
      <c r="I464" s="24" t="str">
        <f aca="false">IF(B464="","",YEAR(B464))</f>
        <v/>
      </c>
      <c r="J464" s="34" t="str">
        <f aca="false">IF(B464="","",IF(MONTH(B464)=1,"X",""))</f>
        <v/>
      </c>
      <c r="K464" s="34" t="str">
        <f aca="false">IF(B464="","",IF(MONTH(B464)=2,"X",""))</f>
        <v/>
      </c>
      <c r="L464" s="34" t="str">
        <f aca="false">IF(B464="","",IF(MONTH(B464)=3,"X",""))</f>
        <v/>
      </c>
      <c r="M464" s="34" t="str">
        <f aca="false">IF(B464="","",IF(MONTH(B464)=4,"X",""))</f>
        <v/>
      </c>
      <c r="N464" s="34" t="str">
        <f aca="false">IF(B464="","",IF(MONTH(B464)=5,"X",""))</f>
        <v/>
      </c>
      <c r="O464" s="34" t="str">
        <f aca="false">IF(B464="","",IF(MONTH(B464)=6,"X",""))</f>
        <v/>
      </c>
      <c r="P464" s="34" t="str">
        <f aca="false">IF(B464="","",IF(MONTH(B464)=7,"X",""))</f>
        <v/>
      </c>
      <c r="Q464" s="34" t="str">
        <f aca="false">IF(B464="","",IF(MONTH(B464)=8,"X",""))</f>
        <v/>
      </c>
      <c r="R464" s="34" t="str">
        <f aca="false">IF(B464="","",IF(MONTH(B464)=9,"X",""))</f>
        <v/>
      </c>
      <c r="S464" s="34" t="str">
        <f aca="false">IF(B464="","",IF(MONTH(B464)=10,"X",""))</f>
        <v/>
      </c>
      <c r="T464" s="34" t="str">
        <f aca="false">IF(B464="","",IF(MONTH(B464)=11,"X",""))</f>
        <v/>
      </c>
      <c r="U464" s="34" t="str">
        <f aca="false">IF(B464="","",IF(MONTH(B464)=12,"X",""))</f>
        <v/>
      </c>
      <c r="V464" s="24" t="str">
        <f aca="false">IF(E464="","",COUNTIF($E$5:$E$1000,E464))</f>
        <v/>
      </c>
      <c r="W464" s="35" t="str">
        <f aca="false">IF(E464="","",_xlfn.TEXTJOIN(" + ",TRUE(),IF(COUNTIFS($E$5:$E$1000,E464,$C$5:$C$1000,"Auditoría Interna")&gt;0,"Interna",""),IF(COUNTIFS($E$5:$E$1000,E464,$C$5:$C$1000,"Auditoría Externa")&gt;0,"Externa",""),IF(COUNTIFS($E$5:$E$1000,E464,$C$5:$C$1000,"SSF")&gt;0,"SSF",""),IF(COUNTIFS($E$5:$E$1000,E464,$C$5:$C$1000,"Comité de Supervisión")&gt;0,"Comité Sup.",""),IF(COUNTIFS($E$5:$E$1000,E464,$C$5:$C$1000,"Consejo de Administración")&gt;0,"Consejo",""),IF(COUNTIFS($E$5:$E$1000,E464,$C$5:$C$1000,"Otros")&gt;0,"Otros","")))</f>
        <v/>
      </c>
      <c r="X464" s="24" t="str">
        <f aca="false">IF(E464="","",COUNTIFS($E$5:$E$1000,E464,$AB$5:$AB$1000,AB464,$C$5:$C$1000,"&lt;&gt;"&amp;C464))</f>
        <v/>
      </c>
      <c r="Y464" s="33"/>
      <c r="Z464" s="31"/>
      <c r="AA464" s="33"/>
      <c r="AB464" s="37" t="str">
        <f aca="false">IF(B464="","",YEAR(B464)*100+MONTH(B464))</f>
        <v/>
      </c>
      <c r="AC464" s="37" t="str">
        <f aca="false">IF(AND(E464&lt;&gt;"",E464=Cruce!$C$5),COUNTIF($E$5:E464,E464),"")</f>
        <v/>
      </c>
      <c r="AD464" s="37" t="str">
        <f aca="false">IF(E464="","",C464&amp;"|"&amp;Y464&amp;"|"&amp;IF(B464="","s/f",TEXT(B464,"yyyymmdd")))</f>
        <v/>
      </c>
      <c r="AE464" s="37" t="n">
        <f aca="false">IF(E464="",0,IF(COUNTIFS($E$5:E464,E464,$AD$5:AD464,AD464)=1,1,0))</f>
        <v>0</v>
      </c>
    </row>
    <row r="465" customFormat="false" ht="15" hidden="false" customHeight="true" outlineLevel="0" collapsed="false">
      <c r="A465" s="31"/>
      <c r="B465" s="30"/>
      <c r="C465" s="31"/>
      <c r="D465" s="31"/>
      <c r="E465" s="32"/>
      <c r="F465" s="32"/>
      <c r="G465" s="33"/>
      <c r="H465" s="31"/>
      <c r="I465" s="24" t="str">
        <f aca="false">IF(B465="","",YEAR(B465))</f>
        <v/>
      </c>
      <c r="J465" s="34" t="str">
        <f aca="false">IF(B465="","",IF(MONTH(B465)=1,"X",""))</f>
        <v/>
      </c>
      <c r="K465" s="34" t="str">
        <f aca="false">IF(B465="","",IF(MONTH(B465)=2,"X",""))</f>
        <v/>
      </c>
      <c r="L465" s="34" t="str">
        <f aca="false">IF(B465="","",IF(MONTH(B465)=3,"X",""))</f>
        <v/>
      </c>
      <c r="M465" s="34" t="str">
        <f aca="false">IF(B465="","",IF(MONTH(B465)=4,"X",""))</f>
        <v/>
      </c>
      <c r="N465" s="34" t="str">
        <f aca="false">IF(B465="","",IF(MONTH(B465)=5,"X",""))</f>
        <v/>
      </c>
      <c r="O465" s="34" t="str">
        <f aca="false">IF(B465="","",IF(MONTH(B465)=6,"X",""))</f>
        <v/>
      </c>
      <c r="P465" s="34" t="str">
        <f aca="false">IF(B465="","",IF(MONTH(B465)=7,"X",""))</f>
        <v/>
      </c>
      <c r="Q465" s="34" t="str">
        <f aca="false">IF(B465="","",IF(MONTH(B465)=8,"X",""))</f>
        <v/>
      </c>
      <c r="R465" s="34" t="str">
        <f aca="false">IF(B465="","",IF(MONTH(B465)=9,"X",""))</f>
        <v/>
      </c>
      <c r="S465" s="34" t="str">
        <f aca="false">IF(B465="","",IF(MONTH(B465)=10,"X",""))</f>
        <v/>
      </c>
      <c r="T465" s="34" t="str">
        <f aca="false">IF(B465="","",IF(MONTH(B465)=11,"X",""))</f>
        <v/>
      </c>
      <c r="U465" s="34" t="str">
        <f aca="false">IF(B465="","",IF(MONTH(B465)=12,"X",""))</f>
        <v/>
      </c>
      <c r="V465" s="24" t="str">
        <f aca="false">IF(E465="","",COUNTIF($E$5:$E$1000,E465))</f>
        <v/>
      </c>
      <c r="W465" s="35" t="str">
        <f aca="false">IF(E465="","",_xlfn.TEXTJOIN(" + ",TRUE(),IF(COUNTIFS($E$5:$E$1000,E465,$C$5:$C$1000,"Auditoría Interna")&gt;0,"Interna",""),IF(COUNTIFS($E$5:$E$1000,E465,$C$5:$C$1000,"Auditoría Externa")&gt;0,"Externa",""),IF(COUNTIFS($E$5:$E$1000,E465,$C$5:$C$1000,"SSF")&gt;0,"SSF",""),IF(COUNTIFS($E$5:$E$1000,E465,$C$5:$C$1000,"Comité de Supervisión")&gt;0,"Comité Sup.",""),IF(COUNTIFS($E$5:$E$1000,E465,$C$5:$C$1000,"Consejo de Administración")&gt;0,"Consejo",""),IF(COUNTIFS($E$5:$E$1000,E465,$C$5:$C$1000,"Otros")&gt;0,"Otros","")))</f>
        <v/>
      </c>
      <c r="X465" s="24" t="str">
        <f aca="false">IF(E465="","",COUNTIFS($E$5:$E$1000,E465,$AB$5:$AB$1000,AB465,$C$5:$C$1000,"&lt;&gt;"&amp;C465))</f>
        <v/>
      </c>
      <c r="Y465" s="33"/>
      <c r="Z465" s="31"/>
      <c r="AA465" s="33"/>
      <c r="AB465" s="37" t="str">
        <f aca="false">IF(B465="","",YEAR(B465)*100+MONTH(B465))</f>
        <v/>
      </c>
      <c r="AC465" s="37" t="str">
        <f aca="false">IF(AND(E465&lt;&gt;"",E465=Cruce!$C$5),COUNTIF($E$5:E465,E465),"")</f>
        <v/>
      </c>
      <c r="AD465" s="37" t="str">
        <f aca="false">IF(E465="","",C465&amp;"|"&amp;Y465&amp;"|"&amp;IF(B465="","s/f",TEXT(B465,"yyyymmdd")))</f>
        <v/>
      </c>
      <c r="AE465" s="37" t="n">
        <f aca="false">IF(E465="",0,IF(COUNTIFS($E$5:E465,E465,$AD$5:AD465,AD465)=1,1,0))</f>
        <v>0</v>
      </c>
    </row>
    <row r="466" customFormat="false" ht="15" hidden="false" customHeight="true" outlineLevel="0" collapsed="false">
      <c r="A466" s="31"/>
      <c r="B466" s="30"/>
      <c r="C466" s="31"/>
      <c r="D466" s="31"/>
      <c r="E466" s="32"/>
      <c r="F466" s="32"/>
      <c r="G466" s="33"/>
      <c r="H466" s="31"/>
      <c r="I466" s="24" t="str">
        <f aca="false">IF(B466="","",YEAR(B466))</f>
        <v/>
      </c>
      <c r="J466" s="34" t="str">
        <f aca="false">IF(B466="","",IF(MONTH(B466)=1,"X",""))</f>
        <v/>
      </c>
      <c r="K466" s="34" t="str">
        <f aca="false">IF(B466="","",IF(MONTH(B466)=2,"X",""))</f>
        <v/>
      </c>
      <c r="L466" s="34" t="str">
        <f aca="false">IF(B466="","",IF(MONTH(B466)=3,"X",""))</f>
        <v/>
      </c>
      <c r="M466" s="34" t="str">
        <f aca="false">IF(B466="","",IF(MONTH(B466)=4,"X",""))</f>
        <v/>
      </c>
      <c r="N466" s="34" t="str">
        <f aca="false">IF(B466="","",IF(MONTH(B466)=5,"X",""))</f>
        <v/>
      </c>
      <c r="O466" s="34" t="str">
        <f aca="false">IF(B466="","",IF(MONTH(B466)=6,"X",""))</f>
        <v/>
      </c>
      <c r="P466" s="34" t="str">
        <f aca="false">IF(B466="","",IF(MONTH(B466)=7,"X",""))</f>
        <v/>
      </c>
      <c r="Q466" s="34" t="str">
        <f aca="false">IF(B466="","",IF(MONTH(B466)=8,"X",""))</f>
        <v/>
      </c>
      <c r="R466" s="34" t="str">
        <f aca="false">IF(B466="","",IF(MONTH(B466)=9,"X",""))</f>
        <v/>
      </c>
      <c r="S466" s="34" t="str">
        <f aca="false">IF(B466="","",IF(MONTH(B466)=10,"X",""))</f>
        <v/>
      </c>
      <c r="T466" s="34" t="str">
        <f aca="false">IF(B466="","",IF(MONTH(B466)=11,"X",""))</f>
        <v/>
      </c>
      <c r="U466" s="34" t="str">
        <f aca="false">IF(B466="","",IF(MONTH(B466)=12,"X",""))</f>
        <v/>
      </c>
      <c r="V466" s="24" t="str">
        <f aca="false">IF(E466="","",COUNTIF($E$5:$E$1000,E466))</f>
        <v/>
      </c>
      <c r="W466" s="35" t="str">
        <f aca="false">IF(E466="","",_xlfn.TEXTJOIN(" + ",TRUE(),IF(COUNTIFS($E$5:$E$1000,E466,$C$5:$C$1000,"Auditoría Interna")&gt;0,"Interna",""),IF(COUNTIFS($E$5:$E$1000,E466,$C$5:$C$1000,"Auditoría Externa")&gt;0,"Externa",""),IF(COUNTIFS($E$5:$E$1000,E466,$C$5:$C$1000,"SSF")&gt;0,"SSF",""),IF(COUNTIFS($E$5:$E$1000,E466,$C$5:$C$1000,"Comité de Supervisión")&gt;0,"Comité Sup.",""),IF(COUNTIFS($E$5:$E$1000,E466,$C$5:$C$1000,"Consejo de Administración")&gt;0,"Consejo",""),IF(COUNTIFS($E$5:$E$1000,E466,$C$5:$C$1000,"Otros")&gt;0,"Otros","")))</f>
        <v/>
      </c>
      <c r="X466" s="24" t="str">
        <f aca="false">IF(E466="","",COUNTIFS($E$5:$E$1000,E466,$AB$5:$AB$1000,AB466,$C$5:$C$1000,"&lt;&gt;"&amp;C466))</f>
        <v/>
      </c>
      <c r="Y466" s="33"/>
      <c r="Z466" s="31"/>
      <c r="AA466" s="33"/>
      <c r="AB466" s="37" t="str">
        <f aca="false">IF(B466="","",YEAR(B466)*100+MONTH(B466))</f>
        <v/>
      </c>
      <c r="AC466" s="37" t="str">
        <f aca="false">IF(AND(E466&lt;&gt;"",E466=Cruce!$C$5),COUNTIF($E$5:E466,E466),"")</f>
        <v/>
      </c>
      <c r="AD466" s="37" t="str">
        <f aca="false">IF(E466="","",C466&amp;"|"&amp;Y466&amp;"|"&amp;IF(B466="","s/f",TEXT(B466,"yyyymmdd")))</f>
        <v/>
      </c>
      <c r="AE466" s="37" t="n">
        <f aca="false">IF(E466="",0,IF(COUNTIFS($E$5:E466,E466,$AD$5:AD466,AD466)=1,1,0))</f>
        <v>0</v>
      </c>
    </row>
    <row r="467" customFormat="false" ht="15" hidden="false" customHeight="true" outlineLevel="0" collapsed="false">
      <c r="A467" s="31"/>
      <c r="B467" s="30"/>
      <c r="C467" s="31"/>
      <c r="D467" s="31"/>
      <c r="E467" s="32"/>
      <c r="F467" s="32"/>
      <c r="G467" s="33"/>
      <c r="H467" s="31"/>
      <c r="I467" s="24" t="str">
        <f aca="false">IF(B467="","",YEAR(B467))</f>
        <v/>
      </c>
      <c r="J467" s="34" t="str">
        <f aca="false">IF(B467="","",IF(MONTH(B467)=1,"X",""))</f>
        <v/>
      </c>
      <c r="K467" s="34" t="str">
        <f aca="false">IF(B467="","",IF(MONTH(B467)=2,"X",""))</f>
        <v/>
      </c>
      <c r="L467" s="34" t="str">
        <f aca="false">IF(B467="","",IF(MONTH(B467)=3,"X",""))</f>
        <v/>
      </c>
      <c r="M467" s="34" t="str">
        <f aca="false">IF(B467="","",IF(MONTH(B467)=4,"X",""))</f>
        <v/>
      </c>
      <c r="N467" s="34" t="str">
        <f aca="false">IF(B467="","",IF(MONTH(B467)=5,"X",""))</f>
        <v/>
      </c>
      <c r="O467" s="34" t="str">
        <f aca="false">IF(B467="","",IF(MONTH(B467)=6,"X",""))</f>
        <v/>
      </c>
      <c r="P467" s="34" t="str">
        <f aca="false">IF(B467="","",IF(MONTH(B467)=7,"X",""))</f>
        <v/>
      </c>
      <c r="Q467" s="34" t="str">
        <f aca="false">IF(B467="","",IF(MONTH(B467)=8,"X",""))</f>
        <v/>
      </c>
      <c r="R467" s="34" t="str">
        <f aca="false">IF(B467="","",IF(MONTH(B467)=9,"X",""))</f>
        <v/>
      </c>
      <c r="S467" s="34" t="str">
        <f aca="false">IF(B467="","",IF(MONTH(B467)=10,"X",""))</f>
        <v/>
      </c>
      <c r="T467" s="34" t="str">
        <f aca="false">IF(B467="","",IF(MONTH(B467)=11,"X",""))</f>
        <v/>
      </c>
      <c r="U467" s="34" t="str">
        <f aca="false">IF(B467="","",IF(MONTH(B467)=12,"X",""))</f>
        <v/>
      </c>
      <c r="V467" s="24" t="str">
        <f aca="false">IF(E467="","",COUNTIF($E$5:$E$1000,E467))</f>
        <v/>
      </c>
      <c r="W467" s="35" t="str">
        <f aca="false">IF(E467="","",_xlfn.TEXTJOIN(" + ",TRUE(),IF(COUNTIFS($E$5:$E$1000,E467,$C$5:$C$1000,"Auditoría Interna")&gt;0,"Interna",""),IF(COUNTIFS($E$5:$E$1000,E467,$C$5:$C$1000,"Auditoría Externa")&gt;0,"Externa",""),IF(COUNTIFS($E$5:$E$1000,E467,$C$5:$C$1000,"SSF")&gt;0,"SSF",""),IF(COUNTIFS($E$5:$E$1000,E467,$C$5:$C$1000,"Comité de Supervisión")&gt;0,"Comité Sup.",""),IF(COUNTIFS($E$5:$E$1000,E467,$C$5:$C$1000,"Consejo de Administración")&gt;0,"Consejo",""),IF(COUNTIFS($E$5:$E$1000,E467,$C$5:$C$1000,"Otros")&gt;0,"Otros","")))</f>
        <v/>
      </c>
      <c r="X467" s="24" t="str">
        <f aca="false">IF(E467="","",COUNTIFS($E$5:$E$1000,E467,$AB$5:$AB$1000,AB467,$C$5:$C$1000,"&lt;&gt;"&amp;C467))</f>
        <v/>
      </c>
      <c r="Y467" s="33"/>
      <c r="Z467" s="31"/>
      <c r="AA467" s="33"/>
      <c r="AB467" s="37" t="str">
        <f aca="false">IF(B467="","",YEAR(B467)*100+MONTH(B467))</f>
        <v/>
      </c>
      <c r="AC467" s="37" t="str">
        <f aca="false">IF(AND(E467&lt;&gt;"",E467=Cruce!$C$5),COUNTIF($E$5:E467,E467),"")</f>
        <v/>
      </c>
      <c r="AD467" s="37" t="str">
        <f aca="false">IF(E467="","",C467&amp;"|"&amp;Y467&amp;"|"&amp;IF(B467="","s/f",TEXT(B467,"yyyymmdd")))</f>
        <v/>
      </c>
      <c r="AE467" s="37" t="n">
        <f aca="false">IF(E467="",0,IF(COUNTIFS($E$5:E467,E467,$AD$5:AD467,AD467)=1,1,0))</f>
        <v>0</v>
      </c>
    </row>
    <row r="468" customFormat="false" ht="15" hidden="false" customHeight="true" outlineLevel="0" collapsed="false">
      <c r="A468" s="31"/>
      <c r="B468" s="30"/>
      <c r="C468" s="31"/>
      <c r="D468" s="31"/>
      <c r="E468" s="32"/>
      <c r="F468" s="32"/>
      <c r="G468" s="33"/>
      <c r="H468" s="31"/>
      <c r="I468" s="24" t="str">
        <f aca="false">IF(B468="","",YEAR(B468))</f>
        <v/>
      </c>
      <c r="J468" s="34" t="str">
        <f aca="false">IF(B468="","",IF(MONTH(B468)=1,"X",""))</f>
        <v/>
      </c>
      <c r="K468" s="34" t="str">
        <f aca="false">IF(B468="","",IF(MONTH(B468)=2,"X",""))</f>
        <v/>
      </c>
      <c r="L468" s="34" t="str">
        <f aca="false">IF(B468="","",IF(MONTH(B468)=3,"X",""))</f>
        <v/>
      </c>
      <c r="M468" s="34" t="str">
        <f aca="false">IF(B468="","",IF(MONTH(B468)=4,"X",""))</f>
        <v/>
      </c>
      <c r="N468" s="34" t="str">
        <f aca="false">IF(B468="","",IF(MONTH(B468)=5,"X",""))</f>
        <v/>
      </c>
      <c r="O468" s="34" t="str">
        <f aca="false">IF(B468="","",IF(MONTH(B468)=6,"X",""))</f>
        <v/>
      </c>
      <c r="P468" s="34" t="str">
        <f aca="false">IF(B468="","",IF(MONTH(B468)=7,"X",""))</f>
        <v/>
      </c>
      <c r="Q468" s="34" t="str">
        <f aca="false">IF(B468="","",IF(MONTH(B468)=8,"X",""))</f>
        <v/>
      </c>
      <c r="R468" s="34" t="str">
        <f aca="false">IF(B468="","",IF(MONTH(B468)=9,"X",""))</f>
        <v/>
      </c>
      <c r="S468" s="34" t="str">
        <f aca="false">IF(B468="","",IF(MONTH(B468)=10,"X",""))</f>
        <v/>
      </c>
      <c r="T468" s="34" t="str">
        <f aca="false">IF(B468="","",IF(MONTH(B468)=11,"X",""))</f>
        <v/>
      </c>
      <c r="U468" s="34" t="str">
        <f aca="false">IF(B468="","",IF(MONTH(B468)=12,"X",""))</f>
        <v/>
      </c>
      <c r="V468" s="24" t="str">
        <f aca="false">IF(E468="","",COUNTIF($E$5:$E$1000,E468))</f>
        <v/>
      </c>
      <c r="W468" s="35" t="str">
        <f aca="false">IF(E468="","",_xlfn.TEXTJOIN(" + ",TRUE(),IF(COUNTIFS($E$5:$E$1000,E468,$C$5:$C$1000,"Auditoría Interna")&gt;0,"Interna",""),IF(COUNTIFS($E$5:$E$1000,E468,$C$5:$C$1000,"Auditoría Externa")&gt;0,"Externa",""),IF(COUNTIFS($E$5:$E$1000,E468,$C$5:$C$1000,"SSF")&gt;0,"SSF",""),IF(COUNTIFS($E$5:$E$1000,E468,$C$5:$C$1000,"Comité de Supervisión")&gt;0,"Comité Sup.",""),IF(COUNTIFS($E$5:$E$1000,E468,$C$5:$C$1000,"Consejo de Administración")&gt;0,"Consejo",""),IF(COUNTIFS($E$5:$E$1000,E468,$C$5:$C$1000,"Otros")&gt;0,"Otros","")))</f>
        <v/>
      </c>
      <c r="X468" s="24" t="str">
        <f aca="false">IF(E468="","",COUNTIFS($E$5:$E$1000,E468,$AB$5:$AB$1000,AB468,$C$5:$C$1000,"&lt;&gt;"&amp;C468))</f>
        <v/>
      </c>
      <c r="Y468" s="33"/>
      <c r="Z468" s="31"/>
      <c r="AA468" s="33"/>
      <c r="AB468" s="37" t="str">
        <f aca="false">IF(B468="","",YEAR(B468)*100+MONTH(B468))</f>
        <v/>
      </c>
      <c r="AC468" s="37" t="str">
        <f aca="false">IF(AND(E468&lt;&gt;"",E468=Cruce!$C$5),COUNTIF($E$5:E468,E468),"")</f>
        <v/>
      </c>
      <c r="AD468" s="37" t="str">
        <f aca="false">IF(E468="","",C468&amp;"|"&amp;Y468&amp;"|"&amp;IF(B468="","s/f",TEXT(B468,"yyyymmdd")))</f>
        <v/>
      </c>
      <c r="AE468" s="37" t="n">
        <f aca="false">IF(E468="",0,IF(COUNTIFS($E$5:E468,E468,$AD$5:AD468,AD468)=1,1,0))</f>
        <v>0</v>
      </c>
    </row>
    <row r="469" customFormat="false" ht="15" hidden="false" customHeight="true" outlineLevel="0" collapsed="false">
      <c r="A469" s="31"/>
      <c r="B469" s="30"/>
      <c r="C469" s="31"/>
      <c r="D469" s="31"/>
      <c r="E469" s="32"/>
      <c r="F469" s="32"/>
      <c r="G469" s="33"/>
      <c r="H469" s="31"/>
      <c r="I469" s="24" t="str">
        <f aca="false">IF(B469="","",YEAR(B469))</f>
        <v/>
      </c>
      <c r="J469" s="34" t="str">
        <f aca="false">IF(B469="","",IF(MONTH(B469)=1,"X",""))</f>
        <v/>
      </c>
      <c r="K469" s="34" t="str">
        <f aca="false">IF(B469="","",IF(MONTH(B469)=2,"X",""))</f>
        <v/>
      </c>
      <c r="L469" s="34" t="str">
        <f aca="false">IF(B469="","",IF(MONTH(B469)=3,"X",""))</f>
        <v/>
      </c>
      <c r="M469" s="34" t="str">
        <f aca="false">IF(B469="","",IF(MONTH(B469)=4,"X",""))</f>
        <v/>
      </c>
      <c r="N469" s="34" t="str">
        <f aca="false">IF(B469="","",IF(MONTH(B469)=5,"X",""))</f>
        <v/>
      </c>
      <c r="O469" s="34" t="str">
        <f aca="false">IF(B469="","",IF(MONTH(B469)=6,"X",""))</f>
        <v/>
      </c>
      <c r="P469" s="34" t="str">
        <f aca="false">IF(B469="","",IF(MONTH(B469)=7,"X",""))</f>
        <v/>
      </c>
      <c r="Q469" s="34" t="str">
        <f aca="false">IF(B469="","",IF(MONTH(B469)=8,"X",""))</f>
        <v/>
      </c>
      <c r="R469" s="34" t="str">
        <f aca="false">IF(B469="","",IF(MONTH(B469)=9,"X",""))</f>
        <v/>
      </c>
      <c r="S469" s="34" t="str">
        <f aca="false">IF(B469="","",IF(MONTH(B469)=10,"X",""))</f>
        <v/>
      </c>
      <c r="T469" s="34" t="str">
        <f aca="false">IF(B469="","",IF(MONTH(B469)=11,"X",""))</f>
        <v/>
      </c>
      <c r="U469" s="34" t="str">
        <f aca="false">IF(B469="","",IF(MONTH(B469)=12,"X",""))</f>
        <v/>
      </c>
      <c r="V469" s="24" t="str">
        <f aca="false">IF(E469="","",COUNTIF($E$5:$E$1000,E469))</f>
        <v/>
      </c>
      <c r="W469" s="35" t="str">
        <f aca="false">IF(E469="","",_xlfn.TEXTJOIN(" + ",TRUE(),IF(COUNTIFS($E$5:$E$1000,E469,$C$5:$C$1000,"Auditoría Interna")&gt;0,"Interna",""),IF(COUNTIFS($E$5:$E$1000,E469,$C$5:$C$1000,"Auditoría Externa")&gt;0,"Externa",""),IF(COUNTIFS($E$5:$E$1000,E469,$C$5:$C$1000,"SSF")&gt;0,"SSF",""),IF(COUNTIFS($E$5:$E$1000,E469,$C$5:$C$1000,"Comité de Supervisión")&gt;0,"Comité Sup.",""),IF(COUNTIFS($E$5:$E$1000,E469,$C$5:$C$1000,"Consejo de Administración")&gt;0,"Consejo",""),IF(COUNTIFS($E$5:$E$1000,E469,$C$5:$C$1000,"Otros")&gt;0,"Otros","")))</f>
        <v/>
      </c>
      <c r="X469" s="24" t="str">
        <f aca="false">IF(E469="","",COUNTIFS($E$5:$E$1000,E469,$AB$5:$AB$1000,AB469,$C$5:$C$1000,"&lt;&gt;"&amp;C469))</f>
        <v/>
      </c>
      <c r="Y469" s="33"/>
      <c r="Z469" s="31"/>
      <c r="AA469" s="33"/>
      <c r="AB469" s="37" t="str">
        <f aca="false">IF(B469="","",YEAR(B469)*100+MONTH(B469))</f>
        <v/>
      </c>
      <c r="AC469" s="37" t="str">
        <f aca="false">IF(AND(E469&lt;&gt;"",E469=Cruce!$C$5),COUNTIF($E$5:E469,E469),"")</f>
        <v/>
      </c>
      <c r="AD469" s="37" t="str">
        <f aca="false">IF(E469="","",C469&amp;"|"&amp;Y469&amp;"|"&amp;IF(B469="","s/f",TEXT(B469,"yyyymmdd")))</f>
        <v/>
      </c>
      <c r="AE469" s="37" t="n">
        <f aca="false">IF(E469="",0,IF(COUNTIFS($E$5:E469,E469,$AD$5:AD469,AD469)=1,1,0))</f>
        <v>0</v>
      </c>
    </row>
    <row r="470" customFormat="false" ht="15" hidden="false" customHeight="true" outlineLevel="0" collapsed="false">
      <c r="A470" s="31"/>
      <c r="B470" s="30"/>
      <c r="C470" s="31"/>
      <c r="D470" s="31"/>
      <c r="E470" s="32"/>
      <c r="F470" s="32"/>
      <c r="G470" s="33"/>
      <c r="H470" s="31"/>
      <c r="I470" s="24" t="str">
        <f aca="false">IF(B470="","",YEAR(B470))</f>
        <v/>
      </c>
      <c r="J470" s="34" t="str">
        <f aca="false">IF(B470="","",IF(MONTH(B470)=1,"X",""))</f>
        <v/>
      </c>
      <c r="K470" s="34" t="str">
        <f aca="false">IF(B470="","",IF(MONTH(B470)=2,"X",""))</f>
        <v/>
      </c>
      <c r="L470" s="34" t="str">
        <f aca="false">IF(B470="","",IF(MONTH(B470)=3,"X",""))</f>
        <v/>
      </c>
      <c r="M470" s="34" t="str">
        <f aca="false">IF(B470="","",IF(MONTH(B470)=4,"X",""))</f>
        <v/>
      </c>
      <c r="N470" s="34" t="str">
        <f aca="false">IF(B470="","",IF(MONTH(B470)=5,"X",""))</f>
        <v/>
      </c>
      <c r="O470" s="34" t="str">
        <f aca="false">IF(B470="","",IF(MONTH(B470)=6,"X",""))</f>
        <v/>
      </c>
      <c r="P470" s="34" t="str">
        <f aca="false">IF(B470="","",IF(MONTH(B470)=7,"X",""))</f>
        <v/>
      </c>
      <c r="Q470" s="34" t="str">
        <f aca="false">IF(B470="","",IF(MONTH(B470)=8,"X",""))</f>
        <v/>
      </c>
      <c r="R470" s="34" t="str">
        <f aca="false">IF(B470="","",IF(MONTH(B470)=9,"X",""))</f>
        <v/>
      </c>
      <c r="S470" s="34" t="str">
        <f aca="false">IF(B470="","",IF(MONTH(B470)=10,"X",""))</f>
        <v/>
      </c>
      <c r="T470" s="34" t="str">
        <f aca="false">IF(B470="","",IF(MONTH(B470)=11,"X",""))</f>
        <v/>
      </c>
      <c r="U470" s="34" t="str">
        <f aca="false">IF(B470="","",IF(MONTH(B470)=12,"X",""))</f>
        <v/>
      </c>
      <c r="V470" s="24" t="str">
        <f aca="false">IF(E470="","",COUNTIF($E$5:$E$1000,E470))</f>
        <v/>
      </c>
      <c r="W470" s="35" t="str">
        <f aca="false">IF(E470="","",_xlfn.TEXTJOIN(" + ",TRUE(),IF(COUNTIFS($E$5:$E$1000,E470,$C$5:$C$1000,"Auditoría Interna")&gt;0,"Interna",""),IF(COUNTIFS($E$5:$E$1000,E470,$C$5:$C$1000,"Auditoría Externa")&gt;0,"Externa",""),IF(COUNTIFS($E$5:$E$1000,E470,$C$5:$C$1000,"SSF")&gt;0,"SSF",""),IF(COUNTIFS($E$5:$E$1000,E470,$C$5:$C$1000,"Comité de Supervisión")&gt;0,"Comité Sup.",""),IF(COUNTIFS($E$5:$E$1000,E470,$C$5:$C$1000,"Consejo de Administración")&gt;0,"Consejo",""),IF(COUNTIFS($E$5:$E$1000,E470,$C$5:$C$1000,"Otros")&gt;0,"Otros","")))</f>
        <v/>
      </c>
      <c r="X470" s="24" t="str">
        <f aca="false">IF(E470="","",COUNTIFS($E$5:$E$1000,E470,$AB$5:$AB$1000,AB470,$C$5:$C$1000,"&lt;&gt;"&amp;C470))</f>
        <v/>
      </c>
      <c r="Y470" s="33"/>
      <c r="Z470" s="31"/>
      <c r="AA470" s="33"/>
      <c r="AB470" s="37" t="str">
        <f aca="false">IF(B470="","",YEAR(B470)*100+MONTH(B470))</f>
        <v/>
      </c>
      <c r="AC470" s="37" t="str">
        <f aca="false">IF(AND(E470&lt;&gt;"",E470=Cruce!$C$5),COUNTIF($E$5:E470,E470),"")</f>
        <v/>
      </c>
      <c r="AD470" s="37" t="str">
        <f aca="false">IF(E470="","",C470&amp;"|"&amp;Y470&amp;"|"&amp;IF(B470="","s/f",TEXT(B470,"yyyymmdd")))</f>
        <v/>
      </c>
      <c r="AE470" s="37" t="n">
        <f aca="false">IF(E470="",0,IF(COUNTIFS($E$5:E470,E470,$AD$5:AD470,AD470)=1,1,0))</f>
        <v>0</v>
      </c>
    </row>
    <row r="471" customFormat="false" ht="15" hidden="false" customHeight="true" outlineLevel="0" collapsed="false">
      <c r="A471" s="31"/>
      <c r="B471" s="30"/>
      <c r="C471" s="31"/>
      <c r="D471" s="31"/>
      <c r="E471" s="32"/>
      <c r="F471" s="32"/>
      <c r="G471" s="33"/>
      <c r="H471" s="31"/>
      <c r="I471" s="24" t="str">
        <f aca="false">IF(B471="","",YEAR(B471))</f>
        <v/>
      </c>
      <c r="J471" s="34" t="str">
        <f aca="false">IF(B471="","",IF(MONTH(B471)=1,"X",""))</f>
        <v/>
      </c>
      <c r="K471" s="34" t="str">
        <f aca="false">IF(B471="","",IF(MONTH(B471)=2,"X",""))</f>
        <v/>
      </c>
      <c r="L471" s="34" t="str">
        <f aca="false">IF(B471="","",IF(MONTH(B471)=3,"X",""))</f>
        <v/>
      </c>
      <c r="M471" s="34" t="str">
        <f aca="false">IF(B471="","",IF(MONTH(B471)=4,"X",""))</f>
        <v/>
      </c>
      <c r="N471" s="34" t="str">
        <f aca="false">IF(B471="","",IF(MONTH(B471)=5,"X",""))</f>
        <v/>
      </c>
      <c r="O471" s="34" t="str">
        <f aca="false">IF(B471="","",IF(MONTH(B471)=6,"X",""))</f>
        <v/>
      </c>
      <c r="P471" s="34" t="str">
        <f aca="false">IF(B471="","",IF(MONTH(B471)=7,"X",""))</f>
        <v/>
      </c>
      <c r="Q471" s="34" t="str">
        <f aca="false">IF(B471="","",IF(MONTH(B471)=8,"X",""))</f>
        <v/>
      </c>
      <c r="R471" s="34" t="str">
        <f aca="false">IF(B471="","",IF(MONTH(B471)=9,"X",""))</f>
        <v/>
      </c>
      <c r="S471" s="34" t="str">
        <f aca="false">IF(B471="","",IF(MONTH(B471)=10,"X",""))</f>
        <v/>
      </c>
      <c r="T471" s="34" t="str">
        <f aca="false">IF(B471="","",IF(MONTH(B471)=11,"X",""))</f>
        <v/>
      </c>
      <c r="U471" s="34" t="str">
        <f aca="false">IF(B471="","",IF(MONTH(B471)=12,"X",""))</f>
        <v/>
      </c>
      <c r="V471" s="24" t="str">
        <f aca="false">IF(E471="","",COUNTIF($E$5:$E$1000,E471))</f>
        <v/>
      </c>
      <c r="W471" s="35" t="str">
        <f aca="false">IF(E471="","",_xlfn.TEXTJOIN(" + ",TRUE(),IF(COUNTIFS($E$5:$E$1000,E471,$C$5:$C$1000,"Auditoría Interna")&gt;0,"Interna",""),IF(COUNTIFS($E$5:$E$1000,E471,$C$5:$C$1000,"Auditoría Externa")&gt;0,"Externa",""),IF(COUNTIFS($E$5:$E$1000,E471,$C$5:$C$1000,"SSF")&gt;0,"SSF",""),IF(COUNTIFS($E$5:$E$1000,E471,$C$5:$C$1000,"Comité de Supervisión")&gt;0,"Comité Sup.",""),IF(COUNTIFS($E$5:$E$1000,E471,$C$5:$C$1000,"Consejo de Administración")&gt;0,"Consejo",""),IF(COUNTIFS($E$5:$E$1000,E471,$C$5:$C$1000,"Otros")&gt;0,"Otros","")))</f>
        <v/>
      </c>
      <c r="X471" s="24" t="str">
        <f aca="false">IF(E471="","",COUNTIFS($E$5:$E$1000,E471,$AB$5:$AB$1000,AB471,$C$5:$C$1000,"&lt;&gt;"&amp;C471))</f>
        <v/>
      </c>
      <c r="Y471" s="33"/>
      <c r="Z471" s="31"/>
      <c r="AA471" s="33"/>
      <c r="AB471" s="37" t="str">
        <f aca="false">IF(B471="","",YEAR(B471)*100+MONTH(B471))</f>
        <v/>
      </c>
      <c r="AC471" s="37" t="str">
        <f aca="false">IF(AND(E471&lt;&gt;"",E471=Cruce!$C$5),COUNTIF($E$5:E471,E471),"")</f>
        <v/>
      </c>
      <c r="AD471" s="37" t="str">
        <f aca="false">IF(E471="","",C471&amp;"|"&amp;Y471&amp;"|"&amp;IF(B471="","s/f",TEXT(B471,"yyyymmdd")))</f>
        <v/>
      </c>
      <c r="AE471" s="37" t="n">
        <f aca="false">IF(E471="",0,IF(COUNTIFS($E$5:E471,E471,$AD$5:AD471,AD471)=1,1,0))</f>
        <v>0</v>
      </c>
    </row>
    <row r="472" customFormat="false" ht="15" hidden="false" customHeight="true" outlineLevel="0" collapsed="false">
      <c r="A472" s="31"/>
      <c r="B472" s="30"/>
      <c r="C472" s="31"/>
      <c r="D472" s="31"/>
      <c r="E472" s="32"/>
      <c r="F472" s="32"/>
      <c r="G472" s="33"/>
      <c r="H472" s="31"/>
      <c r="I472" s="24" t="str">
        <f aca="false">IF(B472="","",YEAR(B472))</f>
        <v/>
      </c>
      <c r="J472" s="34" t="str">
        <f aca="false">IF(B472="","",IF(MONTH(B472)=1,"X",""))</f>
        <v/>
      </c>
      <c r="K472" s="34" t="str">
        <f aca="false">IF(B472="","",IF(MONTH(B472)=2,"X",""))</f>
        <v/>
      </c>
      <c r="L472" s="34" t="str">
        <f aca="false">IF(B472="","",IF(MONTH(B472)=3,"X",""))</f>
        <v/>
      </c>
      <c r="M472" s="34" t="str">
        <f aca="false">IF(B472="","",IF(MONTH(B472)=4,"X",""))</f>
        <v/>
      </c>
      <c r="N472" s="34" t="str">
        <f aca="false">IF(B472="","",IF(MONTH(B472)=5,"X",""))</f>
        <v/>
      </c>
      <c r="O472" s="34" t="str">
        <f aca="false">IF(B472="","",IF(MONTH(B472)=6,"X",""))</f>
        <v/>
      </c>
      <c r="P472" s="34" t="str">
        <f aca="false">IF(B472="","",IF(MONTH(B472)=7,"X",""))</f>
        <v/>
      </c>
      <c r="Q472" s="34" t="str">
        <f aca="false">IF(B472="","",IF(MONTH(B472)=8,"X",""))</f>
        <v/>
      </c>
      <c r="R472" s="34" t="str">
        <f aca="false">IF(B472="","",IF(MONTH(B472)=9,"X",""))</f>
        <v/>
      </c>
      <c r="S472" s="34" t="str">
        <f aca="false">IF(B472="","",IF(MONTH(B472)=10,"X",""))</f>
        <v/>
      </c>
      <c r="T472" s="34" t="str">
        <f aca="false">IF(B472="","",IF(MONTH(B472)=11,"X",""))</f>
        <v/>
      </c>
      <c r="U472" s="34" t="str">
        <f aca="false">IF(B472="","",IF(MONTH(B472)=12,"X",""))</f>
        <v/>
      </c>
      <c r="V472" s="24" t="str">
        <f aca="false">IF(E472="","",COUNTIF($E$5:$E$1000,E472))</f>
        <v/>
      </c>
      <c r="W472" s="35" t="str">
        <f aca="false">IF(E472="","",_xlfn.TEXTJOIN(" + ",TRUE(),IF(COUNTIFS($E$5:$E$1000,E472,$C$5:$C$1000,"Auditoría Interna")&gt;0,"Interna",""),IF(COUNTIFS($E$5:$E$1000,E472,$C$5:$C$1000,"Auditoría Externa")&gt;0,"Externa",""),IF(COUNTIFS($E$5:$E$1000,E472,$C$5:$C$1000,"SSF")&gt;0,"SSF",""),IF(COUNTIFS($E$5:$E$1000,E472,$C$5:$C$1000,"Comité de Supervisión")&gt;0,"Comité Sup.",""),IF(COUNTIFS($E$5:$E$1000,E472,$C$5:$C$1000,"Consejo de Administración")&gt;0,"Consejo",""),IF(COUNTIFS($E$5:$E$1000,E472,$C$5:$C$1000,"Otros")&gt;0,"Otros","")))</f>
        <v/>
      </c>
      <c r="X472" s="24" t="str">
        <f aca="false">IF(E472="","",COUNTIFS($E$5:$E$1000,E472,$AB$5:$AB$1000,AB472,$C$5:$C$1000,"&lt;&gt;"&amp;C472))</f>
        <v/>
      </c>
      <c r="Y472" s="33"/>
      <c r="Z472" s="31"/>
      <c r="AA472" s="33"/>
      <c r="AB472" s="37" t="str">
        <f aca="false">IF(B472="","",YEAR(B472)*100+MONTH(B472))</f>
        <v/>
      </c>
      <c r="AC472" s="37" t="str">
        <f aca="false">IF(AND(E472&lt;&gt;"",E472=Cruce!$C$5),COUNTIF($E$5:E472,E472),"")</f>
        <v/>
      </c>
      <c r="AD472" s="37" t="str">
        <f aca="false">IF(E472="","",C472&amp;"|"&amp;Y472&amp;"|"&amp;IF(B472="","s/f",TEXT(B472,"yyyymmdd")))</f>
        <v/>
      </c>
      <c r="AE472" s="37" t="n">
        <f aca="false">IF(E472="",0,IF(COUNTIFS($E$5:E472,E472,$AD$5:AD472,AD472)=1,1,0))</f>
        <v>0</v>
      </c>
    </row>
    <row r="473" customFormat="false" ht="15" hidden="false" customHeight="true" outlineLevel="0" collapsed="false">
      <c r="A473" s="31"/>
      <c r="B473" s="30"/>
      <c r="C473" s="31"/>
      <c r="D473" s="31"/>
      <c r="E473" s="32"/>
      <c r="F473" s="32"/>
      <c r="G473" s="33"/>
      <c r="H473" s="31"/>
      <c r="I473" s="24" t="str">
        <f aca="false">IF(B473="","",YEAR(B473))</f>
        <v/>
      </c>
      <c r="J473" s="34" t="str">
        <f aca="false">IF(B473="","",IF(MONTH(B473)=1,"X",""))</f>
        <v/>
      </c>
      <c r="K473" s="34" t="str">
        <f aca="false">IF(B473="","",IF(MONTH(B473)=2,"X",""))</f>
        <v/>
      </c>
      <c r="L473" s="34" t="str">
        <f aca="false">IF(B473="","",IF(MONTH(B473)=3,"X",""))</f>
        <v/>
      </c>
      <c r="M473" s="34" t="str">
        <f aca="false">IF(B473="","",IF(MONTH(B473)=4,"X",""))</f>
        <v/>
      </c>
      <c r="N473" s="34" t="str">
        <f aca="false">IF(B473="","",IF(MONTH(B473)=5,"X",""))</f>
        <v/>
      </c>
      <c r="O473" s="34" t="str">
        <f aca="false">IF(B473="","",IF(MONTH(B473)=6,"X",""))</f>
        <v/>
      </c>
      <c r="P473" s="34" t="str">
        <f aca="false">IF(B473="","",IF(MONTH(B473)=7,"X",""))</f>
        <v/>
      </c>
      <c r="Q473" s="34" t="str">
        <f aca="false">IF(B473="","",IF(MONTH(B473)=8,"X",""))</f>
        <v/>
      </c>
      <c r="R473" s="34" t="str">
        <f aca="false">IF(B473="","",IF(MONTH(B473)=9,"X",""))</f>
        <v/>
      </c>
      <c r="S473" s="34" t="str">
        <f aca="false">IF(B473="","",IF(MONTH(B473)=10,"X",""))</f>
        <v/>
      </c>
      <c r="T473" s="34" t="str">
        <f aca="false">IF(B473="","",IF(MONTH(B473)=11,"X",""))</f>
        <v/>
      </c>
      <c r="U473" s="34" t="str">
        <f aca="false">IF(B473="","",IF(MONTH(B473)=12,"X",""))</f>
        <v/>
      </c>
      <c r="V473" s="24" t="str">
        <f aca="false">IF(E473="","",COUNTIF($E$5:$E$1000,E473))</f>
        <v/>
      </c>
      <c r="W473" s="35" t="str">
        <f aca="false">IF(E473="","",_xlfn.TEXTJOIN(" + ",TRUE(),IF(COUNTIFS($E$5:$E$1000,E473,$C$5:$C$1000,"Auditoría Interna")&gt;0,"Interna",""),IF(COUNTIFS($E$5:$E$1000,E473,$C$5:$C$1000,"Auditoría Externa")&gt;0,"Externa",""),IF(COUNTIFS($E$5:$E$1000,E473,$C$5:$C$1000,"SSF")&gt;0,"SSF",""),IF(COUNTIFS($E$5:$E$1000,E473,$C$5:$C$1000,"Comité de Supervisión")&gt;0,"Comité Sup.",""),IF(COUNTIFS($E$5:$E$1000,E473,$C$5:$C$1000,"Consejo de Administración")&gt;0,"Consejo",""),IF(COUNTIFS($E$5:$E$1000,E473,$C$5:$C$1000,"Otros")&gt;0,"Otros","")))</f>
        <v/>
      </c>
      <c r="X473" s="24" t="str">
        <f aca="false">IF(E473="","",COUNTIFS($E$5:$E$1000,E473,$AB$5:$AB$1000,AB473,$C$5:$C$1000,"&lt;&gt;"&amp;C473))</f>
        <v/>
      </c>
      <c r="Y473" s="33"/>
      <c r="Z473" s="31"/>
      <c r="AA473" s="33"/>
      <c r="AB473" s="37" t="str">
        <f aca="false">IF(B473="","",YEAR(B473)*100+MONTH(B473))</f>
        <v/>
      </c>
      <c r="AC473" s="37" t="str">
        <f aca="false">IF(AND(E473&lt;&gt;"",E473=Cruce!$C$5),COUNTIF($E$5:E473,E473),"")</f>
        <v/>
      </c>
      <c r="AD473" s="37" t="str">
        <f aca="false">IF(E473="","",C473&amp;"|"&amp;Y473&amp;"|"&amp;IF(B473="","s/f",TEXT(B473,"yyyymmdd")))</f>
        <v/>
      </c>
      <c r="AE473" s="37" t="n">
        <f aca="false">IF(E473="",0,IF(COUNTIFS($E$5:E473,E473,$AD$5:AD473,AD473)=1,1,0))</f>
        <v>0</v>
      </c>
    </row>
    <row r="474" customFormat="false" ht="15" hidden="false" customHeight="true" outlineLevel="0" collapsed="false">
      <c r="A474" s="31"/>
      <c r="B474" s="30"/>
      <c r="C474" s="31"/>
      <c r="D474" s="31"/>
      <c r="E474" s="32"/>
      <c r="F474" s="32"/>
      <c r="G474" s="33"/>
      <c r="H474" s="31"/>
      <c r="I474" s="24" t="str">
        <f aca="false">IF(B474="","",YEAR(B474))</f>
        <v/>
      </c>
      <c r="J474" s="34" t="str">
        <f aca="false">IF(B474="","",IF(MONTH(B474)=1,"X",""))</f>
        <v/>
      </c>
      <c r="K474" s="34" t="str">
        <f aca="false">IF(B474="","",IF(MONTH(B474)=2,"X",""))</f>
        <v/>
      </c>
      <c r="L474" s="34" t="str">
        <f aca="false">IF(B474="","",IF(MONTH(B474)=3,"X",""))</f>
        <v/>
      </c>
      <c r="M474" s="34" t="str">
        <f aca="false">IF(B474="","",IF(MONTH(B474)=4,"X",""))</f>
        <v/>
      </c>
      <c r="N474" s="34" t="str">
        <f aca="false">IF(B474="","",IF(MONTH(B474)=5,"X",""))</f>
        <v/>
      </c>
      <c r="O474" s="34" t="str">
        <f aca="false">IF(B474="","",IF(MONTH(B474)=6,"X",""))</f>
        <v/>
      </c>
      <c r="P474" s="34" t="str">
        <f aca="false">IF(B474="","",IF(MONTH(B474)=7,"X",""))</f>
        <v/>
      </c>
      <c r="Q474" s="34" t="str">
        <f aca="false">IF(B474="","",IF(MONTH(B474)=8,"X",""))</f>
        <v/>
      </c>
      <c r="R474" s="34" t="str">
        <f aca="false">IF(B474="","",IF(MONTH(B474)=9,"X",""))</f>
        <v/>
      </c>
      <c r="S474" s="34" t="str">
        <f aca="false">IF(B474="","",IF(MONTH(B474)=10,"X",""))</f>
        <v/>
      </c>
      <c r="T474" s="34" t="str">
        <f aca="false">IF(B474="","",IF(MONTH(B474)=11,"X",""))</f>
        <v/>
      </c>
      <c r="U474" s="34" t="str">
        <f aca="false">IF(B474="","",IF(MONTH(B474)=12,"X",""))</f>
        <v/>
      </c>
      <c r="V474" s="24" t="str">
        <f aca="false">IF(E474="","",COUNTIF($E$5:$E$1000,E474))</f>
        <v/>
      </c>
      <c r="W474" s="35" t="str">
        <f aca="false">IF(E474="","",_xlfn.TEXTJOIN(" + ",TRUE(),IF(COUNTIFS($E$5:$E$1000,E474,$C$5:$C$1000,"Auditoría Interna")&gt;0,"Interna",""),IF(COUNTIFS($E$5:$E$1000,E474,$C$5:$C$1000,"Auditoría Externa")&gt;0,"Externa",""),IF(COUNTIFS($E$5:$E$1000,E474,$C$5:$C$1000,"SSF")&gt;0,"SSF",""),IF(COUNTIFS($E$5:$E$1000,E474,$C$5:$C$1000,"Comité de Supervisión")&gt;0,"Comité Sup.",""),IF(COUNTIFS($E$5:$E$1000,E474,$C$5:$C$1000,"Consejo de Administración")&gt;0,"Consejo",""),IF(COUNTIFS($E$5:$E$1000,E474,$C$5:$C$1000,"Otros")&gt;0,"Otros","")))</f>
        <v/>
      </c>
      <c r="X474" s="24" t="str">
        <f aca="false">IF(E474="","",COUNTIFS($E$5:$E$1000,E474,$AB$5:$AB$1000,AB474,$C$5:$C$1000,"&lt;&gt;"&amp;C474))</f>
        <v/>
      </c>
      <c r="Y474" s="33"/>
      <c r="Z474" s="31"/>
      <c r="AA474" s="33"/>
      <c r="AB474" s="37" t="str">
        <f aca="false">IF(B474="","",YEAR(B474)*100+MONTH(B474))</f>
        <v/>
      </c>
      <c r="AC474" s="37" t="str">
        <f aca="false">IF(AND(E474&lt;&gt;"",E474=Cruce!$C$5),COUNTIF($E$5:E474,E474),"")</f>
        <v/>
      </c>
      <c r="AD474" s="37" t="str">
        <f aca="false">IF(E474="","",C474&amp;"|"&amp;Y474&amp;"|"&amp;IF(B474="","s/f",TEXT(B474,"yyyymmdd")))</f>
        <v/>
      </c>
      <c r="AE474" s="37" t="n">
        <f aca="false">IF(E474="",0,IF(COUNTIFS($E$5:E474,E474,$AD$5:AD474,AD474)=1,1,0))</f>
        <v>0</v>
      </c>
    </row>
    <row r="475" customFormat="false" ht="15" hidden="false" customHeight="true" outlineLevel="0" collapsed="false">
      <c r="A475" s="31"/>
      <c r="B475" s="30"/>
      <c r="C475" s="31"/>
      <c r="D475" s="31"/>
      <c r="E475" s="32"/>
      <c r="F475" s="32"/>
      <c r="G475" s="33"/>
      <c r="H475" s="31"/>
      <c r="I475" s="24" t="str">
        <f aca="false">IF(B475="","",YEAR(B475))</f>
        <v/>
      </c>
      <c r="J475" s="34" t="str">
        <f aca="false">IF(B475="","",IF(MONTH(B475)=1,"X",""))</f>
        <v/>
      </c>
      <c r="K475" s="34" t="str">
        <f aca="false">IF(B475="","",IF(MONTH(B475)=2,"X",""))</f>
        <v/>
      </c>
      <c r="L475" s="34" t="str">
        <f aca="false">IF(B475="","",IF(MONTH(B475)=3,"X",""))</f>
        <v/>
      </c>
      <c r="M475" s="34" t="str">
        <f aca="false">IF(B475="","",IF(MONTH(B475)=4,"X",""))</f>
        <v/>
      </c>
      <c r="N475" s="34" t="str">
        <f aca="false">IF(B475="","",IF(MONTH(B475)=5,"X",""))</f>
        <v/>
      </c>
      <c r="O475" s="34" t="str">
        <f aca="false">IF(B475="","",IF(MONTH(B475)=6,"X",""))</f>
        <v/>
      </c>
      <c r="P475" s="34" t="str">
        <f aca="false">IF(B475="","",IF(MONTH(B475)=7,"X",""))</f>
        <v/>
      </c>
      <c r="Q475" s="34" t="str">
        <f aca="false">IF(B475="","",IF(MONTH(B475)=8,"X",""))</f>
        <v/>
      </c>
      <c r="R475" s="34" t="str">
        <f aca="false">IF(B475="","",IF(MONTH(B475)=9,"X",""))</f>
        <v/>
      </c>
      <c r="S475" s="34" t="str">
        <f aca="false">IF(B475="","",IF(MONTH(B475)=10,"X",""))</f>
        <v/>
      </c>
      <c r="T475" s="34" t="str">
        <f aca="false">IF(B475="","",IF(MONTH(B475)=11,"X",""))</f>
        <v/>
      </c>
      <c r="U475" s="34" t="str">
        <f aca="false">IF(B475="","",IF(MONTH(B475)=12,"X",""))</f>
        <v/>
      </c>
      <c r="V475" s="24" t="str">
        <f aca="false">IF(E475="","",COUNTIF($E$5:$E$1000,E475))</f>
        <v/>
      </c>
      <c r="W475" s="35" t="str">
        <f aca="false">IF(E475="","",_xlfn.TEXTJOIN(" + ",TRUE(),IF(COUNTIFS($E$5:$E$1000,E475,$C$5:$C$1000,"Auditoría Interna")&gt;0,"Interna",""),IF(COUNTIFS($E$5:$E$1000,E475,$C$5:$C$1000,"Auditoría Externa")&gt;0,"Externa",""),IF(COUNTIFS($E$5:$E$1000,E475,$C$5:$C$1000,"SSF")&gt;0,"SSF",""),IF(COUNTIFS($E$5:$E$1000,E475,$C$5:$C$1000,"Comité de Supervisión")&gt;0,"Comité Sup.",""),IF(COUNTIFS($E$5:$E$1000,E475,$C$5:$C$1000,"Consejo de Administración")&gt;0,"Consejo",""),IF(COUNTIFS($E$5:$E$1000,E475,$C$5:$C$1000,"Otros")&gt;0,"Otros","")))</f>
        <v/>
      </c>
      <c r="X475" s="24" t="str">
        <f aca="false">IF(E475="","",COUNTIFS($E$5:$E$1000,E475,$AB$5:$AB$1000,AB475,$C$5:$C$1000,"&lt;&gt;"&amp;C475))</f>
        <v/>
      </c>
      <c r="Y475" s="33"/>
      <c r="Z475" s="31"/>
      <c r="AA475" s="33"/>
      <c r="AB475" s="37" t="str">
        <f aca="false">IF(B475="","",YEAR(B475)*100+MONTH(B475))</f>
        <v/>
      </c>
      <c r="AC475" s="37" t="str">
        <f aca="false">IF(AND(E475&lt;&gt;"",E475=Cruce!$C$5),COUNTIF($E$5:E475,E475),"")</f>
        <v/>
      </c>
      <c r="AD475" s="37" t="str">
        <f aca="false">IF(E475="","",C475&amp;"|"&amp;Y475&amp;"|"&amp;IF(B475="","s/f",TEXT(B475,"yyyymmdd")))</f>
        <v/>
      </c>
      <c r="AE475" s="37" t="n">
        <f aca="false">IF(E475="",0,IF(COUNTIFS($E$5:E475,E475,$AD$5:AD475,AD475)=1,1,0))</f>
        <v>0</v>
      </c>
    </row>
    <row r="476" customFormat="false" ht="15" hidden="false" customHeight="true" outlineLevel="0" collapsed="false">
      <c r="A476" s="31"/>
      <c r="B476" s="30"/>
      <c r="C476" s="31"/>
      <c r="D476" s="31"/>
      <c r="E476" s="32"/>
      <c r="F476" s="32"/>
      <c r="G476" s="33"/>
      <c r="H476" s="31"/>
      <c r="I476" s="24" t="str">
        <f aca="false">IF(B476="","",YEAR(B476))</f>
        <v/>
      </c>
      <c r="J476" s="34" t="str">
        <f aca="false">IF(B476="","",IF(MONTH(B476)=1,"X",""))</f>
        <v/>
      </c>
      <c r="K476" s="34" t="str">
        <f aca="false">IF(B476="","",IF(MONTH(B476)=2,"X",""))</f>
        <v/>
      </c>
      <c r="L476" s="34" t="str">
        <f aca="false">IF(B476="","",IF(MONTH(B476)=3,"X",""))</f>
        <v/>
      </c>
      <c r="M476" s="34" t="str">
        <f aca="false">IF(B476="","",IF(MONTH(B476)=4,"X",""))</f>
        <v/>
      </c>
      <c r="N476" s="34" t="str">
        <f aca="false">IF(B476="","",IF(MONTH(B476)=5,"X",""))</f>
        <v/>
      </c>
      <c r="O476" s="34" t="str">
        <f aca="false">IF(B476="","",IF(MONTH(B476)=6,"X",""))</f>
        <v/>
      </c>
      <c r="P476" s="34" t="str">
        <f aca="false">IF(B476="","",IF(MONTH(B476)=7,"X",""))</f>
        <v/>
      </c>
      <c r="Q476" s="34" t="str">
        <f aca="false">IF(B476="","",IF(MONTH(B476)=8,"X",""))</f>
        <v/>
      </c>
      <c r="R476" s="34" t="str">
        <f aca="false">IF(B476="","",IF(MONTH(B476)=9,"X",""))</f>
        <v/>
      </c>
      <c r="S476" s="34" t="str">
        <f aca="false">IF(B476="","",IF(MONTH(B476)=10,"X",""))</f>
        <v/>
      </c>
      <c r="T476" s="34" t="str">
        <f aca="false">IF(B476="","",IF(MONTH(B476)=11,"X",""))</f>
        <v/>
      </c>
      <c r="U476" s="34" t="str">
        <f aca="false">IF(B476="","",IF(MONTH(B476)=12,"X",""))</f>
        <v/>
      </c>
      <c r="V476" s="24" t="str">
        <f aca="false">IF(E476="","",COUNTIF($E$5:$E$1000,E476))</f>
        <v/>
      </c>
      <c r="W476" s="35" t="str">
        <f aca="false">IF(E476="","",_xlfn.TEXTJOIN(" + ",TRUE(),IF(COUNTIFS($E$5:$E$1000,E476,$C$5:$C$1000,"Auditoría Interna")&gt;0,"Interna",""),IF(COUNTIFS($E$5:$E$1000,E476,$C$5:$C$1000,"Auditoría Externa")&gt;0,"Externa",""),IF(COUNTIFS($E$5:$E$1000,E476,$C$5:$C$1000,"SSF")&gt;0,"SSF",""),IF(COUNTIFS($E$5:$E$1000,E476,$C$5:$C$1000,"Comité de Supervisión")&gt;0,"Comité Sup.",""),IF(COUNTIFS($E$5:$E$1000,E476,$C$5:$C$1000,"Consejo de Administración")&gt;0,"Consejo",""),IF(COUNTIFS($E$5:$E$1000,E476,$C$5:$C$1000,"Otros")&gt;0,"Otros","")))</f>
        <v/>
      </c>
      <c r="X476" s="24" t="str">
        <f aca="false">IF(E476="","",COUNTIFS($E$5:$E$1000,E476,$AB$5:$AB$1000,AB476,$C$5:$C$1000,"&lt;&gt;"&amp;C476))</f>
        <v/>
      </c>
      <c r="Y476" s="33"/>
      <c r="Z476" s="31"/>
      <c r="AA476" s="33"/>
      <c r="AB476" s="37" t="str">
        <f aca="false">IF(B476="","",YEAR(B476)*100+MONTH(B476))</f>
        <v/>
      </c>
      <c r="AC476" s="37" t="str">
        <f aca="false">IF(AND(E476&lt;&gt;"",E476=Cruce!$C$5),COUNTIF($E$5:E476,E476),"")</f>
        <v/>
      </c>
      <c r="AD476" s="37" t="str">
        <f aca="false">IF(E476="","",C476&amp;"|"&amp;Y476&amp;"|"&amp;IF(B476="","s/f",TEXT(B476,"yyyymmdd")))</f>
        <v/>
      </c>
      <c r="AE476" s="37" t="n">
        <f aca="false">IF(E476="",0,IF(COUNTIFS($E$5:E476,E476,$AD$5:AD476,AD476)=1,1,0))</f>
        <v>0</v>
      </c>
    </row>
    <row r="477" customFormat="false" ht="15" hidden="false" customHeight="true" outlineLevel="0" collapsed="false">
      <c r="A477" s="31"/>
      <c r="B477" s="30"/>
      <c r="C477" s="31"/>
      <c r="D477" s="31"/>
      <c r="E477" s="32"/>
      <c r="F477" s="32"/>
      <c r="G477" s="33"/>
      <c r="H477" s="31"/>
      <c r="I477" s="24" t="str">
        <f aca="false">IF(B477="","",YEAR(B477))</f>
        <v/>
      </c>
      <c r="J477" s="34" t="str">
        <f aca="false">IF(B477="","",IF(MONTH(B477)=1,"X",""))</f>
        <v/>
      </c>
      <c r="K477" s="34" t="str">
        <f aca="false">IF(B477="","",IF(MONTH(B477)=2,"X",""))</f>
        <v/>
      </c>
      <c r="L477" s="34" t="str">
        <f aca="false">IF(B477="","",IF(MONTH(B477)=3,"X",""))</f>
        <v/>
      </c>
      <c r="M477" s="34" t="str">
        <f aca="false">IF(B477="","",IF(MONTH(B477)=4,"X",""))</f>
        <v/>
      </c>
      <c r="N477" s="34" t="str">
        <f aca="false">IF(B477="","",IF(MONTH(B477)=5,"X",""))</f>
        <v/>
      </c>
      <c r="O477" s="34" t="str">
        <f aca="false">IF(B477="","",IF(MONTH(B477)=6,"X",""))</f>
        <v/>
      </c>
      <c r="P477" s="34" t="str">
        <f aca="false">IF(B477="","",IF(MONTH(B477)=7,"X",""))</f>
        <v/>
      </c>
      <c r="Q477" s="34" t="str">
        <f aca="false">IF(B477="","",IF(MONTH(B477)=8,"X",""))</f>
        <v/>
      </c>
      <c r="R477" s="34" t="str">
        <f aca="false">IF(B477="","",IF(MONTH(B477)=9,"X",""))</f>
        <v/>
      </c>
      <c r="S477" s="34" t="str">
        <f aca="false">IF(B477="","",IF(MONTH(B477)=10,"X",""))</f>
        <v/>
      </c>
      <c r="T477" s="34" t="str">
        <f aca="false">IF(B477="","",IF(MONTH(B477)=11,"X",""))</f>
        <v/>
      </c>
      <c r="U477" s="34" t="str">
        <f aca="false">IF(B477="","",IF(MONTH(B477)=12,"X",""))</f>
        <v/>
      </c>
      <c r="V477" s="24" t="str">
        <f aca="false">IF(E477="","",COUNTIF($E$5:$E$1000,E477))</f>
        <v/>
      </c>
      <c r="W477" s="35" t="str">
        <f aca="false">IF(E477="","",_xlfn.TEXTJOIN(" + ",TRUE(),IF(COUNTIFS($E$5:$E$1000,E477,$C$5:$C$1000,"Auditoría Interna")&gt;0,"Interna",""),IF(COUNTIFS($E$5:$E$1000,E477,$C$5:$C$1000,"Auditoría Externa")&gt;0,"Externa",""),IF(COUNTIFS($E$5:$E$1000,E477,$C$5:$C$1000,"SSF")&gt;0,"SSF",""),IF(COUNTIFS($E$5:$E$1000,E477,$C$5:$C$1000,"Comité de Supervisión")&gt;0,"Comité Sup.",""),IF(COUNTIFS($E$5:$E$1000,E477,$C$5:$C$1000,"Consejo de Administración")&gt;0,"Consejo",""),IF(COUNTIFS($E$5:$E$1000,E477,$C$5:$C$1000,"Otros")&gt;0,"Otros","")))</f>
        <v/>
      </c>
      <c r="X477" s="24" t="str">
        <f aca="false">IF(E477="","",COUNTIFS($E$5:$E$1000,E477,$AB$5:$AB$1000,AB477,$C$5:$C$1000,"&lt;&gt;"&amp;C477))</f>
        <v/>
      </c>
      <c r="Y477" s="33"/>
      <c r="Z477" s="31"/>
      <c r="AA477" s="33"/>
      <c r="AB477" s="37" t="str">
        <f aca="false">IF(B477="","",YEAR(B477)*100+MONTH(B477))</f>
        <v/>
      </c>
      <c r="AC477" s="37" t="str">
        <f aca="false">IF(AND(E477&lt;&gt;"",E477=Cruce!$C$5),COUNTIF($E$5:E477,E477),"")</f>
        <v/>
      </c>
      <c r="AD477" s="37" t="str">
        <f aca="false">IF(E477="","",C477&amp;"|"&amp;Y477&amp;"|"&amp;IF(B477="","s/f",TEXT(B477,"yyyymmdd")))</f>
        <v/>
      </c>
      <c r="AE477" s="37" t="n">
        <f aca="false">IF(E477="",0,IF(COUNTIFS($E$5:E477,E477,$AD$5:AD477,AD477)=1,1,0))</f>
        <v>0</v>
      </c>
    </row>
    <row r="478" customFormat="false" ht="15" hidden="false" customHeight="true" outlineLevel="0" collapsed="false">
      <c r="A478" s="31"/>
      <c r="B478" s="30"/>
      <c r="C478" s="31"/>
      <c r="D478" s="31"/>
      <c r="E478" s="32"/>
      <c r="F478" s="32"/>
      <c r="G478" s="33"/>
      <c r="H478" s="31"/>
      <c r="I478" s="24" t="str">
        <f aca="false">IF(B478="","",YEAR(B478))</f>
        <v/>
      </c>
      <c r="J478" s="34" t="str">
        <f aca="false">IF(B478="","",IF(MONTH(B478)=1,"X",""))</f>
        <v/>
      </c>
      <c r="K478" s="34" t="str">
        <f aca="false">IF(B478="","",IF(MONTH(B478)=2,"X",""))</f>
        <v/>
      </c>
      <c r="L478" s="34" t="str">
        <f aca="false">IF(B478="","",IF(MONTH(B478)=3,"X",""))</f>
        <v/>
      </c>
      <c r="M478" s="34" t="str">
        <f aca="false">IF(B478="","",IF(MONTH(B478)=4,"X",""))</f>
        <v/>
      </c>
      <c r="N478" s="34" t="str">
        <f aca="false">IF(B478="","",IF(MONTH(B478)=5,"X",""))</f>
        <v/>
      </c>
      <c r="O478" s="34" t="str">
        <f aca="false">IF(B478="","",IF(MONTH(B478)=6,"X",""))</f>
        <v/>
      </c>
      <c r="P478" s="34" t="str">
        <f aca="false">IF(B478="","",IF(MONTH(B478)=7,"X",""))</f>
        <v/>
      </c>
      <c r="Q478" s="34" t="str">
        <f aca="false">IF(B478="","",IF(MONTH(B478)=8,"X",""))</f>
        <v/>
      </c>
      <c r="R478" s="34" t="str">
        <f aca="false">IF(B478="","",IF(MONTH(B478)=9,"X",""))</f>
        <v/>
      </c>
      <c r="S478" s="34" t="str">
        <f aca="false">IF(B478="","",IF(MONTH(B478)=10,"X",""))</f>
        <v/>
      </c>
      <c r="T478" s="34" t="str">
        <f aca="false">IF(B478="","",IF(MONTH(B478)=11,"X",""))</f>
        <v/>
      </c>
      <c r="U478" s="34" t="str">
        <f aca="false">IF(B478="","",IF(MONTH(B478)=12,"X",""))</f>
        <v/>
      </c>
      <c r="V478" s="24" t="str">
        <f aca="false">IF(E478="","",COUNTIF($E$5:$E$1000,E478))</f>
        <v/>
      </c>
      <c r="W478" s="35" t="str">
        <f aca="false">IF(E478="","",_xlfn.TEXTJOIN(" + ",TRUE(),IF(COUNTIFS($E$5:$E$1000,E478,$C$5:$C$1000,"Auditoría Interna")&gt;0,"Interna",""),IF(COUNTIFS($E$5:$E$1000,E478,$C$5:$C$1000,"Auditoría Externa")&gt;0,"Externa",""),IF(COUNTIFS($E$5:$E$1000,E478,$C$5:$C$1000,"SSF")&gt;0,"SSF",""),IF(COUNTIFS($E$5:$E$1000,E478,$C$5:$C$1000,"Comité de Supervisión")&gt;0,"Comité Sup.",""),IF(COUNTIFS($E$5:$E$1000,E478,$C$5:$C$1000,"Consejo de Administración")&gt;0,"Consejo",""),IF(COUNTIFS($E$5:$E$1000,E478,$C$5:$C$1000,"Otros")&gt;0,"Otros","")))</f>
        <v/>
      </c>
      <c r="X478" s="24" t="str">
        <f aca="false">IF(E478="","",COUNTIFS($E$5:$E$1000,E478,$AB$5:$AB$1000,AB478,$C$5:$C$1000,"&lt;&gt;"&amp;C478))</f>
        <v/>
      </c>
      <c r="Y478" s="33"/>
      <c r="Z478" s="31"/>
      <c r="AA478" s="33"/>
      <c r="AB478" s="37" t="str">
        <f aca="false">IF(B478="","",YEAR(B478)*100+MONTH(B478))</f>
        <v/>
      </c>
      <c r="AC478" s="37" t="str">
        <f aca="false">IF(AND(E478&lt;&gt;"",E478=Cruce!$C$5),COUNTIF($E$5:E478,E478),"")</f>
        <v/>
      </c>
      <c r="AD478" s="37" t="str">
        <f aca="false">IF(E478="","",C478&amp;"|"&amp;Y478&amp;"|"&amp;IF(B478="","s/f",TEXT(B478,"yyyymmdd")))</f>
        <v/>
      </c>
      <c r="AE478" s="37" t="n">
        <f aca="false">IF(E478="",0,IF(COUNTIFS($E$5:E478,E478,$AD$5:AD478,AD478)=1,1,0))</f>
        <v>0</v>
      </c>
    </row>
    <row r="479" customFormat="false" ht="15" hidden="false" customHeight="true" outlineLevel="0" collapsed="false">
      <c r="A479" s="31"/>
      <c r="B479" s="30"/>
      <c r="C479" s="31"/>
      <c r="D479" s="31"/>
      <c r="E479" s="32"/>
      <c r="F479" s="32"/>
      <c r="G479" s="33"/>
      <c r="H479" s="31"/>
      <c r="I479" s="24" t="str">
        <f aca="false">IF(B479="","",YEAR(B479))</f>
        <v/>
      </c>
      <c r="J479" s="34" t="str">
        <f aca="false">IF(B479="","",IF(MONTH(B479)=1,"X",""))</f>
        <v/>
      </c>
      <c r="K479" s="34" t="str">
        <f aca="false">IF(B479="","",IF(MONTH(B479)=2,"X",""))</f>
        <v/>
      </c>
      <c r="L479" s="34" t="str">
        <f aca="false">IF(B479="","",IF(MONTH(B479)=3,"X",""))</f>
        <v/>
      </c>
      <c r="M479" s="34" t="str">
        <f aca="false">IF(B479="","",IF(MONTH(B479)=4,"X",""))</f>
        <v/>
      </c>
      <c r="N479" s="34" t="str">
        <f aca="false">IF(B479="","",IF(MONTH(B479)=5,"X",""))</f>
        <v/>
      </c>
      <c r="O479" s="34" t="str">
        <f aca="false">IF(B479="","",IF(MONTH(B479)=6,"X",""))</f>
        <v/>
      </c>
      <c r="P479" s="34" t="str">
        <f aca="false">IF(B479="","",IF(MONTH(B479)=7,"X",""))</f>
        <v/>
      </c>
      <c r="Q479" s="34" t="str">
        <f aca="false">IF(B479="","",IF(MONTH(B479)=8,"X",""))</f>
        <v/>
      </c>
      <c r="R479" s="34" t="str">
        <f aca="false">IF(B479="","",IF(MONTH(B479)=9,"X",""))</f>
        <v/>
      </c>
      <c r="S479" s="34" t="str">
        <f aca="false">IF(B479="","",IF(MONTH(B479)=10,"X",""))</f>
        <v/>
      </c>
      <c r="T479" s="34" t="str">
        <f aca="false">IF(B479="","",IF(MONTH(B479)=11,"X",""))</f>
        <v/>
      </c>
      <c r="U479" s="34" t="str">
        <f aca="false">IF(B479="","",IF(MONTH(B479)=12,"X",""))</f>
        <v/>
      </c>
      <c r="V479" s="24" t="str">
        <f aca="false">IF(E479="","",COUNTIF($E$5:$E$1000,E479))</f>
        <v/>
      </c>
      <c r="W479" s="35" t="str">
        <f aca="false">IF(E479="","",_xlfn.TEXTJOIN(" + ",TRUE(),IF(COUNTIFS($E$5:$E$1000,E479,$C$5:$C$1000,"Auditoría Interna")&gt;0,"Interna",""),IF(COUNTIFS($E$5:$E$1000,E479,$C$5:$C$1000,"Auditoría Externa")&gt;0,"Externa",""),IF(COUNTIFS($E$5:$E$1000,E479,$C$5:$C$1000,"SSF")&gt;0,"SSF",""),IF(COUNTIFS($E$5:$E$1000,E479,$C$5:$C$1000,"Comité de Supervisión")&gt;0,"Comité Sup.",""),IF(COUNTIFS($E$5:$E$1000,E479,$C$5:$C$1000,"Consejo de Administración")&gt;0,"Consejo",""),IF(COUNTIFS($E$5:$E$1000,E479,$C$5:$C$1000,"Otros")&gt;0,"Otros","")))</f>
        <v/>
      </c>
      <c r="X479" s="24" t="str">
        <f aca="false">IF(E479="","",COUNTIFS($E$5:$E$1000,E479,$AB$5:$AB$1000,AB479,$C$5:$C$1000,"&lt;&gt;"&amp;C479))</f>
        <v/>
      </c>
      <c r="Y479" s="33"/>
      <c r="Z479" s="31"/>
      <c r="AA479" s="33"/>
      <c r="AB479" s="37" t="str">
        <f aca="false">IF(B479="","",YEAR(B479)*100+MONTH(B479))</f>
        <v/>
      </c>
      <c r="AC479" s="37" t="str">
        <f aca="false">IF(AND(E479&lt;&gt;"",E479=Cruce!$C$5),COUNTIF($E$5:E479,E479),"")</f>
        <v/>
      </c>
      <c r="AD479" s="37" t="str">
        <f aca="false">IF(E479="","",C479&amp;"|"&amp;Y479&amp;"|"&amp;IF(B479="","s/f",TEXT(B479,"yyyymmdd")))</f>
        <v/>
      </c>
      <c r="AE479" s="37" t="n">
        <f aca="false">IF(E479="",0,IF(COUNTIFS($E$5:E479,E479,$AD$5:AD479,AD479)=1,1,0))</f>
        <v>0</v>
      </c>
    </row>
    <row r="480" customFormat="false" ht="15" hidden="false" customHeight="true" outlineLevel="0" collapsed="false">
      <c r="A480" s="31"/>
      <c r="B480" s="30"/>
      <c r="C480" s="31"/>
      <c r="D480" s="31"/>
      <c r="E480" s="32"/>
      <c r="F480" s="32"/>
      <c r="G480" s="33"/>
      <c r="H480" s="31"/>
      <c r="I480" s="24" t="str">
        <f aca="false">IF(B480="","",YEAR(B480))</f>
        <v/>
      </c>
      <c r="J480" s="34" t="str">
        <f aca="false">IF(B480="","",IF(MONTH(B480)=1,"X",""))</f>
        <v/>
      </c>
      <c r="K480" s="34" t="str">
        <f aca="false">IF(B480="","",IF(MONTH(B480)=2,"X",""))</f>
        <v/>
      </c>
      <c r="L480" s="34" t="str">
        <f aca="false">IF(B480="","",IF(MONTH(B480)=3,"X",""))</f>
        <v/>
      </c>
      <c r="M480" s="34" t="str">
        <f aca="false">IF(B480="","",IF(MONTH(B480)=4,"X",""))</f>
        <v/>
      </c>
      <c r="N480" s="34" t="str">
        <f aca="false">IF(B480="","",IF(MONTH(B480)=5,"X",""))</f>
        <v/>
      </c>
      <c r="O480" s="34" t="str">
        <f aca="false">IF(B480="","",IF(MONTH(B480)=6,"X",""))</f>
        <v/>
      </c>
      <c r="P480" s="34" t="str">
        <f aca="false">IF(B480="","",IF(MONTH(B480)=7,"X",""))</f>
        <v/>
      </c>
      <c r="Q480" s="34" t="str">
        <f aca="false">IF(B480="","",IF(MONTH(B480)=8,"X",""))</f>
        <v/>
      </c>
      <c r="R480" s="34" t="str">
        <f aca="false">IF(B480="","",IF(MONTH(B480)=9,"X",""))</f>
        <v/>
      </c>
      <c r="S480" s="34" t="str">
        <f aca="false">IF(B480="","",IF(MONTH(B480)=10,"X",""))</f>
        <v/>
      </c>
      <c r="T480" s="34" t="str">
        <f aca="false">IF(B480="","",IF(MONTH(B480)=11,"X",""))</f>
        <v/>
      </c>
      <c r="U480" s="34" t="str">
        <f aca="false">IF(B480="","",IF(MONTH(B480)=12,"X",""))</f>
        <v/>
      </c>
      <c r="V480" s="24" t="str">
        <f aca="false">IF(E480="","",COUNTIF($E$5:$E$1000,E480))</f>
        <v/>
      </c>
      <c r="W480" s="35" t="str">
        <f aca="false">IF(E480="","",_xlfn.TEXTJOIN(" + ",TRUE(),IF(COUNTIFS($E$5:$E$1000,E480,$C$5:$C$1000,"Auditoría Interna")&gt;0,"Interna",""),IF(COUNTIFS($E$5:$E$1000,E480,$C$5:$C$1000,"Auditoría Externa")&gt;0,"Externa",""),IF(COUNTIFS($E$5:$E$1000,E480,$C$5:$C$1000,"SSF")&gt;0,"SSF",""),IF(COUNTIFS($E$5:$E$1000,E480,$C$5:$C$1000,"Comité de Supervisión")&gt;0,"Comité Sup.",""),IF(COUNTIFS($E$5:$E$1000,E480,$C$5:$C$1000,"Consejo de Administración")&gt;0,"Consejo",""),IF(COUNTIFS($E$5:$E$1000,E480,$C$5:$C$1000,"Otros")&gt;0,"Otros","")))</f>
        <v/>
      </c>
      <c r="X480" s="24" t="str">
        <f aca="false">IF(E480="","",COUNTIFS($E$5:$E$1000,E480,$AB$5:$AB$1000,AB480,$C$5:$C$1000,"&lt;&gt;"&amp;C480))</f>
        <v/>
      </c>
      <c r="Y480" s="33"/>
      <c r="Z480" s="31"/>
      <c r="AA480" s="33"/>
      <c r="AB480" s="37" t="str">
        <f aca="false">IF(B480="","",YEAR(B480)*100+MONTH(B480))</f>
        <v/>
      </c>
      <c r="AC480" s="37" t="str">
        <f aca="false">IF(AND(E480&lt;&gt;"",E480=Cruce!$C$5),COUNTIF($E$5:E480,E480),"")</f>
        <v/>
      </c>
      <c r="AD480" s="37" t="str">
        <f aca="false">IF(E480="","",C480&amp;"|"&amp;Y480&amp;"|"&amp;IF(B480="","s/f",TEXT(B480,"yyyymmdd")))</f>
        <v/>
      </c>
      <c r="AE480" s="37" t="n">
        <f aca="false">IF(E480="",0,IF(COUNTIFS($E$5:E480,E480,$AD$5:AD480,AD480)=1,1,0))</f>
        <v>0</v>
      </c>
    </row>
    <row r="481" customFormat="false" ht="15" hidden="false" customHeight="true" outlineLevel="0" collapsed="false">
      <c r="A481" s="31"/>
      <c r="B481" s="30"/>
      <c r="C481" s="31"/>
      <c r="D481" s="31"/>
      <c r="E481" s="32"/>
      <c r="F481" s="32"/>
      <c r="G481" s="33"/>
      <c r="H481" s="31"/>
      <c r="I481" s="24" t="str">
        <f aca="false">IF(B481="","",YEAR(B481))</f>
        <v/>
      </c>
      <c r="J481" s="34" t="str">
        <f aca="false">IF(B481="","",IF(MONTH(B481)=1,"X",""))</f>
        <v/>
      </c>
      <c r="K481" s="34" t="str">
        <f aca="false">IF(B481="","",IF(MONTH(B481)=2,"X",""))</f>
        <v/>
      </c>
      <c r="L481" s="34" t="str">
        <f aca="false">IF(B481="","",IF(MONTH(B481)=3,"X",""))</f>
        <v/>
      </c>
      <c r="M481" s="34" t="str">
        <f aca="false">IF(B481="","",IF(MONTH(B481)=4,"X",""))</f>
        <v/>
      </c>
      <c r="N481" s="34" t="str">
        <f aca="false">IF(B481="","",IF(MONTH(B481)=5,"X",""))</f>
        <v/>
      </c>
      <c r="O481" s="34" t="str">
        <f aca="false">IF(B481="","",IF(MONTH(B481)=6,"X",""))</f>
        <v/>
      </c>
      <c r="P481" s="34" t="str">
        <f aca="false">IF(B481="","",IF(MONTH(B481)=7,"X",""))</f>
        <v/>
      </c>
      <c r="Q481" s="34" t="str">
        <f aca="false">IF(B481="","",IF(MONTH(B481)=8,"X",""))</f>
        <v/>
      </c>
      <c r="R481" s="34" t="str">
        <f aca="false">IF(B481="","",IF(MONTH(B481)=9,"X",""))</f>
        <v/>
      </c>
      <c r="S481" s="34" t="str">
        <f aca="false">IF(B481="","",IF(MONTH(B481)=10,"X",""))</f>
        <v/>
      </c>
      <c r="T481" s="34" t="str">
        <f aca="false">IF(B481="","",IF(MONTH(B481)=11,"X",""))</f>
        <v/>
      </c>
      <c r="U481" s="34" t="str">
        <f aca="false">IF(B481="","",IF(MONTH(B481)=12,"X",""))</f>
        <v/>
      </c>
      <c r="V481" s="24" t="str">
        <f aca="false">IF(E481="","",COUNTIF($E$5:$E$1000,E481))</f>
        <v/>
      </c>
      <c r="W481" s="35" t="str">
        <f aca="false">IF(E481="","",_xlfn.TEXTJOIN(" + ",TRUE(),IF(COUNTIFS($E$5:$E$1000,E481,$C$5:$C$1000,"Auditoría Interna")&gt;0,"Interna",""),IF(COUNTIFS($E$5:$E$1000,E481,$C$5:$C$1000,"Auditoría Externa")&gt;0,"Externa",""),IF(COUNTIFS($E$5:$E$1000,E481,$C$5:$C$1000,"SSF")&gt;0,"SSF",""),IF(COUNTIFS($E$5:$E$1000,E481,$C$5:$C$1000,"Comité de Supervisión")&gt;0,"Comité Sup.",""),IF(COUNTIFS($E$5:$E$1000,E481,$C$5:$C$1000,"Consejo de Administración")&gt;0,"Consejo",""),IF(COUNTIFS($E$5:$E$1000,E481,$C$5:$C$1000,"Otros")&gt;0,"Otros","")))</f>
        <v/>
      </c>
      <c r="X481" s="24" t="str">
        <f aca="false">IF(E481="","",COUNTIFS($E$5:$E$1000,E481,$AB$5:$AB$1000,AB481,$C$5:$C$1000,"&lt;&gt;"&amp;C481))</f>
        <v/>
      </c>
      <c r="Y481" s="33"/>
      <c r="Z481" s="31"/>
      <c r="AA481" s="33"/>
      <c r="AB481" s="37" t="str">
        <f aca="false">IF(B481="","",YEAR(B481)*100+MONTH(B481))</f>
        <v/>
      </c>
      <c r="AC481" s="37" t="str">
        <f aca="false">IF(AND(E481&lt;&gt;"",E481=Cruce!$C$5),COUNTIF($E$5:E481,E481),"")</f>
        <v/>
      </c>
      <c r="AD481" s="37" t="str">
        <f aca="false">IF(E481="","",C481&amp;"|"&amp;Y481&amp;"|"&amp;IF(B481="","s/f",TEXT(B481,"yyyymmdd")))</f>
        <v/>
      </c>
      <c r="AE481" s="37" t="n">
        <f aca="false">IF(E481="",0,IF(COUNTIFS($E$5:E481,E481,$AD$5:AD481,AD481)=1,1,0))</f>
        <v>0</v>
      </c>
    </row>
    <row r="482" customFormat="false" ht="15" hidden="false" customHeight="true" outlineLevel="0" collapsed="false">
      <c r="A482" s="31"/>
      <c r="B482" s="30"/>
      <c r="C482" s="31"/>
      <c r="D482" s="31"/>
      <c r="E482" s="32"/>
      <c r="F482" s="32"/>
      <c r="G482" s="33"/>
      <c r="H482" s="31"/>
      <c r="I482" s="24" t="str">
        <f aca="false">IF(B482="","",YEAR(B482))</f>
        <v/>
      </c>
      <c r="J482" s="34" t="str">
        <f aca="false">IF(B482="","",IF(MONTH(B482)=1,"X",""))</f>
        <v/>
      </c>
      <c r="K482" s="34" t="str">
        <f aca="false">IF(B482="","",IF(MONTH(B482)=2,"X",""))</f>
        <v/>
      </c>
      <c r="L482" s="34" t="str">
        <f aca="false">IF(B482="","",IF(MONTH(B482)=3,"X",""))</f>
        <v/>
      </c>
      <c r="M482" s="34" t="str">
        <f aca="false">IF(B482="","",IF(MONTH(B482)=4,"X",""))</f>
        <v/>
      </c>
      <c r="N482" s="34" t="str">
        <f aca="false">IF(B482="","",IF(MONTH(B482)=5,"X",""))</f>
        <v/>
      </c>
      <c r="O482" s="34" t="str">
        <f aca="false">IF(B482="","",IF(MONTH(B482)=6,"X",""))</f>
        <v/>
      </c>
      <c r="P482" s="34" t="str">
        <f aca="false">IF(B482="","",IF(MONTH(B482)=7,"X",""))</f>
        <v/>
      </c>
      <c r="Q482" s="34" t="str">
        <f aca="false">IF(B482="","",IF(MONTH(B482)=8,"X",""))</f>
        <v/>
      </c>
      <c r="R482" s="34" t="str">
        <f aca="false">IF(B482="","",IF(MONTH(B482)=9,"X",""))</f>
        <v/>
      </c>
      <c r="S482" s="34" t="str">
        <f aca="false">IF(B482="","",IF(MONTH(B482)=10,"X",""))</f>
        <v/>
      </c>
      <c r="T482" s="34" t="str">
        <f aca="false">IF(B482="","",IF(MONTH(B482)=11,"X",""))</f>
        <v/>
      </c>
      <c r="U482" s="34" t="str">
        <f aca="false">IF(B482="","",IF(MONTH(B482)=12,"X",""))</f>
        <v/>
      </c>
      <c r="V482" s="24" t="str">
        <f aca="false">IF(E482="","",COUNTIF($E$5:$E$1000,E482))</f>
        <v/>
      </c>
      <c r="W482" s="35" t="str">
        <f aca="false">IF(E482="","",_xlfn.TEXTJOIN(" + ",TRUE(),IF(COUNTIFS($E$5:$E$1000,E482,$C$5:$C$1000,"Auditoría Interna")&gt;0,"Interna",""),IF(COUNTIFS($E$5:$E$1000,E482,$C$5:$C$1000,"Auditoría Externa")&gt;0,"Externa",""),IF(COUNTIFS($E$5:$E$1000,E482,$C$5:$C$1000,"SSF")&gt;0,"SSF",""),IF(COUNTIFS($E$5:$E$1000,E482,$C$5:$C$1000,"Comité de Supervisión")&gt;0,"Comité Sup.",""),IF(COUNTIFS($E$5:$E$1000,E482,$C$5:$C$1000,"Consejo de Administración")&gt;0,"Consejo",""),IF(COUNTIFS($E$5:$E$1000,E482,$C$5:$C$1000,"Otros")&gt;0,"Otros","")))</f>
        <v/>
      </c>
      <c r="X482" s="24" t="str">
        <f aca="false">IF(E482="","",COUNTIFS($E$5:$E$1000,E482,$AB$5:$AB$1000,AB482,$C$5:$C$1000,"&lt;&gt;"&amp;C482))</f>
        <v/>
      </c>
      <c r="Y482" s="33"/>
      <c r="Z482" s="31"/>
      <c r="AA482" s="33"/>
      <c r="AB482" s="37" t="str">
        <f aca="false">IF(B482="","",YEAR(B482)*100+MONTH(B482))</f>
        <v/>
      </c>
      <c r="AC482" s="37" t="str">
        <f aca="false">IF(AND(E482&lt;&gt;"",E482=Cruce!$C$5),COUNTIF($E$5:E482,E482),"")</f>
        <v/>
      </c>
      <c r="AD482" s="37" t="str">
        <f aca="false">IF(E482="","",C482&amp;"|"&amp;Y482&amp;"|"&amp;IF(B482="","s/f",TEXT(B482,"yyyymmdd")))</f>
        <v/>
      </c>
      <c r="AE482" s="37" t="n">
        <f aca="false">IF(E482="",0,IF(COUNTIFS($E$5:E482,E482,$AD$5:AD482,AD482)=1,1,0))</f>
        <v>0</v>
      </c>
    </row>
    <row r="483" customFormat="false" ht="15" hidden="false" customHeight="true" outlineLevel="0" collapsed="false">
      <c r="A483" s="31"/>
      <c r="B483" s="30"/>
      <c r="C483" s="31"/>
      <c r="D483" s="31"/>
      <c r="E483" s="32"/>
      <c r="F483" s="32"/>
      <c r="G483" s="33"/>
      <c r="H483" s="31"/>
      <c r="I483" s="24" t="str">
        <f aca="false">IF(B483="","",YEAR(B483))</f>
        <v/>
      </c>
      <c r="J483" s="34" t="str">
        <f aca="false">IF(B483="","",IF(MONTH(B483)=1,"X",""))</f>
        <v/>
      </c>
      <c r="K483" s="34" t="str">
        <f aca="false">IF(B483="","",IF(MONTH(B483)=2,"X",""))</f>
        <v/>
      </c>
      <c r="L483" s="34" t="str">
        <f aca="false">IF(B483="","",IF(MONTH(B483)=3,"X",""))</f>
        <v/>
      </c>
      <c r="M483" s="34" t="str">
        <f aca="false">IF(B483="","",IF(MONTH(B483)=4,"X",""))</f>
        <v/>
      </c>
      <c r="N483" s="34" t="str">
        <f aca="false">IF(B483="","",IF(MONTH(B483)=5,"X",""))</f>
        <v/>
      </c>
      <c r="O483" s="34" t="str">
        <f aca="false">IF(B483="","",IF(MONTH(B483)=6,"X",""))</f>
        <v/>
      </c>
      <c r="P483" s="34" t="str">
        <f aca="false">IF(B483="","",IF(MONTH(B483)=7,"X",""))</f>
        <v/>
      </c>
      <c r="Q483" s="34" t="str">
        <f aca="false">IF(B483="","",IF(MONTH(B483)=8,"X",""))</f>
        <v/>
      </c>
      <c r="R483" s="34" t="str">
        <f aca="false">IF(B483="","",IF(MONTH(B483)=9,"X",""))</f>
        <v/>
      </c>
      <c r="S483" s="34" t="str">
        <f aca="false">IF(B483="","",IF(MONTH(B483)=10,"X",""))</f>
        <v/>
      </c>
      <c r="T483" s="34" t="str">
        <f aca="false">IF(B483="","",IF(MONTH(B483)=11,"X",""))</f>
        <v/>
      </c>
      <c r="U483" s="34" t="str">
        <f aca="false">IF(B483="","",IF(MONTH(B483)=12,"X",""))</f>
        <v/>
      </c>
      <c r="V483" s="24" t="str">
        <f aca="false">IF(E483="","",COUNTIF($E$5:$E$1000,E483))</f>
        <v/>
      </c>
      <c r="W483" s="35" t="str">
        <f aca="false">IF(E483="","",_xlfn.TEXTJOIN(" + ",TRUE(),IF(COUNTIFS($E$5:$E$1000,E483,$C$5:$C$1000,"Auditoría Interna")&gt;0,"Interna",""),IF(COUNTIFS($E$5:$E$1000,E483,$C$5:$C$1000,"Auditoría Externa")&gt;0,"Externa",""),IF(COUNTIFS($E$5:$E$1000,E483,$C$5:$C$1000,"SSF")&gt;0,"SSF",""),IF(COUNTIFS($E$5:$E$1000,E483,$C$5:$C$1000,"Comité de Supervisión")&gt;0,"Comité Sup.",""),IF(COUNTIFS($E$5:$E$1000,E483,$C$5:$C$1000,"Consejo de Administración")&gt;0,"Consejo",""),IF(COUNTIFS($E$5:$E$1000,E483,$C$5:$C$1000,"Otros")&gt;0,"Otros","")))</f>
        <v/>
      </c>
      <c r="X483" s="24" t="str">
        <f aca="false">IF(E483="","",COUNTIFS($E$5:$E$1000,E483,$AB$5:$AB$1000,AB483,$C$5:$C$1000,"&lt;&gt;"&amp;C483))</f>
        <v/>
      </c>
      <c r="Y483" s="33"/>
      <c r="Z483" s="31"/>
      <c r="AA483" s="33"/>
      <c r="AB483" s="37" t="str">
        <f aca="false">IF(B483="","",YEAR(B483)*100+MONTH(B483))</f>
        <v/>
      </c>
      <c r="AC483" s="37" t="str">
        <f aca="false">IF(AND(E483&lt;&gt;"",E483=Cruce!$C$5),COUNTIF($E$5:E483,E483),"")</f>
        <v/>
      </c>
      <c r="AD483" s="37" t="str">
        <f aca="false">IF(E483="","",C483&amp;"|"&amp;Y483&amp;"|"&amp;IF(B483="","s/f",TEXT(B483,"yyyymmdd")))</f>
        <v/>
      </c>
      <c r="AE483" s="37" t="n">
        <f aca="false">IF(E483="",0,IF(COUNTIFS($E$5:E483,E483,$AD$5:AD483,AD483)=1,1,0))</f>
        <v>0</v>
      </c>
    </row>
    <row r="484" customFormat="false" ht="15" hidden="false" customHeight="true" outlineLevel="0" collapsed="false">
      <c r="A484" s="31"/>
      <c r="B484" s="30"/>
      <c r="C484" s="31"/>
      <c r="D484" s="31"/>
      <c r="E484" s="32"/>
      <c r="F484" s="32"/>
      <c r="G484" s="33"/>
      <c r="H484" s="31"/>
      <c r="I484" s="24" t="str">
        <f aca="false">IF(B484="","",YEAR(B484))</f>
        <v/>
      </c>
      <c r="J484" s="34" t="str">
        <f aca="false">IF(B484="","",IF(MONTH(B484)=1,"X",""))</f>
        <v/>
      </c>
      <c r="K484" s="34" t="str">
        <f aca="false">IF(B484="","",IF(MONTH(B484)=2,"X",""))</f>
        <v/>
      </c>
      <c r="L484" s="34" t="str">
        <f aca="false">IF(B484="","",IF(MONTH(B484)=3,"X",""))</f>
        <v/>
      </c>
      <c r="M484" s="34" t="str">
        <f aca="false">IF(B484="","",IF(MONTH(B484)=4,"X",""))</f>
        <v/>
      </c>
      <c r="N484" s="34" t="str">
        <f aca="false">IF(B484="","",IF(MONTH(B484)=5,"X",""))</f>
        <v/>
      </c>
      <c r="O484" s="34" t="str">
        <f aca="false">IF(B484="","",IF(MONTH(B484)=6,"X",""))</f>
        <v/>
      </c>
      <c r="P484" s="34" t="str">
        <f aca="false">IF(B484="","",IF(MONTH(B484)=7,"X",""))</f>
        <v/>
      </c>
      <c r="Q484" s="34" t="str">
        <f aca="false">IF(B484="","",IF(MONTH(B484)=8,"X",""))</f>
        <v/>
      </c>
      <c r="R484" s="34" t="str">
        <f aca="false">IF(B484="","",IF(MONTH(B484)=9,"X",""))</f>
        <v/>
      </c>
      <c r="S484" s="34" t="str">
        <f aca="false">IF(B484="","",IF(MONTH(B484)=10,"X",""))</f>
        <v/>
      </c>
      <c r="T484" s="34" t="str">
        <f aca="false">IF(B484="","",IF(MONTH(B484)=11,"X",""))</f>
        <v/>
      </c>
      <c r="U484" s="34" t="str">
        <f aca="false">IF(B484="","",IF(MONTH(B484)=12,"X",""))</f>
        <v/>
      </c>
      <c r="V484" s="24" t="str">
        <f aca="false">IF(E484="","",COUNTIF($E$5:$E$1000,E484))</f>
        <v/>
      </c>
      <c r="W484" s="35" t="str">
        <f aca="false">IF(E484="","",_xlfn.TEXTJOIN(" + ",TRUE(),IF(COUNTIFS($E$5:$E$1000,E484,$C$5:$C$1000,"Auditoría Interna")&gt;0,"Interna",""),IF(COUNTIFS($E$5:$E$1000,E484,$C$5:$C$1000,"Auditoría Externa")&gt;0,"Externa",""),IF(COUNTIFS($E$5:$E$1000,E484,$C$5:$C$1000,"SSF")&gt;0,"SSF",""),IF(COUNTIFS($E$5:$E$1000,E484,$C$5:$C$1000,"Comité de Supervisión")&gt;0,"Comité Sup.",""),IF(COUNTIFS($E$5:$E$1000,E484,$C$5:$C$1000,"Consejo de Administración")&gt;0,"Consejo",""),IF(COUNTIFS($E$5:$E$1000,E484,$C$5:$C$1000,"Otros")&gt;0,"Otros","")))</f>
        <v/>
      </c>
      <c r="X484" s="24" t="str">
        <f aca="false">IF(E484="","",COUNTIFS($E$5:$E$1000,E484,$AB$5:$AB$1000,AB484,$C$5:$C$1000,"&lt;&gt;"&amp;C484))</f>
        <v/>
      </c>
      <c r="Y484" s="33"/>
      <c r="Z484" s="31"/>
      <c r="AA484" s="33"/>
      <c r="AB484" s="37" t="str">
        <f aca="false">IF(B484="","",YEAR(B484)*100+MONTH(B484))</f>
        <v/>
      </c>
      <c r="AC484" s="37" t="str">
        <f aca="false">IF(AND(E484&lt;&gt;"",E484=Cruce!$C$5),COUNTIF($E$5:E484,E484),"")</f>
        <v/>
      </c>
      <c r="AD484" s="37" t="str">
        <f aca="false">IF(E484="","",C484&amp;"|"&amp;Y484&amp;"|"&amp;IF(B484="","s/f",TEXT(B484,"yyyymmdd")))</f>
        <v/>
      </c>
      <c r="AE484" s="37" t="n">
        <f aca="false">IF(E484="",0,IF(COUNTIFS($E$5:E484,E484,$AD$5:AD484,AD484)=1,1,0))</f>
        <v>0</v>
      </c>
    </row>
    <row r="485" customFormat="false" ht="15" hidden="false" customHeight="true" outlineLevel="0" collapsed="false">
      <c r="A485" s="31"/>
      <c r="B485" s="30"/>
      <c r="C485" s="31"/>
      <c r="D485" s="31"/>
      <c r="E485" s="32"/>
      <c r="F485" s="32"/>
      <c r="G485" s="33"/>
      <c r="H485" s="31"/>
      <c r="I485" s="24" t="str">
        <f aca="false">IF(B485="","",YEAR(B485))</f>
        <v/>
      </c>
      <c r="J485" s="34" t="str">
        <f aca="false">IF(B485="","",IF(MONTH(B485)=1,"X",""))</f>
        <v/>
      </c>
      <c r="K485" s="34" t="str">
        <f aca="false">IF(B485="","",IF(MONTH(B485)=2,"X",""))</f>
        <v/>
      </c>
      <c r="L485" s="34" t="str">
        <f aca="false">IF(B485="","",IF(MONTH(B485)=3,"X",""))</f>
        <v/>
      </c>
      <c r="M485" s="34" t="str">
        <f aca="false">IF(B485="","",IF(MONTH(B485)=4,"X",""))</f>
        <v/>
      </c>
      <c r="N485" s="34" t="str">
        <f aca="false">IF(B485="","",IF(MONTH(B485)=5,"X",""))</f>
        <v/>
      </c>
      <c r="O485" s="34" t="str">
        <f aca="false">IF(B485="","",IF(MONTH(B485)=6,"X",""))</f>
        <v/>
      </c>
      <c r="P485" s="34" t="str">
        <f aca="false">IF(B485="","",IF(MONTH(B485)=7,"X",""))</f>
        <v/>
      </c>
      <c r="Q485" s="34" t="str">
        <f aca="false">IF(B485="","",IF(MONTH(B485)=8,"X",""))</f>
        <v/>
      </c>
      <c r="R485" s="34" t="str">
        <f aca="false">IF(B485="","",IF(MONTH(B485)=9,"X",""))</f>
        <v/>
      </c>
      <c r="S485" s="34" t="str">
        <f aca="false">IF(B485="","",IF(MONTH(B485)=10,"X",""))</f>
        <v/>
      </c>
      <c r="T485" s="34" t="str">
        <f aca="false">IF(B485="","",IF(MONTH(B485)=11,"X",""))</f>
        <v/>
      </c>
      <c r="U485" s="34" t="str">
        <f aca="false">IF(B485="","",IF(MONTH(B485)=12,"X",""))</f>
        <v/>
      </c>
      <c r="V485" s="24" t="str">
        <f aca="false">IF(E485="","",COUNTIF($E$5:$E$1000,E485))</f>
        <v/>
      </c>
      <c r="W485" s="35" t="str">
        <f aca="false">IF(E485="","",_xlfn.TEXTJOIN(" + ",TRUE(),IF(COUNTIFS($E$5:$E$1000,E485,$C$5:$C$1000,"Auditoría Interna")&gt;0,"Interna",""),IF(COUNTIFS($E$5:$E$1000,E485,$C$5:$C$1000,"Auditoría Externa")&gt;0,"Externa",""),IF(COUNTIFS($E$5:$E$1000,E485,$C$5:$C$1000,"SSF")&gt;0,"SSF",""),IF(COUNTIFS($E$5:$E$1000,E485,$C$5:$C$1000,"Comité de Supervisión")&gt;0,"Comité Sup.",""),IF(COUNTIFS($E$5:$E$1000,E485,$C$5:$C$1000,"Consejo de Administración")&gt;0,"Consejo",""),IF(COUNTIFS($E$5:$E$1000,E485,$C$5:$C$1000,"Otros")&gt;0,"Otros","")))</f>
        <v/>
      </c>
      <c r="X485" s="24" t="str">
        <f aca="false">IF(E485="","",COUNTIFS($E$5:$E$1000,E485,$AB$5:$AB$1000,AB485,$C$5:$C$1000,"&lt;&gt;"&amp;C485))</f>
        <v/>
      </c>
      <c r="Y485" s="33"/>
      <c r="Z485" s="31"/>
      <c r="AA485" s="33"/>
      <c r="AB485" s="37" t="str">
        <f aca="false">IF(B485="","",YEAR(B485)*100+MONTH(B485))</f>
        <v/>
      </c>
      <c r="AC485" s="37" t="str">
        <f aca="false">IF(AND(E485&lt;&gt;"",E485=Cruce!$C$5),COUNTIF($E$5:E485,E485),"")</f>
        <v/>
      </c>
      <c r="AD485" s="37" t="str">
        <f aca="false">IF(E485="","",C485&amp;"|"&amp;Y485&amp;"|"&amp;IF(B485="","s/f",TEXT(B485,"yyyymmdd")))</f>
        <v/>
      </c>
      <c r="AE485" s="37" t="n">
        <f aca="false">IF(E485="",0,IF(COUNTIFS($E$5:E485,E485,$AD$5:AD485,AD485)=1,1,0))</f>
        <v>0</v>
      </c>
    </row>
    <row r="486" customFormat="false" ht="15" hidden="false" customHeight="true" outlineLevel="0" collapsed="false">
      <c r="A486" s="31"/>
      <c r="B486" s="30"/>
      <c r="C486" s="31"/>
      <c r="D486" s="31"/>
      <c r="E486" s="32"/>
      <c r="F486" s="32"/>
      <c r="G486" s="33"/>
      <c r="H486" s="31"/>
      <c r="I486" s="24" t="str">
        <f aca="false">IF(B486="","",YEAR(B486))</f>
        <v/>
      </c>
      <c r="J486" s="34" t="str">
        <f aca="false">IF(B486="","",IF(MONTH(B486)=1,"X",""))</f>
        <v/>
      </c>
      <c r="K486" s="34" t="str">
        <f aca="false">IF(B486="","",IF(MONTH(B486)=2,"X",""))</f>
        <v/>
      </c>
      <c r="L486" s="34" t="str">
        <f aca="false">IF(B486="","",IF(MONTH(B486)=3,"X",""))</f>
        <v/>
      </c>
      <c r="M486" s="34" t="str">
        <f aca="false">IF(B486="","",IF(MONTH(B486)=4,"X",""))</f>
        <v/>
      </c>
      <c r="N486" s="34" t="str">
        <f aca="false">IF(B486="","",IF(MONTH(B486)=5,"X",""))</f>
        <v/>
      </c>
      <c r="O486" s="34" t="str">
        <f aca="false">IF(B486="","",IF(MONTH(B486)=6,"X",""))</f>
        <v/>
      </c>
      <c r="P486" s="34" t="str">
        <f aca="false">IF(B486="","",IF(MONTH(B486)=7,"X",""))</f>
        <v/>
      </c>
      <c r="Q486" s="34" t="str">
        <f aca="false">IF(B486="","",IF(MONTH(B486)=8,"X",""))</f>
        <v/>
      </c>
      <c r="R486" s="34" t="str">
        <f aca="false">IF(B486="","",IF(MONTH(B486)=9,"X",""))</f>
        <v/>
      </c>
      <c r="S486" s="34" t="str">
        <f aca="false">IF(B486="","",IF(MONTH(B486)=10,"X",""))</f>
        <v/>
      </c>
      <c r="T486" s="34" t="str">
        <f aca="false">IF(B486="","",IF(MONTH(B486)=11,"X",""))</f>
        <v/>
      </c>
      <c r="U486" s="34" t="str">
        <f aca="false">IF(B486="","",IF(MONTH(B486)=12,"X",""))</f>
        <v/>
      </c>
      <c r="V486" s="24" t="str">
        <f aca="false">IF(E486="","",COUNTIF($E$5:$E$1000,E486))</f>
        <v/>
      </c>
      <c r="W486" s="35" t="str">
        <f aca="false">IF(E486="","",_xlfn.TEXTJOIN(" + ",TRUE(),IF(COUNTIFS($E$5:$E$1000,E486,$C$5:$C$1000,"Auditoría Interna")&gt;0,"Interna",""),IF(COUNTIFS($E$5:$E$1000,E486,$C$5:$C$1000,"Auditoría Externa")&gt;0,"Externa",""),IF(COUNTIFS($E$5:$E$1000,E486,$C$5:$C$1000,"SSF")&gt;0,"SSF",""),IF(COUNTIFS($E$5:$E$1000,E486,$C$5:$C$1000,"Comité de Supervisión")&gt;0,"Comité Sup.",""),IF(COUNTIFS($E$5:$E$1000,E486,$C$5:$C$1000,"Consejo de Administración")&gt;0,"Consejo",""),IF(COUNTIFS($E$5:$E$1000,E486,$C$5:$C$1000,"Otros")&gt;0,"Otros","")))</f>
        <v/>
      </c>
      <c r="X486" s="24" t="str">
        <f aca="false">IF(E486="","",COUNTIFS($E$5:$E$1000,E486,$AB$5:$AB$1000,AB486,$C$5:$C$1000,"&lt;&gt;"&amp;C486))</f>
        <v/>
      </c>
      <c r="Y486" s="33"/>
      <c r="Z486" s="31"/>
      <c r="AA486" s="33"/>
      <c r="AB486" s="37" t="str">
        <f aca="false">IF(B486="","",YEAR(B486)*100+MONTH(B486))</f>
        <v/>
      </c>
      <c r="AC486" s="37" t="str">
        <f aca="false">IF(AND(E486&lt;&gt;"",E486=Cruce!$C$5),COUNTIF($E$5:E486,E486),"")</f>
        <v/>
      </c>
      <c r="AD486" s="37" t="str">
        <f aca="false">IF(E486="","",C486&amp;"|"&amp;Y486&amp;"|"&amp;IF(B486="","s/f",TEXT(B486,"yyyymmdd")))</f>
        <v/>
      </c>
      <c r="AE486" s="37" t="n">
        <f aca="false">IF(E486="",0,IF(COUNTIFS($E$5:E486,E486,$AD$5:AD486,AD486)=1,1,0))</f>
        <v>0</v>
      </c>
    </row>
    <row r="487" customFormat="false" ht="15" hidden="false" customHeight="true" outlineLevel="0" collapsed="false">
      <c r="A487" s="31"/>
      <c r="B487" s="30"/>
      <c r="C487" s="31"/>
      <c r="D487" s="31"/>
      <c r="E487" s="32"/>
      <c r="F487" s="32"/>
      <c r="G487" s="33"/>
      <c r="H487" s="31"/>
      <c r="I487" s="24" t="str">
        <f aca="false">IF(B487="","",YEAR(B487))</f>
        <v/>
      </c>
      <c r="J487" s="34" t="str">
        <f aca="false">IF(B487="","",IF(MONTH(B487)=1,"X",""))</f>
        <v/>
      </c>
      <c r="K487" s="34" t="str">
        <f aca="false">IF(B487="","",IF(MONTH(B487)=2,"X",""))</f>
        <v/>
      </c>
      <c r="L487" s="34" t="str">
        <f aca="false">IF(B487="","",IF(MONTH(B487)=3,"X",""))</f>
        <v/>
      </c>
      <c r="M487" s="34" t="str">
        <f aca="false">IF(B487="","",IF(MONTH(B487)=4,"X",""))</f>
        <v/>
      </c>
      <c r="N487" s="34" t="str">
        <f aca="false">IF(B487="","",IF(MONTH(B487)=5,"X",""))</f>
        <v/>
      </c>
      <c r="O487" s="34" t="str">
        <f aca="false">IF(B487="","",IF(MONTH(B487)=6,"X",""))</f>
        <v/>
      </c>
      <c r="P487" s="34" t="str">
        <f aca="false">IF(B487="","",IF(MONTH(B487)=7,"X",""))</f>
        <v/>
      </c>
      <c r="Q487" s="34" t="str">
        <f aca="false">IF(B487="","",IF(MONTH(B487)=8,"X",""))</f>
        <v/>
      </c>
      <c r="R487" s="34" t="str">
        <f aca="false">IF(B487="","",IF(MONTH(B487)=9,"X",""))</f>
        <v/>
      </c>
      <c r="S487" s="34" t="str">
        <f aca="false">IF(B487="","",IF(MONTH(B487)=10,"X",""))</f>
        <v/>
      </c>
      <c r="T487" s="34" t="str">
        <f aca="false">IF(B487="","",IF(MONTH(B487)=11,"X",""))</f>
        <v/>
      </c>
      <c r="U487" s="34" t="str">
        <f aca="false">IF(B487="","",IF(MONTH(B487)=12,"X",""))</f>
        <v/>
      </c>
      <c r="V487" s="24" t="str">
        <f aca="false">IF(E487="","",COUNTIF($E$5:$E$1000,E487))</f>
        <v/>
      </c>
      <c r="W487" s="35" t="str">
        <f aca="false">IF(E487="","",_xlfn.TEXTJOIN(" + ",TRUE(),IF(COUNTIFS($E$5:$E$1000,E487,$C$5:$C$1000,"Auditoría Interna")&gt;0,"Interna",""),IF(COUNTIFS($E$5:$E$1000,E487,$C$5:$C$1000,"Auditoría Externa")&gt;0,"Externa",""),IF(COUNTIFS($E$5:$E$1000,E487,$C$5:$C$1000,"SSF")&gt;0,"SSF",""),IF(COUNTIFS($E$5:$E$1000,E487,$C$5:$C$1000,"Comité de Supervisión")&gt;0,"Comité Sup.",""),IF(COUNTIFS($E$5:$E$1000,E487,$C$5:$C$1000,"Consejo de Administración")&gt;0,"Consejo",""),IF(COUNTIFS($E$5:$E$1000,E487,$C$5:$C$1000,"Otros")&gt;0,"Otros","")))</f>
        <v/>
      </c>
      <c r="X487" s="24" t="str">
        <f aca="false">IF(E487="","",COUNTIFS($E$5:$E$1000,E487,$AB$5:$AB$1000,AB487,$C$5:$C$1000,"&lt;&gt;"&amp;C487))</f>
        <v/>
      </c>
      <c r="Y487" s="33"/>
      <c r="Z487" s="31"/>
      <c r="AA487" s="33"/>
      <c r="AB487" s="37" t="str">
        <f aca="false">IF(B487="","",YEAR(B487)*100+MONTH(B487))</f>
        <v/>
      </c>
      <c r="AC487" s="37" t="str">
        <f aca="false">IF(AND(E487&lt;&gt;"",E487=Cruce!$C$5),COUNTIF($E$5:E487,E487),"")</f>
        <v/>
      </c>
      <c r="AD487" s="37" t="str">
        <f aca="false">IF(E487="","",C487&amp;"|"&amp;Y487&amp;"|"&amp;IF(B487="","s/f",TEXT(B487,"yyyymmdd")))</f>
        <v/>
      </c>
      <c r="AE487" s="37" t="n">
        <f aca="false">IF(E487="",0,IF(COUNTIFS($E$5:E487,E487,$AD$5:AD487,AD487)=1,1,0))</f>
        <v>0</v>
      </c>
    </row>
    <row r="488" customFormat="false" ht="15" hidden="false" customHeight="true" outlineLevel="0" collapsed="false">
      <c r="A488" s="31"/>
      <c r="B488" s="30"/>
      <c r="C488" s="31"/>
      <c r="D488" s="31"/>
      <c r="E488" s="32"/>
      <c r="F488" s="32"/>
      <c r="G488" s="33"/>
      <c r="H488" s="31"/>
      <c r="I488" s="24" t="str">
        <f aca="false">IF(B488="","",YEAR(B488))</f>
        <v/>
      </c>
      <c r="J488" s="34" t="str">
        <f aca="false">IF(B488="","",IF(MONTH(B488)=1,"X",""))</f>
        <v/>
      </c>
      <c r="K488" s="34" t="str">
        <f aca="false">IF(B488="","",IF(MONTH(B488)=2,"X",""))</f>
        <v/>
      </c>
      <c r="L488" s="34" t="str">
        <f aca="false">IF(B488="","",IF(MONTH(B488)=3,"X",""))</f>
        <v/>
      </c>
      <c r="M488" s="34" t="str">
        <f aca="false">IF(B488="","",IF(MONTH(B488)=4,"X",""))</f>
        <v/>
      </c>
      <c r="N488" s="34" t="str">
        <f aca="false">IF(B488="","",IF(MONTH(B488)=5,"X",""))</f>
        <v/>
      </c>
      <c r="O488" s="34" t="str">
        <f aca="false">IF(B488="","",IF(MONTH(B488)=6,"X",""))</f>
        <v/>
      </c>
      <c r="P488" s="34" t="str">
        <f aca="false">IF(B488="","",IF(MONTH(B488)=7,"X",""))</f>
        <v/>
      </c>
      <c r="Q488" s="34" t="str">
        <f aca="false">IF(B488="","",IF(MONTH(B488)=8,"X",""))</f>
        <v/>
      </c>
      <c r="R488" s="34" t="str">
        <f aca="false">IF(B488="","",IF(MONTH(B488)=9,"X",""))</f>
        <v/>
      </c>
      <c r="S488" s="34" t="str">
        <f aca="false">IF(B488="","",IF(MONTH(B488)=10,"X",""))</f>
        <v/>
      </c>
      <c r="T488" s="34" t="str">
        <f aca="false">IF(B488="","",IF(MONTH(B488)=11,"X",""))</f>
        <v/>
      </c>
      <c r="U488" s="34" t="str">
        <f aca="false">IF(B488="","",IF(MONTH(B488)=12,"X",""))</f>
        <v/>
      </c>
      <c r="V488" s="24" t="str">
        <f aca="false">IF(E488="","",COUNTIF($E$5:$E$1000,E488))</f>
        <v/>
      </c>
      <c r="W488" s="35" t="str">
        <f aca="false">IF(E488="","",_xlfn.TEXTJOIN(" + ",TRUE(),IF(COUNTIFS($E$5:$E$1000,E488,$C$5:$C$1000,"Auditoría Interna")&gt;0,"Interna",""),IF(COUNTIFS($E$5:$E$1000,E488,$C$5:$C$1000,"Auditoría Externa")&gt;0,"Externa",""),IF(COUNTIFS($E$5:$E$1000,E488,$C$5:$C$1000,"SSF")&gt;0,"SSF",""),IF(COUNTIFS($E$5:$E$1000,E488,$C$5:$C$1000,"Comité de Supervisión")&gt;0,"Comité Sup.",""),IF(COUNTIFS($E$5:$E$1000,E488,$C$5:$C$1000,"Consejo de Administración")&gt;0,"Consejo",""),IF(COUNTIFS($E$5:$E$1000,E488,$C$5:$C$1000,"Otros")&gt;0,"Otros","")))</f>
        <v/>
      </c>
      <c r="X488" s="24" t="str">
        <f aca="false">IF(E488="","",COUNTIFS($E$5:$E$1000,E488,$AB$5:$AB$1000,AB488,$C$5:$C$1000,"&lt;&gt;"&amp;C488))</f>
        <v/>
      </c>
      <c r="Y488" s="33"/>
      <c r="Z488" s="31"/>
      <c r="AA488" s="33"/>
      <c r="AB488" s="37" t="str">
        <f aca="false">IF(B488="","",YEAR(B488)*100+MONTH(B488))</f>
        <v/>
      </c>
      <c r="AC488" s="37" t="str">
        <f aca="false">IF(AND(E488&lt;&gt;"",E488=Cruce!$C$5),COUNTIF($E$5:E488,E488),"")</f>
        <v/>
      </c>
      <c r="AD488" s="37" t="str">
        <f aca="false">IF(E488="","",C488&amp;"|"&amp;Y488&amp;"|"&amp;IF(B488="","s/f",TEXT(B488,"yyyymmdd")))</f>
        <v/>
      </c>
      <c r="AE488" s="37" t="n">
        <f aca="false">IF(E488="",0,IF(COUNTIFS($E$5:E488,E488,$AD$5:AD488,AD488)=1,1,0))</f>
        <v>0</v>
      </c>
    </row>
    <row r="489" customFormat="false" ht="15" hidden="false" customHeight="true" outlineLevel="0" collapsed="false">
      <c r="A489" s="31"/>
      <c r="B489" s="30"/>
      <c r="C489" s="31"/>
      <c r="D489" s="31"/>
      <c r="E489" s="32"/>
      <c r="F489" s="32"/>
      <c r="G489" s="33"/>
      <c r="H489" s="31"/>
      <c r="I489" s="24" t="str">
        <f aca="false">IF(B489="","",YEAR(B489))</f>
        <v/>
      </c>
      <c r="J489" s="34" t="str">
        <f aca="false">IF(B489="","",IF(MONTH(B489)=1,"X",""))</f>
        <v/>
      </c>
      <c r="K489" s="34" t="str">
        <f aca="false">IF(B489="","",IF(MONTH(B489)=2,"X",""))</f>
        <v/>
      </c>
      <c r="L489" s="34" t="str">
        <f aca="false">IF(B489="","",IF(MONTH(B489)=3,"X",""))</f>
        <v/>
      </c>
      <c r="M489" s="34" t="str">
        <f aca="false">IF(B489="","",IF(MONTH(B489)=4,"X",""))</f>
        <v/>
      </c>
      <c r="N489" s="34" t="str">
        <f aca="false">IF(B489="","",IF(MONTH(B489)=5,"X",""))</f>
        <v/>
      </c>
      <c r="O489" s="34" t="str">
        <f aca="false">IF(B489="","",IF(MONTH(B489)=6,"X",""))</f>
        <v/>
      </c>
      <c r="P489" s="34" t="str">
        <f aca="false">IF(B489="","",IF(MONTH(B489)=7,"X",""))</f>
        <v/>
      </c>
      <c r="Q489" s="34" t="str">
        <f aca="false">IF(B489="","",IF(MONTH(B489)=8,"X",""))</f>
        <v/>
      </c>
      <c r="R489" s="34" t="str">
        <f aca="false">IF(B489="","",IF(MONTH(B489)=9,"X",""))</f>
        <v/>
      </c>
      <c r="S489" s="34" t="str">
        <f aca="false">IF(B489="","",IF(MONTH(B489)=10,"X",""))</f>
        <v/>
      </c>
      <c r="T489" s="34" t="str">
        <f aca="false">IF(B489="","",IF(MONTH(B489)=11,"X",""))</f>
        <v/>
      </c>
      <c r="U489" s="34" t="str">
        <f aca="false">IF(B489="","",IF(MONTH(B489)=12,"X",""))</f>
        <v/>
      </c>
      <c r="V489" s="24" t="str">
        <f aca="false">IF(E489="","",COUNTIF($E$5:$E$1000,E489))</f>
        <v/>
      </c>
      <c r="W489" s="35" t="str">
        <f aca="false">IF(E489="","",_xlfn.TEXTJOIN(" + ",TRUE(),IF(COUNTIFS($E$5:$E$1000,E489,$C$5:$C$1000,"Auditoría Interna")&gt;0,"Interna",""),IF(COUNTIFS($E$5:$E$1000,E489,$C$5:$C$1000,"Auditoría Externa")&gt;0,"Externa",""),IF(COUNTIFS($E$5:$E$1000,E489,$C$5:$C$1000,"SSF")&gt;0,"SSF",""),IF(COUNTIFS($E$5:$E$1000,E489,$C$5:$C$1000,"Comité de Supervisión")&gt;0,"Comité Sup.",""),IF(COUNTIFS($E$5:$E$1000,E489,$C$5:$C$1000,"Consejo de Administración")&gt;0,"Consejo",""),IF(COUNTIFS($E$5:$E$1000,E489,$C$5:$C$1000,"Otros")&gt;0,"Otros","")))</f>
        <v/>
      </c>
      <c r="X489" s="24" t="str">
        <f aca="false">IF(E489="","",COUNTIFS($E$5:$E$1000,E489,$AB$5:$AB$1000,AB489,$C$5:$C$1000,"&lt;&gt;"&amp;C489))</f>
        <v/>
      </c>
      <c r="Y489" s="33"/>
      <c r="Z489" s="31"/>
      <c r="AA489" s="33"/>
      <c r="AB489" s="37" t="str">
        <f aca="false">IF(B489="","",YEAR(B489)*100+MONTH(B489))</f>
        <v/>
      </c>
      <c r="AC489" s="37" t="str">
        <f aca="false">IF(AND(E489&lt;&gt;"",E489=Cruce!$C$5),COUNTIF($E$5:E489,E489),"")</f>
        <v/>
      </c>
      <c r="AD489" s="37" t="str">
        <f aca="false">IF(E489="","",C489&amp;"|"&amp;Y489&amp;"|"&amp;IF(B489="","s/f",TEXT(B489,"yyyymmdd")))</f>
        <v/>
      </c>
      <c r="AE489" s="37" t="n">
        <f aca="false">IF(E489="",0,IF(COUNTIFS($E$5:E489,E489,$AD$5:AD489,AD489)=1,1,0))</f>
        <v>0</v>
      </c>
    </row>
    <row r="490" customFormat="false" ht="15" hidden="false" customHeight="true" outlineLevel="0" collapsed="false">
      <c r="A490" s="31"/>
      <c r="B490" s="30"/>
      <c r="C490" s="31"/>
      <c r="D490" s="31"/>
      <c r="E490" s="32"/>
      <c r="F490" s="32"/>
      <c r="G490" s="33"/>
      <c r="H490" s="31"/>
      <c r="I490" s="24" t="str">
        <f aca="false">IF(B490="","",YEAR(B490))</f>
        <v/>
      </c>
      <c r="J490" s="34" t="str">
        <f aca="false">IF(B490="","",IF(MONTH(B490)=1,"X",""))</f>
        <v/>
      </c>
      <c r="K490" s="34" t="str">
        <f aca="false">IF(B490="","",IF(MONTH(B490)=2,"X",""))</f>
        <v/>
      </c>
      <c r="L490" s="34" t="str">
        <f aca="false">IF(B490="","",IF(MONTH(B490)=3,"X",""))</f>
        <v/>
      </c>
      <c r="M490" s="34" t="str">
        <f aca="false">IF(B490="","",IF(MONTH(B490)=4,"X",""))</f>
        <v/>
      </c>
      <c r="N490" s="34" t="str">
        <f aca="false">IF(B490="","",IF(MONTH(B490)=5,"X",""))</f>
        <v/>
      </c>
      <c r="O490" s="34" t="str">
        <f aca="false">IF(B490="","",IF(MONTH(B490)=6,"X",""))</f>
        <v/>
      </c>
      <c r="P490" s="34" t="str">
        <f aca="false">IF(B490="","",IF(MONTH(B490)=7,"X",""))</f>
        <v/>
      </c>
      <c r="Q490" s="34" t="str">
        <f aca="false">IF(B490="","",IF(MONTH(B490)=8,"X",""))</f>
        <v/>
      </c>
      <c r="R490" s="34" t="str">
        <f aca="false">IF(B490="","",IF(MONTH(B490)=9,"X",""))</f>
        <v/>
      </c>
      <c r="S490" s="34" t="str">
        <f aca="false">IF(B490="","",IF(MONTH(B490)=10,"X",""))</f>
        <v/>
      </c>
      <c r="T490" s="34" t="str">
        <f aca="false">IF(B490="","",IF(MONTH(B490)=11,"X",""))</f>
        <v/>
      </c>
      <c r="U490" s="34" t="str">
        <f aca="false">IF(B490="","",IF(MONTH(B490)=12,"X",""))</f>
        <v/>
      </c>
      <c r="V490" s="24" t="str">
        <f aca="false">IF(E490="","",COUNTIF($E$5:$E$1000,E490))</f>
        <v/>
      </c>
      <c r="W490" s="35" t="str">
        <f aca="false">IF(E490="","",_xlfn.TEXTJOIN(" + ",TRUE(),IF(COUNTIFS($E$5:$E$1000,E490,$C$5:$C$1000,"Auditoría Interna")&gt;0,"Interna",""),IF(COUNTIFS($E$5:$E$1000,E490,$C$5:$C$1000,"Auditoría Externa")&gt;0,"Externa",""),IF(COUNTIFS($E$5:$E$1000,E490,$C$5:$C$1000,"SSF")&gt;0,"SSF",""),IF(COUNTIFS($E$5:$E$1000,E490,$C$5:$C$1000,"Comité de Supervisión")&gt;0,"Comité Sup.",""),IF(COUNTIFS($E$5:$E$1000,E490,$C$5:$C$1000,"Consejo de Administración")&gt;0,"Consejo",""),IF(COUNTIFS($E$5:$E$1000,E490,$C$5:$C$1000,"Otros")&gt;0,"Otros","")))</f>
        <v/>
      </c>
      <c r="X490" s="24" t="str">
        <f aca="false">IF(E490="","",COUNTIFS($E$5:$E$1000,E490,$AB$5:$AB$1000,AB490,$C$5:$C$1000,"&lt;&gt;"&amp;C490))</f>
        <v/>
      </c>
      <c r="Y490" s="33"/>
      <c r="Z490" s="31"/>
      <c r="AA490" s="33"/>
      <c r="AB490" s="37" t="str">
        <f aca="false">IF(B490="","",YEAR(B490)*100+MONTH(B490))</f>
        <v/>
      </c>
      <c r="AC490" s="37" t="str">
        <f aca="false">IF(AND(E490&lt;&gt;"",E490=Cruce!$C$5),COUNTIF($E$5:E490,E490),"")</f>
        <v/>
      </c>
      <c r="AD490" s="37" t="str">
        <f aca="false">IF(E490="","",C490&amp;"|"&amp;Y490&amp;"|"&amp;IF(B490="","s/f",TEXT(B490,"yyyymmdd")))</f>
        <v/>
      </c>
      <c r="AE490" s="37" t="n">
        <f aca="false">IF(E490="",0,IF(COUNTIFS($E$5:E490,E490,$AD$5:AD490,AD490)=1,1,0))</f>
        <v>0</v>
      </c>
    </row>
    <row r="491" customFormat="false" ht="15" hidden="false" customHeight="true" outlineLevel="0" collapsed="false">
      <c r="A491" s="31"/>
      <c r="B491" s="30"/>
      <c r="C491" s="31"/>
      <c r="D491" s="31"/>
      <c r="E491" s="32"/>
      <c r="F491" s="32"/>
      <c r="G491" s="33"/>
      <c r="H491" s="31"/>
      <c r="I491" s="24" t="str">
        <f aca="false">IF(B491="","",YEAR(B491))</f>
        <v/>
      </c>
      <c r="J491" s="34" t="str">
        <f aca="false">IF(B491="","",IF(MONTH(B491)=1,"X",""))</f>
        <v/>
      </c>
      <c r="K491" s="34" t="str">
        <f aca="false">IF(B491="","",IF(MONTH(B491)=2,"X",""))</f>
        <v/>
      </c>
      <c r="L491" s="34" t="str">
        <f aca="false">IF(B491="","",IF(MONTH(B491)=3,"X",""))</f>
        <v/>
      </c>
      <c r="M491" s="34" t="str">
        <f aca="false">IF(B491="","",IF(MONTH(B491)=4,"X",""))</f>
        <v/>
      </c>
      <c r="N491" s="34" t="str">
        <f aca="false">IF(B491="","",IF(MONTH(B491)=5,"X",""))</f>
        <v/>
      </c>
      <c r="O491" s="34" t="str">
        <f aca="false">IF(B491="","",IF(MONTH(B491)=6,"X",""))</f>
        <v/>
      </c>
      <c r="P491" s="34" t="str">
        <f aca="false">IF(B491="","",IF(MONTH(B491)=7,"X",""))</f>
        <v/>
      </c>
      <c r="Q491" s="34" t="str">
        <f aca="false">IF(B491="","",IF(MONTH(B491)=8,"X",""))</f>
        <v/>
      </c>
      <c r="R491" s="34" t="str">
        <f aca="false">IF(B491="","",IF(MONTH(B491)=9,"X",""))</f>
        <v/>
      </c>
      <c r="S491" s="34" t="str">
        <f aca="false">IF(B491="","",IF(MONTH(B491)=10,"X",""))</f>
        <v/>
      </c>
      <c r="T491" s="34" t="str">
        <f aca="false">IF(B491="","",IF(MONTH(B491)=11,"X",""))</f>
        <v/>
      </c>
      <c r="U491" s="34" t="str">
        <f aca="false">IF(B491="","",IF(MONTH(B491)=12,"X",""))</f>
        <v/>
      </c>
      <c r="V491" s="24" t="str">
        <f aca="false">IF(E491="","",COUNTIF($E$5:$E$1000,E491))</f>
        <v/>
      </c>
      <c r="W491" s="35" t="str">
        <f aca="false">IF(E491="","",_xlfn.TEXTJOIN(" + ",TRUE(),IF(COUNTIFS($E$5:$E$1000,E491,$C$5:$C$1000,"Auditoría Interna")&gt;0,"Interna",""),IF(COUNTIFS($E$5:$E$1000,E491,$C$5:$C$1000,"Auditoría Externa")&gt;0,"Externa",""),IF(COUNTIFS($E$5:$E$1000,E491,$C$5:$C$1000,"SSF")&gt;0,"SSF",""),IF(COUNTIFS($E$5:$E$1000,E491,$C$5:$C$1000,"Comité de Supervisión")&gt;0,"Comité Sup.",""),IF(COUNTIFS($E$5:$E$1000,E491,$C$5:$C$1000,"Consejo de Administración")&gt;0,"Consejo",""),IF(COUNTIFS($E$5:$E$1000,E491,$C$5:$C$1000,"Otros")&gt;0,"Otros","")))</f>
        <v/>
      </c>
      <c r="X491" s="24" t="str">
        <f aca="false">IF(E491="","",COUNTIFS($E$5:$E$1000,E491,$AB$5:$AB$1000,AB491,$C$5:$C$1000,"&lt;&gt;"&amp;C491))</f>
        <v/>
      </c>
      <c r="Y491" s="33"/>
      <c r="Z491" s="31"/>
      <c r="AA491" s="33"/>
      <c r="AB491" s="37" t="str">
        <f aca="false">IF(B491="","",YEAR(B491)*100+MONTH(B491))</f>
        <v/>
      </c>
      <c r="AC491" s="37" t="str">
        <f aca="false">IF(AND(E491&lt;&gt;"",E491=Cruce!$C$5),COUNTIF($E$5:E491,E491),"")</f>
        <v/>
      </c>
      <c r="AD491" s="37" t="str">
        <f aca="false">IF(E491="","",C491&amp;"|"&amp;Y491&amp;"|"&amp;IF(B491="","s/f",TEXT(B491,"yyyymmdd")))</f>
        <v/>
      </c>
      <c r="AE491" s="37" t="n">
        <f aca="false">IF(E491="",0,IF(COUNTIFS($E$5:E491,E491,$AD$5:AD491,AD491)=1,1,0))</f>
        <v>0</v>
      </c>
    </row>
    <row r="492" customFormat="false" ht="15" hidden="false" customHeight="true" outlineLevel="0" collapsed="false">
      <c r="A492" s="31"/>
      <c r="B492" s="30"/>
      <c r="C492" s="31"/>
      <c r="D492" s="31"/>
      <c r="E492" s="32"/>
      <c r="F492" s="32"/>
      <c r="G492" s="33"/>
      <c r="H492" s="31"/>
      <c r="I492" s="24" t="str">
        <f aca="false">IF(B492="","",YEAR(B492))</f>
        <v/>
      </c>
      <c r="J492" s="34" t="str">
        <f aca="false">IF(B492="","",IF(MONTH(B492)=1,"X",""))</f>
        <v/>
      </c>
      <c r="K492" s="34" t="str">
        <f aca="false">IF(B492="","",IF(MONTH(B492)=2,"X",""))</f>
        <v/>
      </c>
      <c r="L492" s="34" t="str">
        <f aca="false">IF(B492="","",IF(MONTH(B492)=3,"X",""))</f>
        <v/>
      </c>
      <c r="M492" s="34" t="str">
        <f aca="false">IF(B492="","",IF(MONTH(B492)=4,"X",""))</f>
        <v/>
      </c>
      <c r="N492" s="34" t="str">
        <f aca="false">IF(B492="","",IF(MONTH(B492)=5,"X",""))</f>
        <v/>
      </c>
      <c r="O492" s="34" t="str">
        <f aca="false">IF(B492="","",IF(MONTH(B492)=6,"X",""))</f>
        <v/>
      </c>
      <c r="P492" s="34" t="str">
        <f aca="false">IF(B492="","",IF(MONTH(B492)=7,"X",""))</f>
        <v/>
      </c>
      <c r="Q492" s="34" t="str">
        <f aca="false">IF(B492="","",IF(MONTH(B492)=8,"X",""))</f>
        <v/>
      </c>
      <c r="R492" s="34" t="str">
        <f aca="false">IF(B492="","",IF(MONTH(B492)=9,"X",""))</f>
        <v/>
      </c>
      <c r="S492" s="34" t="str">
        <f aca="false">IF(B492="","",IF(MONTH(B492)=10,"X",""))</f>
        <v/>
      </c>
      <c r="T492" s="34" t="str">
        <f aca="false">IF(B492="","",IF(MONTH(B492)=11,"X",""))</f>
        <v/>
      </c>
      <c r="U492" s="34" t="str">
        <f aca="false">IF(B492="","",IF(MONTH(B492)=12,"X",""))</f>
        <v/>
      </c>
      <c r="V492" s="24" t="str">
        <f aca="false">IF(E492="","",COUNTIF($E$5:$E$1000,E492))</f>
        <v/>
      </c>
      <c r="W492" s="35" t="str">
        <f aca="false">IF(E492="","",_xlfn.TEXTJOIN(" + ",TRUE(),IF(COUNTIFS($E$5:$E$1000,E492,$C$5:$C$1000,"Auditoría Interna")&gt;0,"Interna",""),IF(COUNTIFS($E$5:$E$1000,E492,$C$5:$C$1000,"Auditoría Externa")&gt;0,"Externa",""),IF(COUNTIFS($E$5:$E$1000,E492,$C$5:$C$1000,"SSF")&gt;0,"SSF",""),IF(COUNTIFS($E$5:$E$1000,E492,$C$5:$C$1000,"Comité de Supervisión")&gt;0,"Comité Sup.",""),IF(COUNTIFS($E$5:$E$1000,E492,$C$5:$C$1000,"Consejo de Administración")&gt;0,"Consejo",""),IF(COUNTIFS($E$5:$E$1000,E492,$C$5:$C$1000,"Otros")&gt;0,"Otros","")))</f>
        <v/>
      </c>
      <c r="X492" s="24" t="str">
        <f aca="false">IF(E492="","",COUNTIFS($E$5:$E$1000,E492,$AB$5:$AB$1000,AB492,$C$5:$C$1000,"&lt;&gt;"&amp;C492))</f>
        <v/>
      </c>
      <c r="Y492" s="33"/>
      <c r="Z492" s="31"/>
      <c r="AA492" s="33"/>
      <c r="AB492" s="37" t="str">
        <f aca="false">IF(B492="","",YEAR(B492)*100+MONTH(B492))</f>
        <v/>
      </c>
      <c r="AC492" s="37" t="str">
        <f aca="false">IF(AND(E492&lt;&gt;"",E492=Cruce!$C$5),COUNTIF($E$5:E492,E492),"")</f>
        <v/>
      </c>
      <c r="AD492" s="37" t="str">
        <f aca="false">IF(E492="","",C492&amp;"|"&amp;Y492&amp;"|"&amp;IF(B492="","s/f",TEXT(B492,"yyyymmdd")))</f>
        <v/>
      </c>
      <c r="AE492" s="37" t="n">
        <f aca="false">IF(E492="",0,IF(COUNTIFS($E$5:E492,E492,$AD$5:AD492,AD492)=1,1,0))</f>
        <v>0</v>
      </c>
    </row>
    <row r="493" customFormat="false" ht="15" hidden="false" customHeight="true" outlineLevel="0" collapsed="false">
      <c r="A493" s="31"/>
      <c r="B493" s="30"/>
      <c r="C493" s="31"/>
      <c r="D493" s="31"/>
      <c r="E493" s="32"/>
      <c r="F493" s="32"/>
      <c r="G493" s="33"/>
      <c r="H493" s="31"/>
      <c r="I493" s="24" t="str">
        <f aca="false">IF(B493="","",YEAR(B493))</f>
        <v/>
      </c>
      <c r="J493" s="34" t="str">
        <f aca="false">IF(B493="","",IF(MONTH(B493)=1,"X",""))</f>
        <v/>
      </c>
      <c r="K493" s="34" t="str">
        <f aca="false">IF(B493="","",IF(MONTH(B493)=2,"X",""))</f>
        <v/>
      </c>
      <c r="L493" s="34" t="str">
        <f aca="false">IF(B493="","",IF(MONTH(B493)=3,"X",""))</f>
        <v/>
      </c>
      <c r="M493" s="34" t="str">
        <f aca="false">IF(B493="","",IF(MONTH(B493)=4,"X",""))</f>
        <v/>
      </c>
      <c r="N493" s="34" t="str">
        <f aca="false">IF(B493="","",IF(MONTH(B493)=5,"X",""))</f>
        <v/>
      </c>
      <c r="O493" s="34" t="str">
        <f aca="false">IF(B493="","",IF(MONTH(B493)=6,"X",""))</f>
        <v/>
      </c>
      <c r="P493" s="34" t="str">
        <f aca="false">IF(B493="","",IF(MONTH(B493)=7,"X",""))</f>
        <v/>
      </c>
      <c r="Q493" s="34" t="str">
        <f aca="false">IF(B493="","",IF(MONTH(B493)=8,"X",""))</f>
        <v/>
      </c>
      <c r="R493" s="34" t="str">
        <f aca="false">IF(B493="","",IF(MONTH(B493)=9,"X",""))</f>
        <v/>
      </c>
      <c r="S493" s="34" t="str">
        <f aca="false">IF(B493="","",IF(MONTH(B493)=10,"X",""))</f>
        <v/>
      </c>
      <c r="T493" s="34" t="str">
        <f aca="false">IF(B493="","",IF(MONTH(B493)=11,"X",""))</f>
        <v/>
      </c>
      <c r="U493" s="34" t="str">
        <f aca="false">IF(B493="","",IF(MONTH(B493)=12,"X",""))</f>
        <v/>
      </c>
      <c r="V493" s="24" t="str">
        <f aca="false">IF(E493="","",COUNTIF($E$5:$E$1000,E493))</f>
        <v/>
      </c>
      <c r="W493" s="35" t="str">
        <f aca="false">IF(E493="","",_xlfn.TEXTJOIN(" + ",TRUE(),IF(COUNTIFS($E$5:$E$1000,E493,$C$5:$C$1000,"Auditoría Interna")&gt;0,"Interna",""),IF(COUNTIFS($E$5:$E$1000,E493,$C$5:$C$1000,"Auditoría Externa")&gt;0,"Externa",""),IF(COUNTIFS($E$5:$E$1000,E493,$C$5:$C$1000,"SSF")&gt;0,"SSF",""),IF(COUNTIFS($E$5:$E$1000,E493,$C$5:$C$1000,"Comité de Supervisión")&gt;0,"Comité Sup.",""),IF(COUNTIFS($E$5:$E$1000,E493,$C$5:$C$1000,"Consejo de Administración")&gt;0,"Consejo",""),IF(COUNTIFS($E$5:$E$1000,E493,$C$5:$C$1000,"Otros")&gt;0,"Otros","")))</f>
        <v/>
      </c>
      <c r="X493" s="24" t="str">
        <f aca="false">IF(E493="","",COUNTIFS($E$5:$E$1000,E493,$AB$5:$AB$1000,AB493,$C$5:$C$1000,"&lt;&gt;"&amp;C493))</f>
        <v/>
      </c>
      <c r="Y493" s="33"/>
      <c r="Z493" s="31"/>
      <c r="AA493" s="33"/>
      <c r="AB493" s="37" t="str">
        <f aca="false">IF(B493="","",YEAR(B493)*100+MONTH(B493))</f>
        <v/>
      </c>
      <c r="AC493" s="37" t="str">
        <f aca="false">IF(AND(E493&lt;&gt;"",E493=Cruce!$C$5),COUNTIF($E$5:E493,E493),"")</f>
        <v/>
      </c>
      <c r="AD493" s="37" t="str">
        <f aca="false">IF(E493="","",C493&amp;"|"&amp;Y493&amp;"|"&amp;IF(B493="","s/f",TEXT(B493,"yyyymmdd")))</f>
        <v/>
      </c>
      <c r="AE493" s="37" t="n">
        <f aca="false">IF(E493="",0,IF(COUNTIFS($E$5:E493,E493,$AD$5:AD493,AD493)=1,1,0))</f>
        <v>0</v>
      </c>
    </row>
    <row r="494" customFormat="false" ht="15" hidden="false" customHeight="true" outlineLevel="0" collapsed="false">
      <c r="A494" s="31"/>
      <c r="B494" s="30"/>
      <c r="C494" s="31"/>
      <c r="D494" s="31"/>
      <c r="E494" s="32"/>
      <c r="F494" s="32"/>
      <c r="G494" s="33"/>
      <c r="H494" s="31"/>
      <c r="I494" s="24" t="str">
        <f aca="false">IF(B494="","",YEAR(B494))</f>
        <v/>
      </c>
      <c r="J494" s="34" t="str">
        <f aca="false">IF(B494="","",IF(MONTH(B494)=1,"X",""))</f>
        <v/>
      </c>
      <c r="K494" s="34" t="str">
        <f aca="false">IF(B494="","",IF(MONTH(B494)=2,"X",""))</f>
        <v/>
      </c>
      <c r="L494" s="34" t="str">
        <f aca="false">IF(B494="","",IF(MONTH(B494)=3,"X",""))</f>
        <v/>
      </c>
      <c r="M494" s="34" t="str">
        <f aca="false">IF(B494="","",IF(MONTH(B494)=4,"X",""))</f>
        <v/>
      </c>
      <c r="N494" s="34" t="str">
        <f aca="false">IF(B494="","",IF(MONTH(B494)=5,"X",""))</f>
        <v/>
      </c>
      <c r="O494" s="34" t="str">
        <f aca="false">IF(B494="","",IF(MONTH(B494)=6,"X",""))</f>
        <v/>
      </c>
      <c r="P494" s="34" t="str">
        <f aca="false">IF(B494="","",IF(MONTH(B494)=7,"X",""))</f>
        <v/>
      </c>
      <c r="Q494" s="34" t="str">
        <f aca="false">IF(B494="","",IF(MONTH(B494)=8,"X",""))</f>
        <v/>
      </c>
      <c r="R494" s="34" t="str">
        <f aca="false">IF(B494="","",IF(MONTH(B494)=9,"X",""))</f>
        <v/>
      </c>
      <c r="S494" s="34" t="str">
        <f aca="false">IF(B494="","",IF(MONTH(B494)=10,"X",""))</f>
        <v/>
      </c>
      <c r="T494" s="34" t="str">
        <f aca="false">IF(B494="","",IF(MONTH(B494)=11,"X",""))</f>
        <v/>
      </c>
      <c r="U494" s="34" t="str">
        <f aca="false">IF(B494="","",IF(MONTH(B494)=12,"X",""))</f>
        <v/>
      </c>
      <c r="V494" s="24" t="str">
        <f aca="false">IF(E494="","",COUNTIF($E$5:$E$1000,E494))</f>
        <v/>
      </c>
      <c r="W494" s="35" t="str">
        <f aca="false">IF(E494="","",_xlfn.TEXTJOIN(" + ",TRUE(),IF(COUNTIFS($E$5:$E$1000,E494,$C$5:$C$1000,"Auditoría Interna")&gt;0,"Interna",""),IF(COUNTIFS($E$5:$E$1000,E494,$C$5:$C$1000,"Auditoría Externa")&gt;0,"Externa",""),IF(COUNTIFS($E$5:$E$1000,E494,$C$5:$C$1000,"SSF")&gt;0,"SSF",""),IF(COUNTIFS($E$5:$E$1000,E494,$C$5:$C$1000,"Comité de Supervisión")&gt;0,"Comité Sup.",""),IF(COUNTIFS($E$5:$E$1000,E494,$C$5:$C$1000,"Consejo de Administración")&gt;0,"Consejo",""),IF(COUNTIFS($E$5:$E$1000,E494,$C$5:$C$1000,"Otros")&gt;0,"Otros","")))</f>
        <v/>
      </c>
      <c r="X494" s="24" t="str">
        <f aca="false">IF(E494="","",COUNTIFS($E$5:$E$1000,E494,$AB$5:$AB$1000,AB494,$C$5:$C$1000,"&lt;&gt;"&amp;C494))</f>
        <v/>
      </c>
      <c r="Y494" s="33"/>
      <c r="Z494" s="31"/>
      <c r="AA494" s="33"/>
      <c r="AB494" s="37" t="str">
        <f aca="false">IF(B494="","",YEAR(B494)*100+MONTH(B494))</f>
        <v/>
      </c>
      <c r="AC494" s="37" t="str">
        <f aca="false">IF(AND(E494&lt;&gt;"",E494=Cruce!$C$5),COUNTIF($E$5:E494,E494),"")</f>
        <v/>
      </c>
      <c r="AD494" s="37" t="str">
        <f aca="false">IF(E494="","",C494&amp;"|"&amp;Y494&amp;"|"&amp;IF(B494="","s/f",TEXT(B494,"yyyymmdd")))</f>
        <v/>
      </c>
      <c r="AE494" s="37" t="n">
        <f aca="false">IF(E494="",0,IF(COUNTIFS($E$5:E494,E494,$AD$5:AD494,AD494)=1,1,0))</f>
        <v>0</v>
      </c>
    </row>
    <row r="495" customFormat="false" ht="15" hidden="false" customHeight="true" outlineLevel="0" collapsed="false">
      <c r="A495" s="31"/>
      <c r="B495" s="30"/>
      <c r="C495" s="31"/>
      <c r="D495" s="31"/>
      <c r="E495" s="32"/>
      <c r="F495" s="32"/>
      <c r="G495" s="33"/>
      <c r="H495" s="31"/>
      <c r="I495" s="24" t="str">
        <f aca="false">IF(B495="","",YEAR(B495))</f>
        <v/>
      </c>
      <c r="J495" s="34" t="str">
        <f aca="false">IF(B495="","",IF(MONTH(B495)=1,"X",""))</f>
        <v/>
      </c>
      <c r="K495" s="34" t="str">
        <f aca="false">IF(B495="","",IF(MONTH(B495)=2,"X",""))</f>
        <v/>
      </c>
      <c r="L495" s="34" t="str">
        <f aca="false">IF(B495="","",IF(MONTH(B495)=3,"X",""))</f>
        <v/>
      </c>
      <c r="M495" s="34" t="str">
        <f aca="false">IF(B495="","",IF(MONTH(B495)=4,"X",""))</f>
        <v/>
      </c>
      <c r="N495" s="34" t="str">
        <f aca="false">IF(B495="","",IF(MONTH(B495)=5,"X",""))</f>
        <v/>
      </c>
      <c r="O495" s="34" t="str">
        <f aca="false">IF(B495="","",IF(MONTH(B495)=6,"X",""))</f>
        <v/>
      </c>
      <c r="P495" s="34" t="str">
        <f aca="false">IF(B495="","",IF(MONTH(B495)=7,"X",""))</f>
        <v/>
      </c>
      <c r="Q495" s="34" t="str">
        <f aca="false">IF(B495="","",IF(MONTH(B495)=8,"X",""))</f>
        <v/>
      </c>
      <c r="R495" s="34" t="str">
        <f aca="false">IF(B495="","",IF(MONTH(B495)=9,"X",""))</f>
        <v/>
      </c>
      <c r="S495" s="34" t="str">
        <f aca="false">IF(B495="","",IF(MONTH(B495)=10,"X",""))</f>
        <v/>
      </c>
      <c r="T495" s="34" t="str">
        <f aca="false">IF(B495="","",IF(MONTH(B495)=11,"X",""))</f>
        <v/>
      </c>
      <c r="U495" s="34" t="str">
        <f aca="false">IF(B495="","",IF(MONTH(B495)=12,"X",""))</f>
        <v/>
      </c>
      <c r="V495" s="24" t="str">
        <f aca="false">IF(E495="","",COUNTIF($E$5:$E$1000,E495))</f>
        <v/>
      </c>
      <c r="W495" s="35" t="str">
        <f aca="false">IF(E495="","",_xlfn.TEXTJOIN(" + ",TRUE(),IF(COUNTIFS($E$5:$E$1000,E495,$C$5:$C$1000,"Auditoría Interna")&gt;0,"Interna",""),IF(COUNTIFS($E$5:$E$1000,E495,$C$5:$C$1000,"Auditoría Externa")&gt;0,"Externa",""),IF(COUNTIFS($E$5:$E$1000,E495,$C$5:$C$1000,"SSF")&gt;0,"SSF",""),IF(COUNTIFS($E$5:$E$1000,E495,$C$5:$C$1000,"Comité de Supervisión")&gt;0,"Comité Sup.",""),IF(COUNTIFS($E$5:$E$1000,E495,$C$5:$C$1000,"Consejo de Administración")&gt;0,"Consejo",""),IF(COUNTIFS($E$5:$E$1000,E495,$C$5:$C$1000,"Otros")&gt;0,"Otros","")))</f>
        <v/>
      </c>
      <c r="X495" s="24" t="str">
        <f aca="false">IF(E495="","",COUNTIFS($E$5:$E$1000,E495,$AB$5:$AB$1000,AB495,$C$5:$C$1000,"&lt;&gt;"&amp;C495))</f>
        <v/>
      </c>
      <c r="Y495" s="33"/>
      <c r="Z495" s="31"/>
      <c r="AA495" s="33"/>
      <c r="AB495" s="37" t="str">
        <f aca="false">IF(B495="","",YEAR(B495)*100+MONTH(B495))</f>
        <v/>
      </c>
      <c r="AC495" s="37" t="str">
        <f aca="false">IF(AND(E495&lt;&gt;"",E495=Cruce!$C$5),COUNTIF($E$5:E495,E495),"")</f>
        <v/>
      </c>
      <c r="AD495" s="37" t="str">
        <f aca="false">IF(E495="","",C495&amp;"|"&amp;Y495&amp;"|"&amp;IF(B495="","s/f",TEXT(B495,"yyyymmdd")))</f>
        <v/>
      </c>
      <c r="AE495" s="37" t="n">
        <f aca="false">IF(E495="",0,IF(COUNTIFS($E$5:E495,E495,$AD$5:AD495,AD495)=1,1,0))</f>
        <v>0</v>
      </c>
    </row>
    <row r="496" customFormat="false" ht="15" hidden="false" customHeight="true" outlineLevel="0" collapsed="false">
      <c r="A496" s="31"/>
      <c r="B496" s="30"/>
      <c r="C496" s="31"/>
      <c r="D496" s="31"/>
      <c r="E496" s="32"/>
      <c r="F496" s="32"/>
      <c r="G496" s="33"/>
      <c r="H496" s="31"/>
      <c r="I496" s="24" t="str">
        <f aca="false">IF(B496="","",YEAR(B496))</f>
        <v/>
      </c>
      <c r="J496" s="34" t="str">
        <f aca="false">IF(B496="","",IF(MONTH(B496)=1,"X",""))</f>
        <v/>
      </c>
      <c r="K496" s="34" t="str">
        <f aca="false">IF(B496="","",IF(MONTH(B496)=2,"X",""))</f>
        <v/>
      </c>
      <c r="L496" s="34" t="str">
        <f aca="false">IF(B496="","",IF(MONTH(B496)=3,"X",""))</f>
        <v/>
      </c>
      <c r="M496" s="34" t="str">
        <f aca="false">IF(B496="","",IF(MONTH(B496)=4,"X",""))</f>
        <v/>
      </c>
      <c r="N496" s="34" t="str">
        <f aca="false">IF(B496="","",IF(MONTH(B496)=5,"X",""))</f>
        <v/>
      </c>
      <c r="O496" s="34" t="str">
        <f aca="false">IF(B496="","",IF(MONTH(B496)=6,"X",""))</f>
        <v/>
      </c>
      <c r="P496" s="34" t="str">
        <f aca="false">IF(B496="","",IF(MONTH(B496)=7,"X",""))</f>
        <v/>
      </c>
      <c r="Q496" s="34" t="str">
        <f aca="false">IF(B496="","",IF(MONTH(B496)=8,"X",""))</f>
        <v/>
      </c>
      <c r="R496" s="34" t="str">
        <f aca="false">IF(B496="","",IF(MONTH(B496)=9,"X",""))</f>
        <v/>
      </c>
      <c r="S496" s="34" t="str">
        <f aca="false">IF(B496="","",IF(MONTH(B496)=10,"X",""))</f>
        <v/>
      </c>
      <c r="T496" s="34" t="str">
        <f aca="false">IF(B496="","",IF(MONTH(B496)=11,"X",""))</f>
        <v/>
      </c>
      <c r="U496" s="34" t="str">
        <f aca="false">IF(B496="","",IF(MONTH(B496)=12,"X",""))</f>
        <v/>
      </c>
      <c r="V496" s="24" t="str">
        <f aca="false">IF(E496="","",COUNTIF($E$5:$E$1000,E496))</f>
        <v/>
      </c>
      <c r="W496" s="35" t="str">
        <f aca="false">IF(E496="","",_xlfn.TEXTJOIN(" + ",TRUE(),IF(COUNTIFS($E$5:$E$1000,E496,$C$5:$C$1000,"Auditoría Interna")&gt;0,"Interna",""),IF(COUNTIFS($E$5:$E$1000,E496,$C$5:$C$1000,"Auditoría Externa")&gt;0,"Externa",""),IF(COUNTIFS($E$5:$E$1000,E496,$C$5:$C$1000,"SSF")&gt;0,"SSF",""),IF(COUNTIFS($E$5:$E$1000,E496,$C$5:$C$1000,"Comité de Supervisión")&gt;0,"Comité Sup.",""),IF(COUNTIFS($E$5:$E$1000,E496,$C$5:$C$1000,"Consejo de Administración")&gt;0,"Consejo",""),IF(COUNTIFS($E$5:$E$1000,E496,$C$5:$C$1000,"Otros")&gt;0,"Otros","")))</f>
        <v/>
      </c>
      <c r="X496" s="24" t="str">
        <f aca="false">IF(E496="","",COUNTIFS($E$5:$E$1000,E496,$AB$5:$AB$1000,AB496,$C$5:$C$1000,"&lt;&gt;"&amp;C496))</f>
        <v/>
      </c>
      <c r="Y496" s="33"/>
      <c r="Z496" s="31"/>
      <c r="AA496" s="33"/>
      <c r="AB496" s="37" t="str">
        <f aca="false">IF(B496="","",YEAR(B496)*100+MONTH(B496))</f>
        <v/>
      </c>
      <c r="AC496" s="37" t="str">
        <f aca="false">IF(AND(E496&lt;&gt;"",E496=Cruce!$C$5),COUNTIF($E$5:E496,E496),"")</f>
        <v/>
      </c>
      <c r="AD496" s="37" t="str">
        <f aca="false">IF(E496="","",C496&amp;"|"&amp;Y496&amp;"|"&amp;IF(B496="","s/f",TEXT(B496,"yyyymmdd")))</f>
        <v/>
      </c>
      <c r="AE496" s="37" t="n">
        <f aca="false">IF(E496="",0,IF(COUNTIFS($E$5:E496,E496,$AD$5:AD496,AD496)=1,1,0))</f>
        <v>0</v>
      </c>
    </row>
    <row r="497" customFormat="false" ht="15" hidden="false" customHeight="true" outlineLevel="0" collapsed="false">
      <c r="A497" s="31"/>
      <c r="B497" s="30"/>
      <c r="C497" s="31"/>
      <c r="D497" s="31"/>
      <c r="E497" s="32"/>
      <c r="F497" s="32"/>
      <c r="G497" s="33"/>
      <c r="H497" s="31"/>
      <c r="I497" s="24" t="str">
        <f aca="false">IF(B497="","",YEAR(B497))</f>
        <v/>
      </c>
      <c r="J497" s="34" t="str">
        <f aca="false">IF(B497="","",IF(MONTH(B497)=1,"X",""))</f>
        <v/>
      </c>
      <c r="K497" s="34" t="str">
        <f aca="false">IF(B497="","",IF(MONTH(B497)=2,"X",""))</f>
        <v/>
      </c>
      <c r="L497" s="34" t="str">
        <f aca="false">IF(B497="","",IF(MONTH(B497)=3,"X",""))</f>
        <v/>
      </c>
      <c r="M497" s="34" t="str">
        <f aca="false">IF(B497="","",IF(MONTH(B497)=4,"X",""))</f>
        <v/>
      </c>
      <c r="N497" s="34" t="str">
        <f aca="false">IF(B497="","",IF(MONTH(B497)=5,"X",""))</f>
        <v/>
      </c>
      <c r="O497" s="34" t="str">
        <f aca="false">IF(B497="","",IF(MONTH(B497)=6,"X",""))</f>
        <v/>
      </c>
      <c r="P497" s="34" t="str">
        <f aca="false">IF(B497="","",IF(MONTH(B497)=7,"X",""))</f>
        <v/>
      </c>
      <c r="Q497" s="34" t="str">
        <f aca="false">IF(B497="","",IF(MONTH(B497)=8,"X",""))</f>
        <v/>
      </c>
      <c r="R497" s="34" t="str">
        <f aca="false">IF(B497="","",IF(MONTH(B497)=9,"X",""))</f>
        <v/>
      </c>
      <c r="S497" s="34" t="str">
        <f aca="false">IF(B497="","",IF(MONTH(B497)=10,"X",""))</f>
        <v/>
      </c>
      <c r="T497" s="34" t="str">
        <f aca="false">IF(B497="","",IF(MONTH(B497)=11,"X",""))</f>
        <v/>
      </c>
      <c r="U497" s="34" t="str">
        <f aca="false">IF(B497="","",IF(MONTH(B497)=12,"X",""))</f>
        <v/>
      </c>
      <c r="V497" s="24" t="str">
        <f aca="false">IF(E497="","",COUNTIF($E$5:$E$1000,E497))</f>
        <v/>
      </c>
      <c r="W497" s="35" t="str">
        <f aca="false">IF(E497="","",_xlfn.TEXTJOIN(" + ",TRUE(),IF(COUNTIFS($E$5:$E$1000,E497,$C$5:$C$1000,"Auditoría Interna")&gt;0,"Interna",""),IF(COUNTIFS($E$5:$E$1000,E497,$C$5:$C$1000,"Auditoría Externa")&gt;0,"Externa",""),IF(COUNTIFS($E$5:$E$1000,E497,$C$5:$C$1000,"SSF")&gt;0,"SSF",""),IF(COUNTIFS($E$5:$E$1000,E497,$C$5:$C$1000,"Comité de Supervisión")&gt;0,"Comité Sup.",""),IF(COUNTIFS($E$5:$E$1000,E497,$C$5:$C$1000,"Consejo de Administración")&gt;0,"Consejo",""),IF(COUNTIFS($E$5:$E$1000,E497,$C$5:$C$1000,"Otros")&gt;0,"Otros","")))</f>
        <v/>
      </c>
      <c r="X497" s="24" t="str">
        <f aca="false">IF(E497="","",COUNTIFS($E$5:$E$1000,E497,$AB$5:$AB$1000,AB497,$C$5:$C$1000,"&lt;&gt;"&amp;C497))</f>
        <v/>
      </c>
      <c r="Y497" s="33"/>
      <c r="Z497" s="31"/>
      <c r="AA497" s="33"/>
      <c r="AB497" s="37" t="str">
        <f aca="false">IF(B497="","",YEAR(B497)*100+MONTH(B497))</f>
        <v/>
      </c>
      <c r="AC497" s="37" t="str">
        <f aca="false">IF(AND(E497&lt;&gt;"",E497=Cruce!$C$5),COUNTIF($E$5:E497,E497),"")</f>
        <v/>
      </c>
      <c r="AD497" s="37" t="str">
        <f aca="false">IF(E497="","",C497&amp;"|"&amp;Y497&amp;"|"&amp;IF(B497="","s/f",TEXT(B497,"yyyymmdd")))</f>
        <v/>
      </c>
      <c r="AE497" s="37" t="n">
        <f aca="false">IF(E497="",0,IF(COUNTIFS($E$5:E497,E497,$AD$5:AD497,AD497)=1,1,0))</f>
        <v>0</v>
      </c>
    </row>
    <row r="498" customFormat="false" ht="15" hidden="false" customHeight="true" outlineLevel="0" collapsed="false">
      <c r="A498" s="31"/>
      <c r="B498" s="30"/>
      <c r="C498" s="31"/>
      <c r="D498" s="31"/>
      <c r="E498" s="32"/>
      <c r="F498" s="32"/>
      <c r="G498" s="33"/>
      <c r="H498" s="31"/>
      <c r="I498" s="24" t="str">
        <f aca="false">IF(B498="","",YEAR(B498))</f>
        <v/>
      </c>
      <c r="J498" s="34" t="str">
        <f aca="false">IF(B498="","",IF(MONTH(B498)=1,"X",""))</f>
        <v/>
      </c>
      <c r="K498" s="34" t="str">
        <f aca="false">IF(B498="","",IF(MONTH(B498)=2,"X",""))</f>
        <v/>
      </c>
      <c r="L498" s="34" t="str">
        <f aca="false">IF(B498="","",IF(MONTH(B498)=3,"X",""))</f>
        <v/>
      </c>
      <c r="M498" s="34" t="str">
        <f aca="false">IF(B498="","",IF(MONTH(B498)=4,"X",""))</f>
        <v/>
      </c>
      <c r="N498" s="34" t="str">
        <f aca="false">IF(B498="","",IF(MONTH(B498)=5,"X",""))</f>
        <v/>
      </c>
      <c r="O498" s="34" t="str">
        <f aca="false">IF(B498="","",IF(MONTH(B498)=6,"X",""))</f>
        <v/>
      </c>
      <c r="P498" s="34" t="str">
        <f aca="false">IF(B498="","",IF(MONTH(B498)=7,"X",""))</f>
        <v/>
      </c>
      <c r="Q498" s="34" t="str">
        <f aca="false">IF(B498="","",IF(MONTH(B498)=8,"X",""))</f>
        <v/>
      </c>
      <c r="R498" s="34" t="str">
        <f aca="false">IF(B498="","",IF(MONTH(B498)=9,"X",""))</f>
        <v/>
      </c>
      <c r="S498" s="34" t="str">
        <f aca="false">IF(B498="","",IF(MONTH(B498)=10,"X",""))</f>
        <v/>
      </c>
      <c r="T498" s="34" t="str">
        <f aca="false">IF(B498="","",IF(MONTH(B498)=11,"X",""))</f>
        <v/>
      </c>
      <c r="U498" s="34" t="str">
        <f aca="false">IF(B498="","",IF(MONTH(B498)=12,"X",""))</f>
        <v/>
      </c>
      <c r="V498" s="24" t="str">
        <f aca="false">IF(E498="","",COUNTIF($E$5:$E$1000,E498))</f>
        <v/>
      </c>
      <c r="W498" s="35" t="str">
        <f aca="false">IF(E498="","",_xlfn.TEXTJOIN(" + ",TRUE(),IF(COUNTIFS($E$5:$E$1000,E498,$C$5:$C$1000,"Auditoría Interna")&gt;0,"Interna",""),IF(COUNTIFS($E$5:$E$1000,E498,$C$5:$C$1000,"Auditoría Externa")&gt;0,"Externa",""),IF(COUNTIFS($E$5:$E$1000,E498,$C$5:$C$1000,"SSF")&gt;0,"SSF",""),IF(COUNTIFS($E$5:$E$1000,E498,$C$5:$C$1000,"Comité de Supervisión")&gt;0,"Comité Sup.",""),IF(COUNTIFS($E$5:$E$1000,E498,$C$5:$C$1000,"Consejo de Administración")&gt;0,"Consejo",""),IF(COUNTIFS($E$5:$E$1000,E498,$C$5:$C$1000,"Otros")&gt;0,"Otros","")))</f>
        <v/>
      </c>
      <c r="X498" s="24" t="str">
        <f aca="false">IF(E498="","",COUNTIFS($E$5:$E$1000,E498,$AB$5:$AB$1000,AB498,$C$5:$C$1000,"&lt;&gt;"&amp;C498))</f>
        <v/>
      </c>
      <c r="Y498" s="33"/>
      <c r="Z498" s="31"/>
      <c r="AA498" s="33"/>
      <c r="AB498" s="37" t="str">
        <f aca="false">IF(B498="","",YEAR(B498)*100+MONTH(B498))</f>
        <v/>
      </c>
      <c r="AC498" s="37" t="str">
        <f aca="false">IF(AND(E498&lt;&gt;"",E498=Cruce!$C$5),COUNTIF($E$5:E498,E498),"")</f>
        <v/>
      </c>
      <c r="AD498" s="37" t="str">
        <f aca="false">IF(E498="","",C498&amp;"|"&amp;Y498&amp;"|"&amp;IF(B498="","s/f",TEXT(B498,"yyyymmdd")))</f>
        <v/>
      </c>
      <c r="AE498" s="37" t="n">
        <f aca="false">IF(E498="",0,IF(COUNTIFS($E$5:E498,E498,$AD$5:AD498,AD498)=1,1,0))</f>
        <v>0</v>
      </c>
    </row>
    <row r="499" customFormat="false" ht="15" hidden="false" customHeight="true" outlineLevel="0" collapsed="false">
      <c r="A499" s="31"/>
      <c r="B499" s="30"/>
      <c r="C499" s="31"/>
      <c r="D499" s="31"/>
      <c r="E499" s="32"/>
      <c r="F499" s="32"/>
      <c r="G499" s="33"/>
      <c r="H499" s="31"/>
      <c r="I499" s="24" t="str">
        <f aca="false">IF(B499="","",YEAR(B499))</f>
        <v/>
      </c>
      <c r="J499" s="34" t="str">
        <f aca="false">IF(B499="","",IF(MONTH(B499)=1,"X",""))</f>
        <v/>
      </c>
      <c r="K499" s="34" t="str">
        <f aca="false">IF(B499="","",IF(MONTH(B499)=2,"X",""))</f>
        <v/>
      </c>
      <c r="L499" s="34" t="str">
        <f aca="false">IF(B499="","",IF(MONTH(B499)=3,"X",""))</f>
        <v/>
      </c>
      <c r="M499" s="34" t="str">
        <f aca="false">IF(B499="","",IF(MONTH(B499)=4,"X",""))</f>
        <v/>
      </c>
      <c r="N499" s="34" t="str">
        <f aca="false">IF(B499="","",IF(MONTH(B499)=5,"X",""))</f>
        <v/>
      </c>
      <c r="O499" s="34" t="str">
        <f aca="false">IF(B499="","",IF(MONTH(B499)=6,"X",""))</f>
        <v/>
      </c>
      <c r="P499" s="34" t="str">
        <f aca="false">IF(B499="","",IF(MONTH(B499)=7,"X",""))</f>
        <v/>
      </c>
      <c r="Q499" s="34" t="str">
        <f aca="false">IF(B499="","",IF(MONTH(B499)=8,"X",""))</f>
        <v/>
      </c>
      <c r="R499" s="34" t="str">
        <f aca="false">IF(B499="","",IF(MONTH(B499)=9,"X",""))</f>
        <v/>
      </c>
      <c r="S499" s="34" t="str">
        <f aca="false">IF(B499="","",IF(MONTH(B499)=10,"X",""))</f>
        <v/>
      </c>
      <c r="T499" s="34" t="str">
        <f aca="false">IF(B499="","",IF(MONTH(B499)=11,"X",""))</f>
        <v/>
      </c>
      <c r="U499" s="34" t="str">
        <f aca="false">IF(B499="","",IF(MONTH(B499)=12,"X",""))</f>
        <v/>
      </c>
      <c r="V499" s="24" t="str">
        <f aca="false">IF(E499="","",COUNTIF($E$5:$E$1000,E499))</f>
        <v/>
      </c>
      <c r="W499" s="35" t="str">
        <f aca="false">IF(E499="","",_xlfn.TEXTJOIN(" + ",TRUE(),IF(COUNTIFS($E$5:$E$1000,E499,$C$5:$C$1000,"Auditoría Interna")&gt;0,"Interna",""),IF(COUNTIFS($E$5:$E$1000,E499,$C$5:$C$1000,"Auditoría Externa")&gt;0,"Externa",""),IF(COUNTIFS($E$5:$E$1000,E499,$C$5:$C$1000,"SSF")&gt;0,"SSF",""),IF(COUNTIFS($E$5:$E$1000,E499,$C$5:$C$1000,"Comité de Supervisión")&gt;0,"Comité Sup.",""),IF(COUNTIFS($E$5:$E$1000,E499,$C$5:$C$1000,"Consejo de Administración")&gt;0,"Consejo",""),IF(COUNTIFS($E$5:$E$1000,E499,$C$5:$C$1000,"Otros")&gt;0,"Otros","")))</f>
        <v/>
      </c>
      <c r="X499" s="24" t="str">
        <f aca="false">IF(E499="","",COUNTIFS($E$5:$E$1000,E499,$AB$5:$AB$1000,AB499,$C$5:$C$1000,"&lt;&gt;"&amp;C499))</f>
        <v/>
      </c>
      <c r="Y499" s="33"/>
      <c r="Z499" s="31"/>
      <c r="AA499" s="33"/>
      <c r="AB499" s="37" t="str">
        <f aca="false">IF(B499="","",YEAR(B499)*100+MONTH(B499))</f>
        <v/>
      </c>
      <c r="AC499" s="37" t="str">
        <f aca="false">IF(AND(E499&lt;&gt;"",E499=Cruce!$C$5),COUNTIF($E$5:E499,E499),"")</f>
        <v/>
      </c>
      <c r="AD499" s="37" t="str">
        <f aca="false">IF(E499="","",C499&amp;"|"&amp;Y499&amp;"|"&amp;IF(B499="","s/f",TEXT(B499,"yyyymmdd")))</f>
        <v/>
      </c>
      <c r="AE499" s="37" t="n">
        <f aca="false">IF(E499="",0,IF(COUNTIFS($E$5:E499,E499,$AD$5:AD499,AD499)=1,1,0))</f>
        <v>0</v>
      </c>
    </row>
    <row r="500" customFormat="false" ht="15" hidden="false" customHeight="true" outlineLevel="0" collapsed="false">
      <c r="A500" s="31"/>
      <c r="B500" s="30"/>
      <c r="C500" s="31"/>
      <c r="D500" s="31"/>
      <c r="E500" s="32"/>
      <c r="F500" s="32"/>
      <c r="G500" s="33"/>
      <c r="H500" s="31"/>
      <c r="I500" s="24" t="str">
        <f aca="false">IF(B500="","",YEAR(B500))</f>
        <v/>
      </c>
      <c r="J500" s="34" t="str">
        <f aca="false">IF(B500="","",IF(MONTH(B500)=1,"X",""))</f>
        <v/>
      </c>
      <c r="K500" s="34" t="str">
        <f aca="false">IF(B500="","",IF(MONTH(B500)=2,"X",""))</f>
        <v/>
      </c>
      <c r="L500" s="34" t="str">
        <f aca="false">IF(B500="","",IF(MONTH(B500)=3,"X",""))</f>
        <v/>
      </c>
      <c r="M500" s="34" t="str">
        <f aca="false">IF(B500="","",IF(MONTH(B500)=4,"X",""))</f>
        <v/>
      </c>
      <c r="N500" s="34" t="str">
        <f aca="false">IF(B500="","",IF(MONTH(B500)=5,"X",""))</f>
        <v/>
      </c>
      <c r="O500" s="34" t="str">
        <f aca="false">IF(B500="","",IF(MONTH(B500)=6,"X",""))</f>
        <v/>
      </c>
      <c r="P500" s="34" t="str">
        <f aca="false">IF(B500="","",IF(MONTH(B500)=7,"X",""))</f>
        <v/>
      </c>
      <c r="Q500" s="34" t="str">
        <f aca="false">IF(B500="","",IF(MONTH(B500)=8,"X",""))</f>
        <v/>
      </c>
      <c r="R500" s="34" t="str">
        <f aca="false">IF(B500="","",IF(MONTH(B500)=9,"X",""))</f>
        <v/>
      </c>
      <c r="S500" s="34" t="str">
        <f aca="false">IF(B500="","",IF(MONTH(B500)=10,"X",""))</f>
        <v/>
      </c>
      <c r="T500" s="34" t="str">
        <f aca="false">IF(B500="","",IF(MONTH(B500)=11,"X",""))</f>
        <v/>
      </c>
      <c r="U500" s="34" t="str">
        <f aca="false">IF(B500="","",IF(MONTH(B500)=12,"X",""))</f>
        <v/>
      </c>
      <c r="V500" s="24" t="str">
        <f aca="false">IF(E500="","",COUNTIF($E$5:$E$1000,E500))</f>
        <v/>
      </c>
      <c r="W500" s="35" t="str">
        <f aca="false">IF(E500="","",_xlfn.TEXTJOIN(" + ",TRUE(),IF(COUNTIFS($E$5:$E$1000,E500,$C$5:$C$1000,"Auditoría Interna")&gt;0,"Interna",""),IF(COUNTIFS($E$5:$E$1000,E500,$C$5:$C$1000,"Auditoría Externa")&gt;0,"Externa",""),IF(COUNTIFS($E$5:$E$1000,E500,$C$5:$C$1000,"SSF")&gt;0,"SSF",""),IF(COUNTIFS($E$5:$E$1000,E500,$C$5:$C$1000,"Comité de Supervisión")&gt;0,"Comité Sup.",""),IF(COUNTIFS($E$5:$E$1000,E500,$C$5:$C$1000,"Consejo de Administración")&gt;0,"Consejo",""),IF(COUNTIFS($E$5:$E$1000,E500,$C$5:$C$1000,"Otros")&gt;0,"Otros","")))</f>
        <v/>
      </c>
      <c r="X500" s="24" t="str">
        <f aca="false">IF(E500="","",COUNTIFS($E$5:$E$1000,E500,$AB$5:$AB$1000,AB500,$C$5:$C$1000,"&lt;&gt;"&amp;C500))</f>
        <v/>
      </c>
      <c r="Y500" s="33"/>
      <c r="Z500" s="31"/>
      <c r="AA500" s="33"/>
      <c r="AB500" s="37" t="str">
        <f aca="false">IF(B500="","",YEAR(B500)*100+MONTH(B500))</f>
        <v/>
      </c>
      <c r="AC500" s="37" t="str">
        <f aca="false">IF(AND(E500&lt;&gt;"",E500=Cruce!$C$5),COUNTIF($E$5:E500,E500),"")</f>
        <v/>
      </c>
      <c r="AD500" s="37" t="str">
        <f aca="false">IF(E500="","",C500&amp;"|"&amp;Y500&amp;"|"&amp;IF(B500="","s/f",TEXT(B500,"yyyymmdd")))</f>
        <v/>
      </c>
      <c r="AE500" s="37" t="n">
        <f aca="false">IF(E500="",0,IF(COUNTIFS($E$5:E500,E500,$AD$5:AD500,AD500)=1,1,0))</f>
        <v>0</v>
      </c>
    </row>
    <row r="501" customFormat="false" ht="15" hidden="false" customHeight="true" outlineLevel="0" collapsed="false">
      <c r="A501" s="31"/>
      <c r="B501" s="30"/>
      <c r="C501" s="31"/>
      <c r="D501" s="31"/>
      <c r="E501" s="32"/>
      <c r="F501" s="32"/>
      <c r="G501" s="33"/>
      <c r="H501" s="31"/>
      <c r="I501" s="24" t="str">
        <f aca="false">IF(B501="","",YEAR(B501))</f>
        <v/>
      </c>
      <c r="J501" s="34" t="str">
        <f aca="false">IF(B501="","",IF(MONTH(B501)=1,"X",""))</f>
        <v/>
      </c>
      <c r="K501" s="34" t="str">
        <f aca="false">IF(B501="","",IF(MONTH(B501)=2,"X",""))</f>
        <v/>
      </c>
      <c r="L501" s="34" t="str">
        <f aca="false">IF(B501="","",IF(MONTH(B501)=3,"X",""))</f>
        <v/>
      </c>
      <c r="M501" s="34" t="str">
        <f aca="false">IF(B501="","",IF(MONTH(B501)=4,"X",""))</f>
        <v/>
      </c>
      <c r="N501" s="34" t="str">
        <f aca="false">IF(B501="","",IF(MONTH(B501)=5,"X",""))</f>
        <v/>
      </c>
      <c r="O501" s="34" t="str">
        <f aca="false">IF(B501="","",IF(MONTH(B501)=6,"X",""))</f>
        <v/>
      </c>
      <c r="P501" s="34" t="str">
        <f aca="false">IF(B501="","",IF(MONTH(B501)=7,"X",""))</f>
        <v/>
      </c>
      <c r="Q501" s="34" t="str">
        <f aca="false">IF(B501="","",IF(MONTH(B501)=8,"X",""))</f>
        <v/>
      </c>
      <c r="R501" s="34" t="str">
        <f aca="false">IF(B501="","",IF(MONTH(B501)=9,"X",""))</f>
        <v/>
      </c>
      <c r="S501" s="34" t="str">
        <f aca="false">IF(B501="","",IF(MONTH(B501)=10,"X",""))</f>
        <v/>
      </c>
      <c r="T501" s="34" t="str">
        <f aca="false">IF(B501="","",IF(MONTH(B501)=11,"X",""))</f>
        <v/>
      </c>
      <c r="U501" s="34" t="str">
        <f aca="false">IF(B501="","",IF(MONTH(B501)=12,"X",""))</f>
        <v/>
      </c>
      <c r="V501" s="24" t="str">
        <f aca="false">IF(E501="","",COUNTIF($E$5:$E$1000,E501))</f>
        <v/>
      </c>
      <c r="W501" s="35" t="str">
        <f aca="false">IF(E501="","",_xlfn.TEXTJOIN(" + ",TRUE(),IF(COUNTIFS($E$5:$E$1000,E501,$C$5:$C$1000,"Auditoría Interna")&gt;0,"Interna",""),IF(COUNTIFS($E$5:$E$1000,E501,$C$5:$C$1000,"Auditoría Externa")&gt;0,"Externa",""),IF(COUNTIFS($E$5:$E$1000,E501,$C$5:$C$1000,"SSF")&gt;0,"SSF",""),IF(COUNTIFS($E$5:$E$1000,E501,$C$5:$C$1000,"Comité de Supervisión")&gt;0,"Comité Sup.",""),IF(COUNTIFS($E$5:$E$1000,E501,$C$5:$C$1000,"Consejo de Administración")&gt;0,"Consejo",""),IF(COUNTIFS($E$5:$E$1000,E501,$C$5:$C$1000,"Otros")&gt;0,"Otros","")))</f>
        <v/>
      </c>
      <c r="X501" s="24" t="str">
        <f aca="false">IF(E501="","",COUNTIFS($E$5:$E$1000,E501,$AB$5:$AB$1000,AB501,$C$5:$C$1000,"&lt;&gt;"&amp;C501))</f>
        <v/>
      </c>
      <c r="Y501" s="33"/>
      <c r="Z501" s="31"/>
      <c r="AA501" s="33"/>
      <c r="AB501" s="37" t="str">
        <f aca="false">IF(B501="","",YEAR(B501)*100+MONTH(B501))</f>
        <v/>
      </c>
      <c r="AC501" s="37" t="str">
        <f aca="false">IF(AND(E501&lt;&gt;"",E501=Cruce!$C$5),COUNTIF($E$5:E501,E501),"")</f>
        <v/>
      </c>
      <c r="AD501" s="37" t="str">
        <f aca="false">IF(E501="","",C501&amp;"|"&amp;Y501&amp;"|"&amp;IF(B501="","s/f",TEXT(B501,"yyyymmdd")))</f>
        <v/>
      </c>
      <c r="AE501" s="37" t="n">
        <f aca="false">IF(E501="",0,IF(COUNTIFS($E$5:E501,E501,$AD$5:AD501,AD501)=1,1,0))</f>
        <v>0</v>
      </c>
    </row>
    <row r="502" customFormat="false" ht="15" hidden="false" customHeight="true" outlineLevel="0" collapsed="false">
      <c r="A502" s="31"/>
      <c r="B502" s="30"/>
      <c r="C502" s="31"/>
      <c r="D502" s="31"/>
      <c r="E502" s="32"/>
      <c r="F502" s="32"/>
      <c r="G502" s="33"/>
      <c r="H502" s="31"/>
      <c r="I502" s="24" t="str">
        <f aca="false">IF(B502="","",YEAR(B502))</f>
        <v/>
      </c>
      <c r="J502" s="34" t="str">
        <f aca="false">IF(B502="","",IF(MONTH(B502)=1,"X",""))</f>
        <v/>
      </c>
      <c r="K502" s="34" t="str">
        <f aca="false">IF(B502="","",IF(MONTH(B502)=2,"X",""))</f>
        <v/>
      </c>
      <c r="L502" s="34" t="str">
        <f aca="false">IF(B502="","",IF(MONTH(B502)=3,"X",""))</f>
        <v/>
      </c>
      <c r="M502" s="34" t="str">
        <f aca="false">IF(B502="","",IF(MONTH(B502)=4,"X",""))</f>
        <v/>
      </c>
      <c r="N502" s="34" t="str">
        <f aca="false">IF(B502="","",IF(MONTH(B502)=5,"X",""))</f>
        <v/>
      </c>
      <c r="O502" s="34" t="str">
        <f aca="false">IF(B502="","",IF(MONTH(B502)=6,"X",""))</f>
        <v/>
      </c>
      <c r="P502" s="34" t="str">
        <f aca="false">IF(B502="","",IF(MONTH(B502)=7,"X",""))</f>
        <v/>
      </c>
      <c r="Q502" s="34" t="str">
        <f aca="false">IF(B502="","",IF(MONTH(B502)=8,"X",""))</f>
        <v/>
      </c>
      <c r="R502" s="34" t="str">
        <f aca="false">IF(B502="","",IF(MONTH(B502)=9,"X",""))</f>
        <v/>
      </c>
      <c r="S502" s="34" t="str">
        <f aca="false">IF(B502="","",IF(MONTH(B502)=10,"X",""))</f>
        <v/>
      </c>
      <c r="T502" s="34" t="str">
        <f aca="false">IF(B502="","",IF(MONTH(B502)=11,"X",""))</f>
        <v/>
      </c>
      <c r="U502" s="34" t="str">
        <f aca="false">IF(B502="","",IF(MONTH(B502)=12,"X",""))</f>
        <v/>
      </c>
      <c r="V502" s="24" t="str">
        <f aca="false">IF(E502="","",COUNTIF($E$5:$E$1000,E502))</f>
        <v/>
      </c>
      <c r="W502" s="35" t="str">
        <f aca="false">IF(E502="","",_xlfn.TEXTJOIN(" + ",TRUE(),IF(COUNTIFS($E$5:$E$1000,E502,$C$5:$C$1000,"Auditoría Interna")&gt;0,"Interna",""),IF(COUNTIFS($E$5:$E$1000,E502,$C$5:$C$1000,"Auditoría Externa")&gt;0,"Externa",""),IF(COUNTIFS($E$5:$E$1000,E502,$C$5:$C$1000,"SSF")&gt;0,"SSF",""),IF(COUNTIFS($E$5:$E$1000,E502,$C$5:$C$1000,"Comité de Supervisión")&gt;0,"Comité Sup.",""),IF(COUNTIFS($E$5:$E$1000,E502,$C$5:$C$1000,"Consejo de Administración")&gt;0,"Consejo",""),IF(COUNTIFS($E$5:$E$1000,E502,$C$5:$C$1000,"Otros")&gt;0,"Otros","")))</f>
        <v/>
      </c>
      <c r="X502" s="24" t="str">
        <f aca="false">IF(E502="","",COUNTIFS($E$5:$E$1000,E502,$AB$5:$AB$1000,AB502,$C$5:$C$1000,"&lt;&gt;"&amp;C502))</f>
        <v/>
      </c>
      <c r="Y502" s="33"/>
      <c r="Z502" s="31"/>
      <c r="AA502" s="33"/>
      <c r="AB502" s="37" t="str">
        <f aca="false">IF(B502="","",YEAR(B502)*100+MONTH(B502))</f>
        <v/>
      </c>
      <c r="AC502" s="37" t="str">
        <f aca="false">IF(AND(E502&lt;&gt;"",E502=Cruce!$C$5),COUNTIF($E$5:E502,E502),"")</f>
        <v/>
      </c>
      <c r="AD502" s="37" t="str">
        <f aca="false">IF(E502="","",C502&amp;"|"&amp;Y502&amp;"|"&amp;IF(B502="","s/f",TEXT(B502,"yyyymmdd")))</f>
        <v/>
      </c>
      <c r="AE502" s="37" t="n">
        <f aca="false">IF(E502="",0,IF(COUNTIFS($E$5:E502,E502,$AD$5:AD502,AD502)=1,1,0))</f>
        <v>0</v>
      </c>
    </row>
    <row r="503" customFormat="false" ht="15" hidden="false" customHeight="true" outlineLevel="0" collapsed="false">
      <c r="A503" s="31"/>
      <c r="B503" s="30"/>
      <c r="C503" s="31"/>
      <c r="D503" s="31"/>
      <c r="E503" s="32"/>
      <c r="F503" s="32"/>
      <c r="G503" s="33"/>
      <c r="H503" s="31"/>
      <c r="I503" s="24" t="str">
        <f aca="false">IF(B503="","",YEAR(B503))</f>
        <v/>
      </c>
      <c r="J503" s="34" t="str">
        <f aca="false">IF(B503="","",IF(MONTH(B503)=1,"X",""))</f>
        <v/>
      </c>
      <c r="K503" s="34" t="str">
        <f aca="false">IF(B503="","",IF(MONTH(B503)=2,"X",""))</f>
        <v/>
      </c>
      <c r="L503" s="34" t="str">
        <f aca="false">IF(B503="","",IF(MONTH(B503)=3,"X",""))</f>
        <v/>
      </c>
      <c r="M503" s="34" t="str">
        <f aca="false">IF(B503="","",IF(MONTH(B503)=4,"X",""))</f>
        <v/>
      </c>
      <c r="N503" s="34" t="str">
        <f aca="false">IF(B503="","",IF(MONTH(B503)=5,"X",""))</f>
        <v/>
      </c>
      <c r="O503" s="34" t="str">
        <f aca="false">IF(B503="","",IF(MONTH(B503)=6,"X",""))</f>
        <v/>
      </c>
      <c r="P503" s="34" t="str">
        <f aca="false">IF(B503="","",IF(MONTH(B503)=7,"X",""))</f>
        <v/>
      </c>
      <c r="Q503" s="34" t="str">
        <f aca="false">IF(B503="","",IF(MONTH(B503)=8,"X",""))</f>
        <v/>
      </c>
      <c r="R503" s="34" t="str">
        <f aca="false">IF(B503="","",IF(MONTH(B503)=9,"X",""))</f>
        <v/>
      </c>
      <c r="S503" s="34" t="str">
        <f aca="false">IF(B503="","",IF(MONTH(B503)=10,"X",""))</f>
        <v/>
      </c>
      <c r="T503" s="34" t="str">
        <f aca="false">IF(B503="","",IF(MONTH(B503)=11,"X",""))</f>
        <v/>
      </c>
      <c r="U503" s="34" t="str">
        <f aca="false">IF(B503="","",IF(MONTH(B503)=12,"X",""))</f>
        <v/>
      </c>
      <c r="V503" s="24" t="str">
        <f aca="false">IF(E503="","",COUNTIF($E$5:$E$1000,E503))</f>
        <v/>
      </c>
      <c r="W503" s="35" t="str">
        <f aca="false">IF(E503="","",_xlfn.TEXTJOIN(" + ",TRUE(),IF(COUNTIFS($E$5:$E$1000,E503,$C$5:$C$1000,"Auditoría Interna")&gt;0,"Interna",""),IF(COUNTIFS($E$5:$E$1000,E503,$C$5:$C$1000,"Auditoría Externa")&gt;0,"Externa",""),IF(COUNTIFS($E$5:$E$1000,E503,$C$5:$C$1000,"SSF")&gt;0,"SSF",""),IF(COUNTIFS($E$5:$E$1000,E503,$C$5:$C$1000,"Comité de Supervisión")&gt;0,"Comité Sup.",""),IF(COUNTIFS($E$5:$E$1000,E503,$C$5:$C$1000,"Consejo de Administración")&gt;0,"Consejo",""),IF(COUNTIFS($E$5:$E$1000,E503,$C$5:$C$1000,"Otros")&gt;0,"Otros","")))</f>
        <v/>
      </c>
      <c r="X503" s="24" t="str">
        <f aca="false">IF(E503="","",COUNTIFS($E$5:$E$1000,E503,$AB$5:$AB$1000,AB503,$C$5:$C$1000,"&lt;&gt;"&amp;C503))</f>
        <v/>
      </c>
      <c r="Y503" s="33"/>
      <c r="Z503" s="31"/>
      <c r="AA503" s="33"/>
      <c r="AB503" s="37" t="str">
        <f aca="false">IF(B503="","",YEAR(B503)*100+MONTH(B503))</f>
        <v/>
      </c>
      <c r="AC503" s="37" t="str">
        <f aca="false">IF(AND(E503&lt;&gt;"",E503=Cruce!$C$5),COUNTIF($E$5:E503,E503),"")</f>
        <v/>
      </c>
      <c r="AD503" s="37" t="str">
        <f aca="false">IF(E503="","",C503&amp;"|"&amp;Y503&amp;"|"&amp;IF(B503="","s/f",TEXT(B503,"yyyymmdd")))</f>
        <v/>
      </c>
      <c r="AE503" s="37" t="n">
        <f aca="false">IF(E503="",0,IF(COUNTIFS($E$5:E503,E503,$AD$5:AD503,AD503)=1,1,0))</f>
        <v>0</v>
      </c>
    </row>
    <row r="504" customFormat="false" ht="15" hidden="false" customHeight="true" outlineLevel="0" collapsed="false">
      <c r="A504" s="31"/>
      <c r="B504" s="30"/>
      <c r="C504" s="31"/>
      <c r="D504" s="31"/>
      <c r="E504" s="32"/>
      <c r="F504" s="32"/>
      <c r="G504" s="33"/>
      <c r="H504" s="31"/>
      <c r="I504" s="24" t="str">
        <f aca="false">IF(B504="","",YEAR(B504))</f>
        <v/>
      </c>
      <c r="J504" s="34" t="str">
        <f aca="false">IF(B504="","",IF(MONTH(B504)=1,"X",""))</f>
        <v/>
      </c>
      <c r="K504" s="34" t="str">
        <f aca="false">IF(B504="","",IF(MONTH(B504)=2,"X",""))</f>
        <v/>
      </c>
      <c r="L504" s="34" t="str">
        <f aca="false">IF(B504="","",IF(MONTH(B504)=3,"X",""))</f>
        <v/>
      </c>
      <c r="M504" s="34" t="str">
        <f aca="false">IF(B504="","",IF(MONTH(B504)=4,"X",""))</f>
        <v/>
      </c>
      <c r="N504" s="34" t="str">
        <f aca="false">IF(B504="","",IF(MONTH(B504)=5,"X",""))</f>
        <v/>
      </c>
      <c r="O504" s="34" t="str">
        <f aca="false">IF(B504="","",IF(MONTH(B504)=6,"X",""))</f>
        <v/>
      </c>
      <c r="P504" s="34" t="str">
        <f aca="false">IF(B504="","",IF(MONTH(B504)=7,"X",""))</f>
        <v/>
      </c>
      <c r="Q504" s="34" t="str">
        <f aca="false">IF(B504="","",IF(MONTH(B504)=8,"X",""))</f>
        <v/>
      </c>
      <c r="R504" s="34" t="str">
        <f aca="false">IF(B504="","",IF(MONTH(B504)=9,"X",""))</f>
        <v/>
      </c>
      <c r="S504" s="34" t="str">
        <f aca="false">IF(B504="","",IF(MONTH(B504)=10,"X",""))</f>
        <v/>
      </c>
      <c r="T504" s="34" t="str">
        <f aca="false">IF(B504="","",IF(MONTH(B504)=11,"X",""))</f>
        <v/>
      </c>
      <c r="U504" s="34" t="str">
        <f aca="false">IF(B504="","",IF(MONTH(B504)=12,"X",""))</f>
        <v/>
      </c>
      <c r="V504" s="24" t="str">
        <f aca="false">IF(E504="","",COUNTIF($E$5:$E$1000,E504))</f>
        <v/>
      </c>
      <c r="W504" s="35" t="str">
        <f aca="false">IF(E504="","",_xlfn.TEXTJOIN(" + ",TRUE(),IF(COUNTIFS($E$5:$E$1000,E504,$C$5:$C$1000,"Auditoría Interna")&gt;0,"Interna",""),IF(COUNTIFS($E$5:$E$1000,E504,$C$5:$C$1000,"Auditoría Externa")&gt;0,"Externa",""),IF(COUNTIFS($E$5:$E$1000,E504,$C$5:$C$1000,"SSF")&gt;0,"SSF",""),IF(COUNTIFS($E$5:$E$1000,E504,$C$5:$C$1000,"Comité de Supervisión")&gt;0,"Comité Sup.",""),IF(COUNTIFS($E$5:$E$1000,E504,$C$5:$C$1000,"Consejo de Administración")&gt;0,"Consejo",""),IF(COUNTIFS($E$5:$E$1000,E504,$C$5:$C$1000,"Otros")&gt;0,"Otros","")))</f>
        <v/>
      </c>
      <c r="X504" s="24" t="str">
        <f aca="false">IF(E504="","",COUNTIFS($E$5:$E$1000,E504,$AB$5:$AB$1000,AB504,$C$5:$C$1000,"&lt;&gt;"&amp;C504))</f>
        <v/>
      </c>
      <c r="Y504" s="33"/>
      <c r="Z504" s="31"/>
      <c r="AA504" s="33"/>
      <c r="AB504" s="37" t="str">
        <f aca="false">IF(B504="","",YEAR(B504)*100+MONTH(B504))</f>
        <v/>
      </c>
      <c r="AC504" s="37" t="str">
        <f aca="false">IF(AND(E504&lt;&gt;"",E504=Cruce!$C$5),COUNTIF($E$5:E504,E504),"")</f>
        <v/>
      </c>
      <c r="AD504" s="37" t="str">
        <f aca="false">IF(E504="","",C504&amp;"|"&amp;Y504&amp;"|"&amp;IF(B504="","s/f",TEXT(B504,"yyyymmdd")))</f>
        <v/>
      </c>
      <c r="AE504" s="37" t="n">
        <f aca="false">IF(E504="",0,IF(COUNTIFS($E$5:E504,E504,$AD$5:AD504,AD504)=1,1,0))</f>
        <v>0</v>
      </c>
    </row>
    <row r="505" customFormat="false" ht="15" hidden="false" customHeight="true" outlineLevel="0" collapsed="false">
      <c r="A505" s="31"/>
      <c r="B505" s="30"/>
      <c r="C505" s="31"/>
      <c r="D505" s="31"/>
      <c r="E505" s="32"/>
      <c r="F505" s="32"/>
      <c r="G505" s="33"/>
      <c r="H505" s="31"/>
      <c r="I505" s="24" t="str">
        <f aca="false">IF(B505="","",YEAR(B505))</f>
        <v/>
      </c>
      <c r="J505" s="34" t="str">
        <f aca="false">IF(B505="","",IF(MONTH(B505)=1,"X",""))</f>
        <v/>
      </c>
      <c r="K505" s="34" t="str">
        <f aca="false">IF(B505="","",IF(MONTH(B505)=2,"X",""))</f>
        <v/>
      </c>
      <c r="L505" s="34" t="str">
        <f aca="false">IF(B505="","",IF(MONTH(B505)=3,"X",""))</f>
        <v/>
      </c>
      <c r="M505" s="34" t="str">
        <f aca="false">IF(B505="","",IF(MONTH(B505)=4,"X",""))</f>
        <v/>
      </c>
      <c r="N505" s="34" t="str">
        <f aca="false">IF(B505="","",IF(MONTH(B505)=5,"X",""))</f>
        <v/>
      </c>
      <c r="O505" s="34" t="str">
        <f aca="false">IF(B505="","",IF(MONTH(B505)=6,"X",""))</f>
        <v/>
      </c>
      <c r="P505" s="34" t="str">
        <f aca="false">IF(B505="","",IF(MONTH(B505)=7,"X",""))</f>
        <v/>
      </c>
      <c r="Q505" s="34" t="str">
        <f aca="false">IF(B505="","",IF(MONTH(B505)=8,"X",""))</f>
        <v/>
      </c>
      <c r="R505" s="34" t="str">
        <f aca="false">IF(B505="","",IF(MONTH(B505)=9,"X",""))</f>
        <v/>
      </c>
      <c r="S505" s="34" t="str">
        <f aca="false">IF(B505="","",IF(MONTH(B505)=10,"X",""))</f>
        <v/>
      </c>
      <c r="T505" s="34" t="str">
        <f aca="false">IF(B505="","",IF(MONTH(B505)=11,"X",""))</f>
        <v/>
      </c>
      <c r="U505" s="34" t="str">
        <f aca="false">IF(B505="","",IF(MONTH(B505)=12,"X",""))</f>
        <v/>
      </c>
      <c r="V505" s="24" t="str">
        <f aca="false">IF(E505="","",COUNTIF($E$5:$E$1000,E505))</f>
        <v/>
      </c>
      <c r="W505" s="35" t="str">
        <f aca="false">IF(E505="","",_xlfn.TEXTJOIN(" + ",TRUE(),IF(COUNTIFS($E$5:$E$1000,E505,$C$5:$C$1000,"Auditoría Interna")&gt;0,"Interna",""),IF(COUNTIFS($E$5:$E$1000,E505,$C$5:$C$1000,"Auditoría Externa")&gt;0,"Externa",""),IF(COUNTIFS($E$5:$E$1000,E505,$C$5:$C$1000,"SSF")&gt;0,"SSF",""),IF(COUNTIFS($E$5:$E$1000,E505,$C$5:$C$1000,"Comité de Supervisión")&gt;0,"Comité Sup.",""),IF(COUNTIFS($E$5:$E$1000,E505,$C$5:$C$1000,"Consejo de Administración")&gt;0,"Consejo",""),IF(COUNTIFS($E$5:$E$1000,E505,$C$5:$C$1000,"Otros")&gt;0,"Otros","")))</f>
        <v/>
      </c>
      <c r="X505" s="24" t="str">
        <f aca="false">IF(E505="","",COUNTIFS($E$5:$E$1000,E505,$AB$5:$AB$1000,AB505,$C$5:$C$1000,"&lt;&gt;"&amp;C505))</f>
        <v/>
      </c>
      <c r="Y505" s="33"/>
      <c r="Z505" s="31"/>
      <c r="AA505" s="33"/>
      <c r="AB505" s="37" t="str">
        <f aca="false">IF(B505="","",YEAR(B505)*100+MONTH(B505))</f>
        <v/>
      </c>
      <c r="AC505" s="37" t="str">
        <f aca="false">IF(AND(E505&lt;&gt;"",E505=Cruce!$C$5),COUNTIF($E$5:E505,E505),"")</f>
        <v/>
      </c>
      <c r="AD505" s="37" t="str">
        <f aca="false">IF(E505="","",C505&amp;"|"&amp;Y505&amp;"|"&amp;IF(B505="","s/f",TEXT(B505,"yyyymmdd")))</f>
        <v/>
      </c>
      <c r="AE505" s="37" t="n">
        <f aca="false">IF(E505="",0,IF(COUNTIFS($E$5:E505,E505,$AD$5:AD505,AD505)=1,1,0))</f>
        <v>0</v>
      </c>
    </row>
    <row r="506" customFormat="false" ht="15" hidden="false" customHeight="true" outlineLevel="0" collapsed="false">
      <c r="A506" s="31"/>
      <c r="B506" s="30"/>
      <c r="C506" s="31"/>
      <c r="D506" s="31"/>
      <c r="E506" s="32"/>
      <c r="F506" s="32"/>
      <c r="G506" s="33"/>
      <c r="H506" s="31"/>
      <c r="I506" s="24" t="str">
        <f aca="false">IF(B506="","",YEAR(B506))</f>
        <v/>
      </c>
      <c r="J506" s="34" t="str">
        <f aca="false">IF(B506="","",IF(MONTH(B506)=1,"X",""))</f>
        <v/>
      </c>
      <c r="K506" s="34" t="str">
        <f aca="false">IF(B506="","",IF(MONTH(B506)=2,"X",""))</f>
        <v/>
      </c>
      <c r="L506" s="34" t="str">
        <f aca="false">IF(B506="","",IF(MONTH(B506)=3,"X",""))</f>
        <v/>
      </c>
      <c r="M506" s="34" t="str">
        <f aca="false">IF(B506="","",IF(MONTH(B506)=4,"X",""))</f>
        <v/>
      </c>
      <c r="N506" s="34" t="str">
        <f aca="false">IF(B506="","",IF(MONTH(B506)=5,"X",""))</f>
        <v/>
      </c>
      <c r="O506" s="34" t="str">
        <f aca="false">IF(B506="","",IF(MONTH(B506)=6,"X",""))</f>
        <v/>
      </c>
      <c r="P506" s="34" t="str">
        <f aca="false">IF(B506="","",IF(MONTH(B506)=7,"X",""))</f>
        <v/>
      </c>
      <c r="Q506" s="34" t="str">
        <f aca="false">IF(B506="","",IF(MONTH(B506)=8,"X",""))</f>
        <v/>
      </c>
      <c r="R506" s="34" t="str">
        <f aca="false">IF(B506="","",IF(MONTH(B506)=9,"X",""))</f>
        <v/>
      </c>
      <c r="S506" s="34" t="str">
        <f aca="false">IF(B506="","",IF(MONTH(B506)=10,"X",""))</f>
        <v/>
      </c>
      <c r="T506" s="34" t="str">
        <f aca="false">IF(B506="","",IF(MONTH(B506)=11,"X",""))</f>
        <v/>
      </c>
      <c r="U506" s="34" t="str">
        <f aca="false">IF(B506="","",IF(MONTH(B506)=12,"X",""))</f>
        <v/>
      </c>
      <c r="V506" s="24" t="str">
        <f aca="false">IF(E506="","",COUNTIF($E$5:$E$1000,E506))</f>
        <v/>
      </c>
      <c r="W506" s="35" t="str">
        <f aca="false">IF(E506="","",_xlfn.TEXTJOIN(" + ",TRUE(),IF(COUNTIFS($E$5:$E$1000,E506,$C$5:$C$1000,"Auditoría Interna")&gt;0,"Interna",""),IF(COUNTIFS($E$5:$E$1000,E506,$C$5:$C$1000,"Auditoría Externa")&gt;0,"Externa",""),IF(COUNTIFS($E$5:$E$1000,E506,$C$5:$C$1000,"SSF")&gt;0,"SSF",""),IF(COUNTIFS($E$5:$E$1000,E506,$C$5:$C$1000,"Comité de Supervisión")&gt;0,"Comité Sup.",""),IF(COUNTIFS($E$5:$E$1000,E506,$C$5:$C$1000,"Consejo de Administración")&gt;0,"Consejo",""),IF(COUNTIFS($E$5:$E$1000,E506,$C$5:$C$1000,"Otros")&gt;0,"Otros","")))</f>
        <v/>
      </c>
      <c r="X506" s="24" t="str">
        <f aca="false">IF(E506="","",COUNTIFS($E$5:$E$1000,E506,$AB$5:$AB$1000,AB506,$C$5:$C$1000,"&lt;&gt;"&amp;C506))</f>
        <v/>
      </c>
      <c r="Y506" s="33"/>
      <c r="Z506" s="31"/>
      <c r="AA506" s="33"/>
      <c r="AB506" s="37" t="str">
        <f aca="false">IF(B506="","",YEAR(B506)*100+MONTH(B506))</f>
        <v/>
      </c>
      <c r="AC506" s="37" t="str">
        <f aca="false">IF(AND(E506&lt;&gt;"",E506=Cruce!$C$5),COUNTIF($E$5:E506,E506),"")</f>
        <v/>
      </c>
      <c r="AD506" s="37" t="str">
        <f aca="false">IF(E506="","",C506&amp;"|"&amp;Y506&amp;"|"&amp;IF(B506="","s/f",TEXT(B506,"yyyymmdd")))</f>
        <v/>
      </c>
      <c r="AE506" s="37" t="n">
        <f aca="false">IF(E506="",0,IF(COUNTIFS($E$5:E506,E506,$AD$5:AD506,AD506)=1,1,0))</f>
        <v>0</v>
      </c>
    </row>
    <row r="507" customFormat="false" ht="15" hidden="false" customHeight="true" outlineLevel="0" collapsed="false">
      <c r="A507" s="31"/>
      <c r="B507" s="30"/>
      <c r="C507" s="31"/>
      <c r="D507" s="31"/>
      <c r="E507" s="32"/>
      <c r="F507" s="32"/>
      <c r="G507" s="33"/>
      <c r="H507" s="31"/>
      <c r="I507" s="24" t="str">
        <f aca="false">IF(B507="","",YEAR(B507))</f>
        <v/>
      </c>
      <c r="J507" s="34" t="str">
        <f aca="false">IF(B507="","",IF(MONTH(B507)=1,"X",""))</f>
        <v/>
      </c>
      <c r="K507" s="34" t="str">
        <f aca="false">IF(B507="","",IF(MONTH(B507)=2,"X",""))</f>
        <v/>
      </c>
      <c r="L507" s="34" t="str">
        <f aca="false">IF(B507="","",IF(MONTH(B507)=3,"X",""))</f>
        <v/>
      </c>
      <c r="M507" s="34" t="str">
        <f aca="false">IF(B507="","",IF(MONTH(B507)=4,"X",""))</f>
        <v/>
      </c>
      <c r="N507" s="34" t="str">
        <f aca="false">IF(B507="","",IF(MONTH(B507)=5,"X",""))</f>
        <v/>
      </c>
      <c r="O507" s="34" t="str">
        <f aca="false">IF(B507="","",IF(MONTH(B507)=6,"X",""))</f>
        <v/>
      </c>
      <c r="P507" s="34" t="str">
        <f aca="false">IF(B507="","",IF(MONTH(B507)=7,"X",""))</f>
        <v/>
      </c>
      <c r="Q507" s="34" t="str">
        <f aca="false">IF(B507="","",IF(MONTH(B507)=8,"X",""))</f>
        <v/>
      </c>
      <c r="R507" s="34" t="str">
        <f aca="false">IF(B507="","",IF(MONTH(B507)=9,"X",""))</f>
        <v/>
      </c>
      <c r="S507" s="34" t="str">
        <f aca="false">IF(B507="","",IF(MONTH(B507)=10,"X",""))</f>
        <v/>
      </c>
      <c r="T507" s="34" t="str">
        <f aca="false">IF(B507="","",IF(MONTH(B507)=11,"X",""))</f>
        <v/>
      </c>
      <c r="U507" s="34" t="str">
        <f aca="false">IF(B507="","",IF(MONTH(B507)=12,"X",""))</f>
        <v/>
      </c>
      <c r="V507" s="24" t="str">
        <f aca="false">IF(E507="","",COUNTIF($E$5:$E$1000,E507))</f>
        <v/>
      </c>
      <c r="W507" s="35" t="str">
        <f aca="false">IF(E507="","",_xlfn.TEXTJOIN(" + ",TRUE(),IF(COUNTIFS($E$5:$E$1000,E507,$C$5:$C$1000,"Auditoría Interna")&gt;0,"Interna",""),IF(COUNTIFS($E$5:$E$1000,E507,$C$5:$C$1000,"Auditoría Externa")&gt;0,"Externa",""),IF(COUNTIFS($E$5:$E$1000,E507,$C$5:$C$1000,"SSF")&gt;0,"SSF",""),IF(COUNTIFS($E$5:$E$1000,E507,$C$5:$C$1000,"Comité de Supervisión")&gt;0,"Comité Sup.",""),IF(COUNTIFS($E$5:$E$1000,E507,$C$5:$C$1000,"Consejo de Administración")&gt;0,"Consejo",""),IF(COUNTIFS($E$5:$E$1000,E507,$C$5:$C$1000,"Otros")&gt;0,"Otros","")))</f>
        <v/>
      </c>
      <c r="X507" s="24" t="str">
        <f aca="false">IF(E507="","",COUNTIFS($E$5:$E$1000,E507,$AB$5:$AB$1000,AB507,$C$5:$C$1000,"&lt;&gt;"&amp;C507))</f>
        <v/>
      </c>
      <c r="Y507" s="33"/>
      <c r="Z507" s="31"/>
      <c r="AA507" s="33"/>
      <c r="AB507" s="37" t="str">
        <f aca="false">IF(B507="","",YEAR(B507)*100+MONTH(B507))</f>
        <v/>
      </c>
      <c r="AC507" s="37" t="str">
        <f aca="false">IF(AND(E507&lt;&gt;"",E507=Cruce!$C$5),COUNTIF($E$5:E507,E507),"")</f>
        <v/>
      </c>
      <c r="AD507" s="37" t="str">
        <f aca="false">IF(E507="","",C507&amp;"|"&amp;Y507&amp;"|"&amp;IF(B507="","s/f",TEXT(B507,"yyyymmdd")))</f>
        <v/>
      </c>
      <c r="AE507" s="37" t="n">
        <f aca="false">IF(E507="",0,IF(COUNTIFS($E$5:E507,E507,$AD$5:AD507,AD507)=1,1,0))</f>
        <v>0</v>
      </c>
    </row>
    <row r="508" customFormat="false" ht="15" hidden="false" customHeight="true" outlineLevel="0" collapsed="false">
      <c r="A508" s="31"/>
      <c r="B508" s="30"/>
      <c r="C508" s="31"/>
      <c r="D508" s="31"/>
      <c r="E508" s="32"/>
      <c r="F508" s="32"/>
      <c r="G508" s="33"/>
      <c r="H508" s="31"/>
      <c r="I508" s="24" t="str">
        <f aca="false">IF(B508="","",YEAR(B508))</f>
        <v/>
      </c>
      <c r="J508" s="34" t="str">
        <f aca="false">IF(B508="","",IF(MONTH(B508)=1,"X",""))</f>
        <v/>
      </c>
      <c r="K508" s="34" t="str">
        <f aca="false">IF(B508="","",IF(MONTH(B508)=2,"X",""))</f>
        <v/>
      </c>
      <c r="L508" s="34" t="str">
        <f aca="false">IF(B508="","",IF(MONTH(B508)=3,"X",""))</f>
        <v/>
      </c>
      <c r="M508" s="34" t="str">
        <f aca="false">IF(B508="","",IF(MONTH(B508)=4,"X",""))</f>
        <v/>
      </c>
      <c r="N508" s="34" t="str">
        <f aca="false">IF(B508="","",IF(MONTH(B508)=5,"X",""))</f>
        <v/>
      </c>
      <c r="O508" s="34" t="str">
        <f aca="false">IF(B508="","",IF(MONTH(B508)=6,"X",""))</f>
        <v/>
      </c>
      <c r="P508" s="34" t="str">
        <f aca="false">IF(B508="","",IF(MONTH(B508)=7,"X",""))</f>
        <v/>
      </c>
      <c r="Q508" s="34" t="str">
        <f aca="false">IF(B508="","",IF(MONTH(B508)=8,"X",""))</f>
        <v/>
      </c>
      <c r="R508" s="34" t="str">
        <f aca="false">IF(B508="","",IF(MONTH(B508)=9,"X",""))</f>
        <v/>
      </c>
      <c r="S508" s="34" t="str">
        <f aca="false">IF(B508="","",IF(MONTH(B508)=10,"X",""))</f>
        <v/>
      </c>
      <c r="T508" s="34" t="str">
        <f aca="false">IF(B508="","",IF(MONTH(B508)=11,"X",""))</f>
        <v/>
      </c>
      <c r="U508" s="34" t="str">
        <f aca="false">IF(B508="","",IF(MONTH(B508)=12,"X",""))</f>
        <v/>
      </c>
      <c r="V508" s="24" t="str">
        <f aca="false">IF(E508="","",COUNTIF($E$5:$E$1000,E508))</f>
        <v/>
      </c>
      <c r="W508" s="35" t="str">
        <f aca="false">IF(E508="","",_xlfn.TEXTJOIN(" + ",TRUE(),IF(COUNTIFS($E$5:$E$1000,E508,$C$5:$C$1000,"Auditoría Interna")&gt;0,"Interna",""),IF(COUNTIFS($E$5:$E$1000,E508,$C$5:$C$1000,"Auditoría Externa")&gt;0,"Externa",""),IF(COUNTIFS($E$5:$E$1000,E508,$C$5:$C$1000,"SSF")&gt;0,"SSF",""),IF(COUNTIFS($E$5:$E$1000,E508,$C$5:$C$1000,"Comité de Supervisión")&gt;0,"Comité Sup.",""),IF(COUNTIFS($E$5:$E$1000,E508,$C$5:$C$1000,"Consejo de Administración")&gt;0,"Consejo",""),IF(COUNTIFS($E$5:$E$1000,E508,$C$5:$C$1000,"Otros")&gt;0,"Otros","")))</f>
        <v/>
      </c>
      <c r="X508" s="24" t="str">
        <f aca="false">IF(E508="","",COUNTIFS($E$5:$E$1000,E508,$AB$5:$AB$1000,AB508,$C$5:$C$1000,"&lt;&gt;"&amp;C508))</f>
        <v/>
      </c>
      <c r="Y508" s="33"/>
      <c r="Z508" s="31"/>
      <c r="AA508" s="33"/>
      <c r="AB508" s="37" t="str">
        <f aca="false">IF(B508="","",YEAR(B508)*100+MONTH(B508))</f>
        <v/>
      </c>
      <c r="AC508" s="37" t="str">
        <f aca="false">IF(AND(E508&lt;&gt;"",E508=Cruce!$C$5),COUNTIF($E$5:E508,E508),"")</f>
        <v/>
      </c>
      <c r="AD508" s="37" t="str">
        <f aca="false">IF(E508="","",C508&amp;"|"&amp;Y508&amp;"|"&amp;IF(B508="","s/f",TEXT(B508,"yyyymmdd")))</f>
        <v/>
      </c>
      <c r="AE508" s="37" t="n">
        <f aca="false">IF(E508="",0,IF(COUNTIFS($E$5:E508,E508,$AD$5:AD508,AD508)=1,1,0))</f>
        <v>0</v>
      </c>
    </row>
    <row r="509" customFormat="false" ht="15" hidden="false" customHeight="true" outlineLevel="0" collapsed="false">
      <c r="A509" s="31"/>
      <c r="B509" s="30"/>
      <c r="C509" s="31"/>
      <c r="D509" s="31"/>
      <c r="E509" s="32"/>
      <c r="F509" s="32"/>
      <c r="G509" s="33"/>
      <c r="H509" s="31"/>
      <c r="I509" s="24" t="str">
        <f aca="false">IF(B509="","",YEAR(B509))</f>
        <v/>
      </c>
      <c r="J509" s="34" t="str">
        <f aca="false">IF(B509="","",IF(MONTH(B509)=1,"X",""))</f>
        <v/>
      </c>
      <c r="K509" s="34" t="str">
        <f aca="false">IF(B509="","",IF(MONTH(B509)=2,"X",""))</f>
        <v/>
      </c>
      <c r="L509" s="34" t="str">
        <f aca="false">IF(B509="","",IF(MONTH(B509)=3,"X",""))</f>
        <v/>
      </c>
      <c r="M509" s="34" t="str">
        <f aca="false">IF(B509="","",IF(MONTH(B509)=4,"X",""))</f>
        <v/>
      </c>
      <c r="N509" s="34" t="str">
        <f aca="false">IF(B509="","",IF(MONTH(B509)=5,"X",""))</f>
        <v/>
      </c>
      <c r="O509" s="34" t="str">
        <f aca="false">IF(B509="","",IF(MONTH(B509)=6,"X",""))</f>
        <v/>
      </c>
      <c r="P509" s="34" t="str">
        <f aca="false">IF(B509="","",IF(MONTH(B509)=7,"X",""))</f>
        <v/>
      </c>
      <c r="Q509" s="34" t="str">
        <f aca="false">IF(B509="","",IF(MONTH(B509)=8,"X",""))</f>
        <v/>
      </c>
      <c r="R509" s="34" t="str">
        <f aca="false">IF(B509="","",IF(MONTH(B509)=9,"X",""))</f>
        <v/>
      </c>
      <c r="S509" s="34" t="str">
        <f aca="false">IF(B509="","",IF(MONTH(B509)=10,"X",""))</f>
        <v/>
      </c>
      <c r="T509" s="34" t="str">
        <f aca="false">IF(B509="","",IF(MONTH(B509)=11,"X",""))</f>
        <v/>
      </c>
      <c r="U509" s="34" t="str">
        <f aca="false">IF(B509="","",IF(MONTH(B509)=12,"X",""))</f>
        <v/>
      </c>
      <c r="V509" s="24" t="str">
        <f aca="false">IF(E509="","",COUNTIF($E$5:$E$1000,E509))</f>
        <v/>
      </c>
      <c r="W509" s="35" t="str">
        <f aca="false">IF(E509="","",_xlfn.TEXTJOIN(" + ",TRUE(),IF(COUNTIFS($E$5:$E$1000,E509,$C$5:$C$1000,"Auditoría Interna")&gt;0,"Interna",""),IF(COUNTIFS($E$5:$E$1000,E509,$C$5:$C$1000,"Auditoría Externa")&gt;0,"Externa",""),IF(COUNTIFS($E$5:$E$1000,E509,$C$5:$C$1000,"SSF")&gt;0,"SSF",""),IF(COUNTIFS($E$5:$E$1000,E509,$C$5:$C$1000,"Comité de Supervisión")&gt;0,"Comité Sup.",""),IF(COUNTIFS($E$5:$E$1000,E509,$C$5:$C$1000,"Consejo de Administración")&gt;0,"Consejo",""),IF(COUNTIFS($E$5:$E$1000,E509,$C$5:$C$1000,"Otros")&gt;0,"Otros","")))</f>
        <v/>
      </c>
      <c r="X509" s="24" t="str">
        <f aca="false">IF(E509="","",COUNTIFS($E$5:$E$1000,E509,$AB$5:$AB$1000,AB509,$C$5:$C$1000,"&lt;&gt;"&amp;C509))</f>
        <v/>
      </c>
      <c r="Y509" s="33"/>
      <c r="Z509" s="31"/>
      <c r="AA509" s="33"/>
      <c r="AB509" s="37" t="str">
        <f aca="false">IF(B509="","",YEAR(B509)*100+MONTH(B509))</f>
        <v/>
      </c>
      <c r="AC509" s="37" t="str">
        <f aca="false">IF(AND(E509&lt;&gt;"",E509=Cruce!$C$5),COUNTIF($E$5:E509,E509),"")</f>
        <v/>
      </c>
      <c r="AD509" s="37" t="str">
        <f aca="false">IF(E509="","",C509&amp;"|"&amp;Y509&amp;"|"&amp;IF(B509="","s/f",TEXT(B509,"yyyymmdd")))</f>
        <v/>
      </c>
      <c r="AE509" s="37" t="n">
        <f aca="false">IF(E509="",0,IF(COUNTIFS($E$5:E509,E509,$AD$5:AD509,AD509)=1,1,0))</f>
        <v>0</v>
      </c>
    </row>
    <row r="510" customFormat="false" ht="15" hidden="false" customHeight="true" outlineLevel="0" collapsed="false">
      <c r="A510" s="31"/>
      <c r="B510" s="30"/>
      <c r="C510" s="31"/>
      <c r="D510" s="31"/>
      <c r="E510" s="32"/>
      <c r="F510" s="32"/>
      <c r="G510" s="33"/>
      <c r="H510" s="31"/>
      <c r="I510" s="24" t="str">
        <f aca="false">IF(B510="","",YEAR(B510))</f>
        <v/>
      </c>
      <c r="J510" s="34" t="str">
        <f aca="false">IF(B510="","",IF(MONTH(B510)=1,"X",""))</f>
        <v/>
      </c>
      <c r="K510" s="34" t="str">
        <f aca="false">IF(B510="","",IF(MONTH(B510)=2,"X",""))</f>
        <v/>
      </c>
      <c r="L510" s="34" t="str">
        <f aca="false">IF(B510="","",IF(MONTH(B510)=3,"X",""))</f>
        <v/>
      </c>
      <c r="M510" s="34" t="str">
        <f aca="false">IF(B510="","",IF(MONTH(B510)=4,"X",""))</f>
        <v/>
      </c>
      <c r="N510" s="34" t="str">
        <f aca="false">IF(B510="","",IF(MONTH(B510)=5,"X",""))</f>
        <v/>
      </c>
      <c r="O510" s="34" t="str">
        <f aca="false">IF(B510="","",IF(MONTH(B510)=6,"X",""))</f>
        <v/>
      </c>
      <c r="P510" s="34" t="str">
        <f aca="false">IF(B510="","",IF(MONTH(B510)=7,"X",""))</f>
        <v/>
      </c>
      <c r="Q510" s="34" t="str">
        <f aca="false">IF(B510="","",IF(MONTH(B510)=8,"X",""))</f>
        <v/>
      </c>
      <c r="R510" s="34" t="str">
        <f aca="false">IF(B510="","",IF(MONTH(B510)=9,"X",""))</f>
        <v/>
      </c>
      <c r="S510" s="34" t="str">
        <f aca="false">IF(B510="","",IF(MONTH(B510)=10,"X",""))</f>
        <v/>
      </c>
      <c r="T510" s="34" t="str">
        <f aca="false">IF(B510="","",IF(MONTH(B510)=11,"X",""))</f>
        <v/>
      </c>
      <c r="U510" s="34" t="str">
        <f aca="false">IF(B510="","",IF(MONTH(B510)=12,"X",""))</f>
        <v/>
      </c>
      <c r="V510" s="24" t="str">
        <f aca="false">IF(E510="","",COUNTIF($E$5:$E$1000,E510))</f>
        <v/>
      </c>
      <c r="W510" s="35" t="str">
        <f aca="false">IF(E510="","",_xlfn.TEXTJOIN(" + ",TRUE(),IF(COUNTIFS($E$5:$E$1000,E510,$C$5:$C$1000,"Auditoría Interna")&gt;0,"Interna",""),IF(COUNTIFS($E$5:$E$1000,E510,$C$5:$C$1000,"Auditoría Externa")&gt;0,"Externa",""),IF(COUNTIFS($E$5:$E$1000,E510,$C$5:$C$1000,"SSF")&gt;0,"SSF",""),IF(COUNTIFS($E$5:$E$1000,E510,$C$5:$C$1000,"Comité de Supervisión")&gt;0,"Comité Sup.",""),IF(COUNTIFS($E$5:$E$1000,E510,$C$5:$C$1000,"Consejo de Administración")&gt;0,"Consejo",""),IF(COUNTIFS($E$5:$E$1000,E510,$C$5:$C$1000,"Otros")&gt;0,"Otros","")))</f>
        <v/>
      </c>
      <c r="X510" s="24" t="str">
        <f aca="false">IF(E510="","",COUNTIFS($E$5:$E$1000,E510,$AB$5:$AB$1000,AB510,$C$5:$C$1000,"&lt;&gt;"&amp;C510))</f>
        <v/>
      </c>
      <c r="Y510" s="33"/>
      <c r="Z510" s="31"/>
      <c r="AA510" s="33"/>
      <c r="AB510" s="37" t="str">
        <f aca="false">IF(B510="","",YEAR(B510)*100+MONTH(B510))</f>
        <v/>
      </c>
      <c r="AC510" s="37" t="str">
        <f aca="false">IF(AND(E510&lt;&gt;"",E510=Cruce!$C$5),COUNTIF($E$5:E510,E510),"")</f>
        <v/>
      </c>
      <c r="AD510" s="37" t="str">
        <f aca="false">IF(E510="","",C510&amp;"|"&amp;Y510&amp;"|"&amp;IF(B510="","s/f",TEXT(B510,"yyyymmdd")))</f>
        <v/>
      </c>
      <c r="AE510" s="37" t="n">
        <f aca="false">IF(E510="",0,IF(COUNTIFS($E$5:E510,E510,$AD$5:AD510,AD510)=1,1,0))</f>
        <v>0</v>
      </c>
    </row>
    <row r="511" customFormat="false" ht="15" hidden="false" customHeight="true" outlineLevel="0" collapsed="false">
      <c r="A511" s="31"/>
      <c r="B511" s="30"/>
      <c r="C511" s="31"/>
      <c r="D511" s="31"/>
      <c r="E511" s="32"/>
      <c r="F511" s="32"/>
      <c r="G511" s="33"/>
      <c r="H511" s="31"/>
      <c r="I511" s="24" t="str">
        <f aca="false">IF(B511="","",YEAR(B511))</f>
        <v/>
      </c>
      <c r="J511" s="34" t="str">
        <f aca="false">IF(B511="","",IF(MONTH(B511)=1,"X",""))</f>
        <v/>
      </c>
      <c r="K511" s="34" t="str">
        <f aca="false">IF(B511="","",IF(MONTH(B511)=2,"X",""))</f>
        <v/>
      </c>
      <c r="L511" s="34" t="str">
        <f aca="false">IF(B511="","",IF(MONTH(B511)=3,"X",""))</f>
        <v/>
      </c>
      <c r="M511" s="34" t="str">
        <f aca="false">IF(B511="","",IF(MONTH(B511)=4,"X",""))</f>
        <v/>
      </c>
      <c r="N511" s="34" t="str">
        <f aca="false">IF(B511="","",IF(MONTH(B511)=5,"X",""))</f>
        <v/>
      </c>
      <c r="O511" s="34" t="str">
        <f aca="false">IF(B511="","",IF(MONTH(B511)=6,"X",""))</f>
        <v/>
      </c>
      <c r="P511" s="34" t="str">
        <f aca="false">IF(B511="","",IF(MONTH(B511)=7,"X",""))</f>
        <v/>
      </c>
      <c r="Q511" s="34" t="str">
        <f aca="false">IF(B511="","",IF(MONTH(B511)=8,"X",""))</f>
        <v/>
      </c>
      <c r="R511" s="34" t="str">
        <f aca="false">IF(B511="","",IF(MONTH(B511)=9,"X",""))</f>
        <v/>
      </c>
      <c r="S511" s="34" t="str">
        <f aca="false">IF(B511="","",IF(MONTH(B511)=10,"X",""))</f>
        <v/>
      </c>
      <c r="T511" s="34" t="str">
        <f aca="false">IF(B511="","",IF(MONTH(B511)=11,"X",""))</f>
        <v/>
      </c>
      <c r="U511" s="34" t="str">
        <f aca="false">IF(B511="","",IF(MONTH(B511)=12,"X",""))</f>
        <v/>
      </c>
      <c r="V511" s="24" t="str">
        <f aca="false">IF(E511="","",COUNTIF($E$5:$E$1000,E511))</f>
        <v/>
      </c>
      <c r="W511" s="35" t="str">
        <f aca="false">IF(E511="","",_xlfn.TEXTJOIN(" + ",TRUE(),IF(COUNTIFS($E$5:$E$1000,E511,$C$5:$C$1000,"Auditoría Interna")&gt;0,"Interna",""),IF(COUNTIFS($E$5:$E$1000,E511,$C$5:$C$1000,"Auditoría Externa")&gt;0,"Externa",""),IF(COUNTIFS($E$5:$E$1000,E511,$C$5:$C$1000,"SSF")&gt;0,"SSF",""),IF(COUNTIFS($E$5:$E$1000,E511,$C$5:$C$1000,"Comité de Supervisión")&gt;0,"Comité Sup.",""),IF(COUNTIFS($E$5:$E$1000,E511,$C$5:$C$1000,"Consejo de Administración")&gt;0,"Consejo",""),IF(COUNTIFS($E$5:$E$1000,E511,$C$5:$C$1000,"Otros")&gt;0,"Otros","")))</f>
        <v/>
      </c>
      <c r="X511" s="24" t="str">
        <f aca="false">IF(E511="","",COUNTIFS($E$5:$E$1000,E511,$AB$5:$AB$1000,AB511,$C$5:$C$1000,"&lt;&gt;"&amp;C511))</f>
        <v/>
      </c>
      <c r="Y511" s="33"/>
      <c r="Z511" s="31"/>
      <c r="AA511" s="33"/>
      <c r="AB511" s="37" t="str">
        <f aca="false">IF(B511="","",YEAR(B511)*100+MONTH(B511))</f>
        <v/>
      </c>
      <c r="AC511" s="37" t="str">
        <f aca="false">IF(AND(E511&lt;&gt;"",E511=Cruce!$C$5),COUNTIF($E$5:E511,E511),"")</f>
        <v/>
      </c>
      <c r="AD511" s="37" t="str">
        <f aca="false">IF(E511="","",C511&amp;"|"&amp;Y511&amp;"|"&amp;IF(B511="","s/f",TEXT(B511,"yyyymmdd")))</f>
        <v/>
      </c>
      <c r="AE511" s="37" t="n">
        <f aca="false">IF(E511="",0,IF(COUNTIFS($E$5:E511,E511,$AD$5:AD511,AD511)=1,1,0))</f>
        <v>0</v>
      </c>
    </row>
    <row r="512" customFormat="false" ht="15" hidden="false" customHeight="true" outlineLevel="0" collapsed="false">
      <c r="A512" s="31"/>
      <c r="B512" s="30"/>
      <c r="C512" s="31"/>
      <c r="D512" s="31"/>
      <c r="E512" s="32"/>
      <c r="F512" s="32"/>
      <c r="G512" s="33"/>
      <c r="H512" s="31"/>
      <c r="I512" s="24" t="str">
        <f aca="false">IF(B512="","",YEAR(B512))</f>
        <v/>
      </c>
      <c r="J512" s="34" t="str">
        <f aca="false">IF(B512="","",IF(MONTH(B512)=1,"X",""))</f>
        <v/>
      </c>
      <c r="K512" s="34" t="str">
        <f aca="false">IF(B512="","",IF(MONTH(B512)=2,"X",""))</f>
        <v/>
      </c>
      <c r="L512" s="34" t="str">
        <f aca="false">IF(B512="","",IF(MONTH(B512)=3,"X",""))</f>
        <v/>
      </c>
      <c r="M512" s="34" t="str">
        <f aca="false">IF(B512="","",IF(MONTH(B512)=4,"X",""))</f>
        <v/>
      </c>
      <c r="N512" s="34" t="str">
        <f aca="false">IF(B512="","",IF(MONTH(B512)=5,"X",""))</f>
        <v/>
      </c>
      <c r="O512" s="34" t="str">
        <f aca="false">IF(B512="","",IF(MONTH(B512)=6,"X",""))</f>
        <v/>
      </c>
      <c r="P512" s="34" t="str">
        <f aca="false">IF(B512="","",IF(MONTH(B512)=7,"X",""))</f>
        <v/>
      </c>
      <c r="Q512" s="34" t="str">
        <f aca="false">IF(B512="","",IF(MONTH(B512)=8,"X",""))</f>
        <v/>
      </c>
      <c r="R512" s="34" t="str">
        <f aca="false">IF(B512="","",IF(MONTH(B512)=9,"X",""))</f>
        <v/>
      </c>
      <c r="S512" s="34" t="str">
        <f aca="false">IF(B512="","",IF(MONTH(B512)=10,"X",""))</f>
        <v/>
      </c>
      <c r="T512" s="34" t="str">
        <f aca="false">IF(B512="","",IF(MONTH(B512)=11,"X",""))</f>
        <v/>
      </c>
      <c r="U512" s="34" t="str">
        <f aca="false">IF(B512="","",IF(MONTH(B512)=12,"X",""))</f>
        <v/>
      </c>
      <c r="V512" s="24" t="str">
        <f aca="false">IF(E512="","",COUNTIF($E$5:$E$1000,E512))</f>
        <v/>
      </c>
      <c r="W512" s="35" t="str">
        <f aca="false">IF(E512="","",_xlfn.TEXTJOIN(" + ",TRUE(),IF(COUNTIFS($E$5:$E$1000,E512,$C$5:$C$1000,"Auditoría Interna")&gt;0,"Interna",""),IF(COUNTIFS($E$5:$E$1000,E512,$C$5:$C$1000,"Auditoría Externa")&gt;0,"Externa",""),IF(COUNTIFS($E$5:$E$1000,E512,$C$5:$C$1000,"SSF")&gt;0,"SSF",""),IF(COUNTIFS($E$5:$E$1000,E512,$C$5:$C$1000,"Comité de Supervisión")&gt;0,"Comité Sup.",""),IF(COUNTIFS($E$5:$E$1000,E512,$C$5:$C$1000,"Consejo de Administración")&gt;0,"Consejo",""),IF(COUNTIFS($E$5:$E$1000,E512,$C$5:$C$1000,"Otros")&gt;0,"Otros","")))</f>
        <v/>
      </c>
      <c r="X512" s="24" t="str">
        <f aca="false">IF(E512="","",COUNTIFS($E$5:$E$1000,E512,$AB$5:$AB$1000,AB512,$C$5:$C$1000,"&lt;&gt;"&amp;C512))</f>
        <v/>
      </c>
      <c r="Y512" s="33"/>
      <c r="Z512" s="31"/>
      <c r="AA512" s="33"/>
      <c r="AB512" s="37" t="str">
        <f aca="false">IF(B512="","",YEAR(B512)*100+MONTH(B512))</f>
        <v/>
      </c>
      <c r="AC512" s="37" t="str">
        <f aca="false">IF(AND(E512&lt;&gt;"",E512=Cruce!$C$5),COUNTIF($E$5:E512,E512),"")</f>
        <v/>
      </c>
      <c r="AD512" s="37" t="str">
        <f aca="false">IF(E512="","",C512&amp;"|"&amp;Y512&amp;"|"&amp;IF(B512="","s/f",TEXT(B512,"yyyymmdd")))</f>
        <v/>
      </c>
      <c r="AE512" s="37" t="n">
        <f aca="false">IF(E512="",0,IF(COUNTIFS($E$5:E512,E512,$AD$5:AD512,AD512)=1,1,0))</f>
        <v>0</v>
      </c>
    </row>
    <row r="513" customFormat="false" ht="15" hidden="false" customHeight="true" outlineLevel="0" collapsed="false">
      <c r="A513" s="31"/>
      <c r="B513" s="30"/>
      <c r="C513" s="31"/>
      <c r="D513" s="31"/>
      <c r="E513" s="32"/>
      <c r="F513" s="32"/>
      <c r="G513" s="33"/>
      <c r="H513" s="31"/>
      <c r="I513" s="24" t="str">
        <f aca="false">IF(B513="","",YEAR(B513))</f>
        <v/>
      </c>
      <c r="J513" s="34" t="str">
        <f aca="false">IF(B513="","",IF(MONTH(B513)=1,"X",""))</f>
        <v/>
      </c>
      <c r="K513" s="34" t="str">
        <f aca="false">IF(B513="","",IF(MONTH(B513)=2,"X",""))</f>
        <v/>
      </c>
      <c r="L513" s="34" t="str">
        <f aca="false">IF(B513="","",IF(MONTH(B513)=3,"X",""))</f>
        <v/>
      </c>
      <c r="M513" s="34" t="str">
        <f aca="false">IF(B513="","",IF(MONTH(B513)=4,"X",""))</f>
        <v/>
      </c>
      <c r="N513" s="34" t="str">
        <f aca="false">IF(B513="","",IF(MONTH(B513)=5,"X",""))</f>
        <v/>
      </c>
      <c r="O513" s="34" t="str">
        <f aca="false">IF(B513="","",IF(MONTH(B513)=6,"X",""))</f>
        <v/>
      </c>
      <c r="P513" s="34" t="str">
        <f aca="false">IF(B513="","",IF(MONTH(B513)=7,"X",""))</f>
        <v/>
      </c>
      <c r="Q513" s="34" t="str">
        <f aca="false">IF(B513="","",IF(MONTH(B513)=8,"X",""))</f>
        <v/>
      </c>
      <c r="R513" s="34" t="str">
        <f aca="false">IF(B513="","",IF(MONTH(B513)=9,"X",""))</f>
        <v/>
      </c>
      <c r="S513" s="34" t="str">
        <f aca="false">IF(B513="","",IF(MONTH(B513)=10,"X",""))</f>
        <v/>
      </c>
      <c r="T513" s="34" t="str">
        <f aca="false">IF(B513="","",IF(MONTH(B513)=11,"X",""))</f>
        <v/>
      </c>
      <c r="U513" s="34" t="str">
        <f aca="false">IF(B513="","",IF(MONTH(B513)=12,"X",""))</f>
        <v/>
      </c>
      <c r="V513" s="24" t="str">
        <f aca="false">IF(E513="","",COUNTIF($E$5:$E$1000,E513))</f>
        <v/>
      </c>
      <c r="W513" s="35" t="str">
        <f aca="false">IF(E513="","",_xlfn.TEXTJOIN(" + ",TRUE(),IF(COUNTIFS($E$5:$E$1000,E513,$C$5:$C$1000,"Auditoría Interna")&gt;0,"Interna",""),IF(COUNTIFS($E$5:$E$1000,E513,$C$5:$C$1000,"Auditoría Externa")&gt;0,"Externa",""),IF(COUNTIFS($E$5:$E$1000,E513,$C$5:$C$1000,"SSF")&gt;0,"SSF",""),IF(COUNTIFS($E$5:$E$1000,E513,$C$5:$C$1000,"Comité de Supervisión")&gt;0,"Comité Sup.",""),IF(COUNTIFS($E$5:$E$1000,E513,$C$5:$C$1000,"Consejo de Administración")&gt;0,"Consejo",""),IF(COUNTIFS($E$5:$E$1000,E513,$C$5:$C$1000,"Otros")&gt;0,"Otros","")))</f>
        <v/>
      </c>
      <c r="X513" s="24" t="str">
        <f aca="false">IF(E513="","",COUNTIFS($E$5:$E$1000,E513,$AB$5:$AB$1000,AB513,$C$5:$C$1000,"&lt;&gt;"&amp;C513))</f>
        <v/>
      </c>
      <c r="Y513" s="33"/>
      <c r="Z513" s="31"/>
      <c r="AA513" s="33"/>
      <c r="AB513" s="37" t="str">
        <f aca="false">IF(B513="","",YEAR(B513)*100+MONTH(B513))</f>
        <v/>
      </c>
      <c r="AC513" s="37" t="str">
        <f aca="false">IF(AND(E513&lt;&gt;"",E513=Cruce!$C$5),COUNTIF($E$5:E513,E513),"")</f>
        <v/>
      </c>
      <c r="AD513" s="37" t="str">
        <f aca="false">IF(E513="","",C513&amp;"|"&amp;Y513&amp;"|"&amp;IF(B513="","s/f",TEXT(B513,"yyyymmdd")))</f>
        <v/>
      </c>
      <c r="AE513" s="37" t="n">
        <f aca="false">IF(E513="",0,IF(COUNTIFS($E$5:E513,E513,$AD$5:AD513,AD513)=1,1,0))</f>
        <v>0</v>
      </c>
    </row>
    <row r="514" customFormat="false" ht="15" hidden="false" customHeight="true" outlineLevel="0" collapsed="false">
      <c r="A514" s="31"/>
      <c r="B514" s="30"/>
      <c r="C514" s="31"/>
      <c r="D514" s="31"/>
      <c r="E514" s="32"/>
      <c r="F514" s="32"/>
      <c r="G514" s="33"/>
      <c r="H514" s="31"/>
      <c r="I514" s="24" t="str">
        <f aca="false">IF(B514="","",YEAR(B514))</f>
        <v/>
      </c>
      <c r="J514" s="34" t="str">
        <f aca="false">IF(B514="","",IF(MONTH(B514)=1,"X",""))</f>
        <v/>
      </c>
      <c r="K514" s="34" t="str">
        <f aca="false">IF(B514="","",IF(MONTH(B514)=2,"X",""))</f>
        <v/>
      </c>
      <c r="L514" s="34" t="str">
        <f aca="false">IF(B514="","",IF(MONTH(B514)=3,"X",""))</f>
        <v/>
      </c>
      <c r="M514" s="34" t="str">
        <f aca="false">IF(B514="","",IF(MONTH(B514)=4,"X",""))</f>
        <v/>
      </c>
      <c r="N514" s="34" t="str">
        <f aca="false">IF(B514="","",IF(MONTH(B514)=5,"X",""))</f>
        <v/>
      </c>
      <c r="O514" s="34" t="str">
        <f aca="false">IF(B514="","",IF(MONTH(B514)=6,"X",""))</f>
        <v/>
      </c>
      <c r="P514" s="34" t="str">
        <f aca="false">IF(B514="","",IF(MONTH(B514)=7,"X",""))</f>
        <v/>
      </c>
      <c r="Q514" s="34" t="str">
        <f aca="false">IF(B514="","",IF(MONTH(B514)=8,"X",""))</f>
        <v/>
      </c>
      <c r="R514" s="34" t="str">
        <f aca="false">IF(B514="","",IF(MONTH(B514)=9,"X",""))</f>
        <v/>
      </c>
      <c r="S514" s="34" t="str">
        <f aca="false">IF(B514="","",IF(MONTH(B514)=10,"X",""))</f>
        <v/>
      </c>
      <c r="T514" s="34" t="str">
        <f aca="false">IF(B514="","",IF(MONTH(B514)=11,"X",""))</f>
        <v/>
      </c>
      <c r="U514" s="34" t="str">
        <f aca="false">IF(B514="","",IF(MONTH(B514)=12,"X",""))</f>
        <v/>
      </c>
      <c r="V514" s="24" t="str">
        <f aca="false">IF(E514="","",COUNTIF($E$5:$E$1000,E514))</f>
        <v/>
      </c>
      <c r="W514" s="35" t="str">
        <f aca="false">IF(E514="","",_xlfn.TEXTJOIN(" + ",TRUE(),IF(COUNTIFS($E$5:$E$1000,E514,$C$5:$C$1000,"Auditoría Interna")&gt;0,"Interna",""),IF(COUNTIFS($E$5:$E$1000,E514,$C$5:$C$1000,"Auditoría Externa")&gt;0,"Externa",""),IF(COUNTIFS($E$5:$E$1000,E514,$C$5:$C$1000,"SSF")&gt;0,"SSF",""),IF(COUNTIFS($E$5:$E$1000,E514,$C$5:$C$1000,"Comité de Supervisión")&gt;0,"Comité Sup.",""),IF(COUNTIFS($E$5:$E$1000,E514,$C$5:$C$1000,"Consejo de Administración")&gt;0,"Consejo",""),IF(COUNTIFS($E$5:$E$1000,E514,$C$5:$C$1000,"Otros")&gt;0,"Otros","")))</f>
        <v/>
      </c>
      <c r="X514" s="24" t="str">
        <f aca="false">IF(E514="","",COUNTIFS($E$5:$E$1000,E514,$AB$5:$AB$1000,AB514,$C$5:$C$1000,"&lt;&gt;"&amp;C514))</f>
        <v/>
      </c>
      <c r="Y514" s="33"/>
      <c r="Z514" s="31"/>
      <c r="AA514" s="33"/>
      <c r="AB514" s="37" t="str">
        <f aca="false">IF(B514="","",YEAR(B514)*100+MONTH(B514))</f>
        <v/>
      </c>
      <c r="AC514" s="37" t="str">
        <f aca="false">IF(AND(E514&lt;&gt;"",E514=Cruce!$C$5),COUNTIF($E$5:E514,E514),"")</f>
        <v/>
      </c>
      <c r="AD514" s="37" t="str">
        <f aca="false">IF(E514="","",C514&amp;"|"&amp;Y514&amp;"|"&amp;IF(B514="","s/f",TEXT(B514,"yyyymmdd")))</f>
        <v/>
      </c>
      <c r="AE514" s="37" t="n">
        <f aca="false">IF(E514="",0,IF(COUNTIFS($E$5:E514,E514,$AD$5:AD514,AD514)=1,1,0))</f>
        <v>0</v>
      </c>
    </row>
    <row r="515" customFormat="false" ht="15" hidden="false" customHeight="true" outlineLevel="0" collapsed="false">
      <c r="A515" s="31"/>
      <c r="B515" s="30"/>
      <c r="C515" s="31"/>
      <c r="D515" s="31"/>
      <c r="E515" s="32"/>
      <c r="F515" s="32"/>
      <c r="G515" s="33"/>
      <c r="H515" s="31"/>
      <c r="I515" s="24" t="str">
        <f aca="false">IF(B515="","",YEAR(B515))</f>
        <v/>
      </c>
      <c r="J515" s="34" t="str">
        <f aca="false">IF(B515="","",IF(MONTH(B515)=1,"X",""))</f>
        <v/>
      </c>
      <c r="K515" s="34" t="str">
        <f aca="false">IF(B515="","",IF(MONTH(B515)=2,"X",""))</f>
        <v/>
      </c>
      <c r="L515" s="34" t="str">
        <f aca="false">IF(B515="","",IF(MONTH(B515)=3,"X",""))</f>
        <v/>
      </c>
      <c r="M515" s="34" t="str">
        <f aca="false">IF(B515="","",IF(MONTH(B515)=4,"X",""))</f>
        <v/>
      </c>
      <c r="N515" s="34" t="str">
        <f aca="false">IF(B515="","",IF(MONTH(B515)=5,"X",""))</f>
        <v/>
      </c>
      <c r="O515" s="34" t="str">
        <f aca="false">IF(B515="","",IF(MONTH(B515)=6,"X",""))</f>
        <v/>
      </c>
      <c r="P515" s="34" t="str">
        <f aca="false">IF(B515="","",IF(MONTH(B515)=7,"X",""))</f>
        <v/>
      </c>
      <c r="Q515" s="34" t="str">
        <f aca="false">IF(B515="","",IF(MONTH(B515)=8,"X",""))</f>
        <v/>
      </c>
      <c r="R515" s="34" t="str">
        <f aca="false">IF(B515="","",IF(MONTH(B515)=9,"X",""))</f>
        <v/>
      </c>
      <c r="S515" s="34" t="str">
        <f aca="false">IF(B515="","",IF(MONTH(B515)=10,"X",""))</f>
        <v/>
      </c>
      <c r="T515" s="34" t="str">
        <f aca="false">IF(B515="","",IF(MONTH(B515)=11,"X",""))</f>
        <v/>
      </c>
      <c r="U515" s="34" t="str">
        <f aca="false">IF(B515="","",IF(MONTH(B515)=12,"X",""))</f>
        <v/>
      </c>
      <c r="V515" s="24" t="str">
        <f aca="false">IF(E515="","",COUNTIF($E$5:$E$1000,E515))</f>
        <v/>
      </c>
      <c r="W515" s="35" t="str">
        <f aca="false">IF(E515="","",_xlfn.TEXTJOIN(" + ",TRUE(),IF(COUNTIFS($E$5:$E$1000,E515,$C$5:$C$1000,"Auditoría Interna")&gt;0,"Interna",""),IF(COUNTIFS($E$5:$E$1000,E515,$C$5:$C$1000,"Auditoría Externa")&gt;0,"Externa",""),IF(COUNTIFS($E$5:$E$1000,E515,$C$5:$C$1000,"SSF")&gt;0,"SSF",""),IF(COUNTIFS($E$5:$E$1000,E515,$C$5:$C$1000,"Comité de Supervisión")&gt;0,"Comité Sup.",""),IF(COUNTIFS($E$5:$E$1000,E515,$C$5:$C$1000,"Consejo de Administración")&gt;0,"Consejo",""),IF(COUNTIFS($E$5:$E$1000,E515,$C$5:$C$1000,"Otros")&gt;0,"Otros","")))</f>
        <v/>
      </c>
      <c r="X515" s="24" t="str">
        <f aca="false">IF(E515="","",COUNTIFS($E$5:$E$1000,E515,$AB$5:$AB$1000,AB515,$C$5:$C$1000,"&lt;&gt;"&amp;C515))</f>
        <v/>
      </c>
      <c r="Y515" s="33"/>
      <c r="Z515" s="31"/>
      <c r="AA515" s="33"/>
      <c r="AB515" s="37" t="str">
        <f aca="false">IF(B515="","",YEAR(B515)*100+MONTH(B515))</f>
        <v/>
      </c>
      <c r="AC515" s="37" t="str">
        <f aca="false">IF(AND(E515&lt;&gt;"",E515=Cruce!$C$5),COUNTIF($E$5:E515,E515),"")</f>
        <v/>
      </c>
      <c r="AD515" s="37" t="str">
        <f aca="false">IF(E515="","",C515&amp;"|"&amp;Y515&amp;"|"&amp;IF(B515="","s/f",TEXT(B515,"yyyymmdd")))</f>
        <v/>
      </c>
      <c r="AE515" s="37" t="n">
        <f aca="false">IF(E515="",0,IF(COUNTIFS($E$5:E515,E515,$AD$5:AD515,AD515)=1,1,0))</f>
        <v>0</v>
      </c>
    </row>
    <row r="516" customFormat="false" ht="15" hidden="false" customHeight="true" outlineLevel="0" collapsed="false">
      <c r="A516" s="31"/>
      <c r="B516" s="30"/>
      <c r="C516" s="31"/>
      <c r="D516" s="31"/>
      <c r="E516" s="32"/>
      <c r="F516" s="32"/>
      <c r="G516" s="33"/>
      <c r="H516" s="31"/>
      <c r="I516" s="24" t="str">
        <f aca="false">IF(B516="","",YEAR(B516))</f>
        <v/>
      </c>
      <c r="J516" s="34" t="str">
        <f aca="false">IF(B516="","",IF(MONTH(B516)=1,"X",""))</f>
        <v/>
      </c>
      <c r="K516" s="34" t="str">
        <f aca="false">IF(B516="","",IF(MONTH(B516)=2,"X",""))</f>
        <v/>
      </c>
      <c r="L516" s="34" t="str">
        <f aca="false">IF(B516="","",IF(MONTH(B516)=3,"X",""))</f>
        <v/>
      </c>
      <c r="M516" s="34" t="str">
        <f aca="false">IF(B516="","",IF(MONTH(B516)=4,"X",""))</f>
        <v/>
      </c>
      <c r="N516" s="34" t="str">
        <f aca="false">IF(B516="","",IF(MONTH(B516)=5,"X",""))</f>
        <v/>
      </c>
      <c r="O516" s="34" t="str">
        <f aca="false">IF(B516="","",IF(MONTH(B516)=6,"X",""))</f>
        <v/>
      </c>
      <c r="P516" s="34" t="str">
        <f aca="false">IF(B516="","",IF(MONTH(B516)=7,"X",""))</f>
        <v/>
      </c>
      <c r="Q516" s="34" t="str">
        <f aca="false">IF(B516="","",IF(MONTH(B516)=8,"X",""))</f>
        <v/>
      </c>
      <c r="R516" s="34" t="str">
        <f aca="false">IF(B516="","",IF(MONTH(B516)=9,"X",""))</f>
        <v/>
      </c>
      <c r="S516" s="34" t="str">
        <f aca="false">IF(B516="","",IF(MONTH(B516)=10,"X",""))</f>
        <v/>
      </c>
      <c r="T516" s="34" t="str">
        <f aca="false">IF(B516="","",IF(MONTH(B516)=11,"X",""))</f>
        <v/>
      </c>
      <c r="U516" s="34" t="str">
        <f aca="false">IF(B516="","",IF(MONTH(B516)=12,"X",""))</f>
        <v/>
      </c>
      <c r="V516" s="24" t="str">
        <f aca="false">IF(E516="","",COUNTIF($E$5:$E$1000,E516))</f>
        <v/>
      </c>
      <c r="W516" s="35" t="str">
        <f aca="false">IF(E516="","",_xlfn.TEXTJOIN(" + ",TRUE(),IF(COUNTIFS($E$5:$E$1000,E516,$C$5:$C$1000,"Auditoría Interna")&gt;0,"Interna",""),IF(COUNTIFS($E$5:$E$1000,E516,$C$5:$C$1000,"Auditoría Externa")&gt;0,"Externa",""),IF(COUNTIFS($E$5:$E$1000,E516,$C$5:$C$1000,"SSF")&gt;0,"SSF",""),IF(COUNTIFS($E$5:$E$1000,E516,$C$5:$C$1000,"Comité de Supervisión")&gt;0,"Comité Sup.",""),IF(COUNTIFS($E$5:$E$1000,E516,$C$5:$C$1000,"Consejo de Administración")&gt;0,"Consejo",""),IF(COUNTIFS($E$5:$E$1000,E516,$C$5:$C$1000,"Otros")&gt;0,"Otros","")))</f>
        <v/>
      </c>
      <c r="X516" s="24" t="str">
        <f aca="false">IF(E516="","",COUNTIFS($E$5:$E$1000,E516,$AB$5:$AB$1000,AB516,$C$5:$C$1000,"&lt;&gt;"&amp;C516))</f>
        <v/>
      </c>
      <c r="Y516" s="33"/>
      <c r="Z516" s="31"/>
      <c r="AA516" s="33"/>
      <c r="AB516" s="37" t="str">
        <f aca="false">IF(B516="","",YEAR(B516)*100+MONTH(B516))</f>
        <v/>
      </c>
      <c r="AC516" s="37" t="str">
        <f aca="false">IF(AND(E516&lt;&gt;"",E516=Cruce!$C$5),COUNTIF($E$5:E516,E516),"")</f>
        <v/>
      </c>
      <c r="AD516" s="37" t="str">
        <f aca="false">IF(E516="","",C516&amp;"|"&amp;Y516&amp;"|"&amp;IF(B516="","s/f",TEXT(B516,"yyyymmdd")))</f>
        <v/>
      </c>
      <c r="AE516" s="37" t="n">
        <f aca="false">IF(E516="",0,IF(COUNTIFS($E$5:E516,E516,$AD$5:AD516,AD516)=1,1,0))</f>
        <v>0</v>
      </c>
    </row>
    <row r="517" customFormat="false" ht="15" hidden="false" customHeight="true" outlineLevel="0" collapsed="false">
      <c r="A517" s="31"/>
      <c r="B517" s="30"/>
      <c r="C517" s="31"/>
      <c r="D517" s="31"/>
      <c r="E517" s="32"/>
      <c r="F517" s="32"/>
      <c r="G517" s="33"/>
      <c r="H517" s="31"/>
      <c r="I517" s="24" t="str">
        <f aca="false">IF(B517="","",YEAR(B517))</f>
        <v/>
      </c>
      <c r="J517" s="34" t="str">
        <f aca="false">IF(B517="","",IF(MONTH(B517)=1,"X",""))</f>
        <v/>
      </c>
      <c r="K517" s="34" t="str">
        <f aca="false">IF(B517="","",IF(MONTH(B517)=2,"X",""))</f>
        <v/>
      </c>
      <c r="L517" s="34" t="str">
        <f aca="false">IF(B517="","",IF(MONTH(B517)=3,"X",""))</f>
        <v/>
      </c>
      <c r="M517" s="34" t="str">
        <f aca="false">IF(B517="","",IF(MONTH(B517)=4,"X",""))</f>
        <v/>
      </c>
      <c r="N517" s="34" t="str">
        <f aca="false">IF(B517="","",IF(MONTH(B517)=5,"X",""))</f>
        <v/>
      </c>
      <c r="O517" s="34" t="str">
        <f aca="false">IF(B517="","",IF(MONTH(B517)=6,"X",""))</f>
        <v/>
      </c>
      <c r="P517" s="34" t="str">
        <f aca="false">IF(B517="","",IF(MONTH(B517)=7,"X",""))</f>
        <v/>
      </c>
      <c r="Q517" s="34" t="str">
        <f aca="false">IF(B517="","",IF(MONTH(B517)=8,"X",""))</f>
        <v/>
      </c>
      <c r="R517" s="34" t="str">
        <f aca="false">IF(B517="","",IF(MONTH(B517)=9,"X",""))</f>
        <v/>
      </c>
      <c r="S517" s="34" t="str">
        <f aca="false">IF(B517="","",IF(MONTH(B517)=10,"X",""))</f>
        <v/>
      </c>
      <c r="T517" s="34" t="str">
        <f aca="false">IF(B517="","",IF(MONTH(B517)=11,"X",""))</f>
        <v/>
      </c>
      <c r="U517" s="34" t="str">
        <f aca="false">IF(B517="","",IF(MONTH(B517)=12,"X",""))</f>
        <v/>
      </c>
      <c r="V517" s="24" t="str">
        <f aca="false">IF(E517="","",COUNTIF($E$5:$E$1000,E517))</f>
        <v/>
      </c>
      <c r="W517" s="35" t="str">
        <f aca="false">IF(E517="","",_xlfn.TEXTJOIN(" + ",TRUE(),IF(COUNTIFS($E$5:$E$1000,E517,$C$5:$C$1000,"Auditoría Interna")&gt;0,"Interna",""),IF(COUNTIFS($E$5:$E$1000,E517,$C$5:$C$1000,"Auditoría Externa")&gt;0,"Externa",""),IF(COUNTIFS($E$5:$E$1000,E517,$C$5:$C$1000,"SSF")&gt;0,"SSF",""),IF(COUNTIFS($E$5:$E$1000,E517,$C$5:$C$1000,"Comité de Supervisión")&gt;0,"Comité Sup.",""),IF(COUNTIFS($E$5:$E$1000,E517,$C$5:$C$1000,"Consejo de Administración")&gt;0,"Consejo",""),IF(COUNTIFS($E$5:$E$1000,E517,$C$5:$C$1000,"Otros")&gt;0,"Otros","")))</f>
        <v/>
      </c>
      <c r="X517" s="24" t="str">
        <f aca="false">IF(E517="","",COUNTIFS($E$5:$E$1000,E517,$AB$5:$AB$1000,AB517,$C$5:$C$1000,"&lt;&gt;"&amp;C517))</f>
        <v/>
      </c>
      <c r="Y517" s="33"/>
      <c r="Z517" s="31"/>
      <c r="AA517" s="33"/>
      <c r="AB517" s="37" t="str">
        <f aca="false">IF(B517="","",YEAR(B517)*100+MONTH(B517))</f>
        <v/>
      </c>
      <c r="AC517" s="37" t="str">
        <f aca="false">IF(AND(E517&lt;&gt;"",E517=Cruce!$C$5),COUNTIF($E$5:E517,E517),"")</f>
        <v/>
      </c>
      <c r="AD517" s="37" t="str">
        <f aca="false">IF(E517="","",C517&amp;"|"&amp;Y517&amp;"|"&amp;IF(B517="","s/f",TEXT(B517,"yyyymmdd")))</f>
        <v/>
      </c>
      <c r="AE517" s="37" t="n">
        <f aca="false">IF(E517="",0,IF(COUNTIFS($E$5:E517,E517,$AD$5:AD517,AD517)=1,1,0))</f>
        <v>0</v>
      </c>
    </row>
    <row r="518" customFormat="false" ht="15" hidden="false" customHeight="true" outlineLevel="0" collapsed="false">
      <c r="A518" s="31"/>
      <c r="B518" s="30"/>
      <c r="C518" s="31"/>
      <c r="D518" s="31"/>
      <c r="E518" s="32"/>
      <c r="F518" s="32"/>
      <c r="G518" s="33"/>
      <c r="H518" s="31"/>
      <c r="I518" s="24" t="str">
        <f aca="false">IF(B518="","",YEAR(B518))</f>
        <v/>
      </c>
      <c r="J518" s="34" t="str">
        <f aca="false">IF(B518="","",IF(MONTH(B518)=1,"X",""))</f>
        <v/>
      </c>
      <c r="K518" s="34" t="str">
        <f aca="false">IF(B518="","",IF(MONTH(B518)=2,"X",""))</f>
        <v/>
      </c>
      <c r="L518" s="34" t="str">
        <f aca="false">IF(B518="","",IF(MONTH(B518)=3,"X",""))</f>
        <v/>
      </c>
      <c r="M518" s="34" t="str">
        <f aca="false">IF(B518="","",IF(MONTH(B518)=4,"X",""))</f>
        <v/>
      </c>
      <c r="N518" s="34" t="str">
        <f aca="false">IF(B518="","",IF(MONTH(B518)=5,"X",""))</f>
        <v/>
      </c>
      <c r="O518" s="34" t="str">
        <f aca="false">IF(B518="","",IF(MONTH(B518)=6,"X",""))</f>
        <v/>
      </c>
      <c r="P518" s="34" t="str">
        <f aca="false">IF(B518="","",IF(MONTH(B518)=7,"X",""))</f>
        <v/>
      </c>
      <c r="Q518" s="34" t="str">
        <f aca="false">IF(B518="","",IF(MONTH(B518)=8,"X",""))</f>
        <v/>
      </c>
      <c r="R518" s="34" t="str">
        <f aca="false">IF(B518="","",IF(MONTH(B518)=9,"X",""))</f>
        <v/>
      </c>
      <c r="S518" s="34" t="str">
        <f aca="false">IF(B518="","",IF(MONTH(B518)=10,"X",""))</f>
        <v/>
      </c>
      <c r="T518" s="34" t="str">
        <f aca="false">IF(B518="","",IF(MONTH(B518)=11,"X",""))</f>
        <v/>
      </c>
      <c r="U518" s="34" t="str">
        <f aca="false">IF(B518="","",IF(MONTH(B518)=12,"X",""))</f>
        <v/>
      </c>
      <c r="V518" s="24" t="str">
        <f aca="false">IF(E518="","",COUNTIF($E$5:$E$1000,E518))</f>
        <v/>
      </c>
      <c r="W518" s="35" t="str">
        <f aca="false">IF(E518="","",_xlfn.TEXTJOIN(" + ",TRUE(),IF(COUNTIFS($E$5:$E$1000,E518,$C$5:$C$1000,"Auditoría Interna")&gt;0,"Interna",""),IF(COUNTIFS($E$5:$E$1000,E518,$C$5:$C$1000,"Auditoría Externa")&gt;0,"Externa",""),IF(COUNTIFS($E$5:$E$1000,E518,$C$5:$C$1000,"SSF")&gt;0,"SSF",""),IF(COUNTIFS($E$5:$E$1000,E518,$C$5:$C$1000,"Comité de Supervisión")&gt;0,"Comité Sup.",""),IF(COUNTIFS($E$5:$E$1000,E518,$C$5:$C$1000,"Consejo de Administración")&gt;0,"Consejo",""),IF(COUNTIFS($E$5:$E$1000,E518,$C$5:$C$1000,"Otros")&gt;0,"Otros","")))</f>
        <v/>
      </c>
      <c r="X518" s="24" t="str">
        <f aca="false">IF(E518="","",COUNTIFS($E$5:$E$1000,E518,$AB$5:$AB$1000,AB518,$C$5:$C$1000,"&lt;&gt;"&amp;C518))</f>
        <v/>
      </c>
      <c r="Y518" s="33"/>
      <c r="Z518" s="31"/>
      <c r="AA518" s="33"/>
      <c r="AB518" s="37" t="str">
        <f aca="false">IF(B518="","",YEAR(B518)*100+MONTH(B518))</f>
        <v/>
      </c>
      <c r="AC518" s="37" t="str">
        <f aca="false">IF(AND(E518&lt;&gt;"",E518=Cruce!$C$5),COUNTIF($E$5:E518,E518),"")</f>
        <v/>
      </c>
      <c r="AD518" s="37" t="str">
        <f aca="false">IF(E518="","",C518&amp;"|"&amp;Y518&amp;"|"&amp;IF(B518="","s/f",TEXT(B518,"yyyymmdd")))</f>
        <v/>
      </c>
      <c r="AE518" s="37" t="n">
        <f aca="false">IF(E518="",0,IF(COUNTIFS($E$5:E518,E518,$AD$5:AD518,AD518)=1,1,0))</f>
        <v>0</v>
      </c>
    </row>
    <row r="519" customFormat="false" ht="15" hidden="false" customHeight="true" outlineLevel="0" collapsed="false">
      <c r="A519" s="31"/>
      <c r="B519" s="30"/>
      <c r="C519" s="31"/>
      <c r="D519" s="31"/>
      <c r="E519" s="32"/>
      <c r="F519" s="32"/>
      <c r="G519" s="33"/>
      <c r="H519" s="31"/>
      <c r="I519" s="24" t="str">
        <f aca="false">IF(B519="","",YEAR(B519))</f>
        <v/>
      </c>
      <c r="J519" s="34" t="str">
        <f aca="false">IF(B519="","",IF(MONTH(B519)=1,"X",""))</f>
        <v/>
      </c>
      <c r="K519" s="34" t="str">
        <f aca="false">IF(B519="","",IF(MONTH(B519)=2,"X",""))</f>
        <v/>
      </c>
      <c r="L519" s="34" t="str">
        <f aca="false">IF(B519="","",IF(MONTH(B519)=3,"X",""))</f>
        <v/>
      </c>
      <c r="M519" s="34" t="str">
        <f aca="false">IF(B519="","",IF(MONTH(B519)=4,"X",""))</f>
        <v/>
      </c>
      <c r="N519" s="34" t="str">
        <f aca="false">IF(B519="","",IF(MONTH(B519)=5,"X",""))</f>
        <v/>
      </c>
      <c r="O519" s="34" t="str">
        <f aca="false">IF(B519="","",IF(MONTH(B519)=6,"X",""))</f>
        <v/>
      </c>
      <c r="P519" s="34" t="str">
        <f aca="false">IF(B519="","",IF(MONTH(B519)=7,"X",""))</f>
        <v/>
      </c>
      <c r="Q519" s="34" t="str">
        <f aca="false">IF(B519="","",IF(MONTH(B519)=8,"X",""))</f>
        <v/>
      </c>
      <c r="R519" s="34" t="str">
        <f aca="false">IF(B519="","",IF(MONTH(B519)=9,"X",""))</f>
        <v/>
      </c>
      <c r="S519" s="34" t="str">
        <f aca="false">IF(B519="","",IF(MONTH(B519)=10,"X",""))</f>
        <v/>
      </c>
      <c r="T519" s="34" t="str">
        <f aca="false">IF(B519="","",IF(MONTH(B519)=11,"X",""))</f>
        <v/>
      </c>
      <c r="U519" s="34" t="str">
        <f aca="false">IF(B519="","",IF(MONTH(B519)=12,"X",""))</f>
        <v/>
      </c>
      <c r="V519" s="24" t="str">
        <f aca="false">IF(E519="","",COUNTIF($E$5:$E$1000,E519))</f>
        <v/>
      </c>
      <c r="W519" s="35" t="str">
        <f aca="false">IF(E519="","",_xlfn.TEXTJOIN(" + ",TRUE(),IF(COUNTIFS($E$5:$E$1000,E519,$C$5:$C$1000,"Auditoría Interna")&gt;0,"Interna",""),IF(COUNTIFS($E$5:$E$1000,E519,$C$5:$C$1000,"Auditoría Externa")&gt;0,"Externa",""),IF(COUNTIFS($E$5:$E$1000,E519,$C$5:$C$1000,"SSF")&gt;0,"SSF",""),IF(COUNTIFS($E$5:$E$1000,E519,$C$5:$C$1000,"Comité de Supervisión")&gt;0,"Comité Sup.",""),IF(COUNTIFS($E$5:$E$1000,E519,$C$5:$C$1000,"Consejo de Administración")&gt;0,"Consejo",""),IF(COUNTIFS($E$5:$E$1000,E519,$C$5:$C$1000,"Otros")&gt;0,"Otros","")))</f>
        <v/>
      </c>
      <c r="X519" s="24" t="str">
        <f aca="false">IF(E519="","",COUNTIFS($E$5:$E$1000,E519,$AB$5:$AB$1000,AB519,$C$5:$C$1000,"&lt;&gt;"&amp;C519))</f>
        <v/>
      </c>
      <c r="Y519" s="33"/>
      <c r="Z519" s="31"/>
      <c r="AA519" s="33"/>
      <c r="AB519" s="37" t="str">
        <f aca="false">IF(B519="","",YEAR(B519)*100+MONTH(B519))</f>
        <v/>
      </c>
      <c r="AC519" s="37" t="str">
        <f aca="false">IF(AND(E519&lt;&gt;"",E519=Cruce!$C$5),COUNTIF($E$5:E519,E519),"")</f>
        <v/>
      </c>
      <c r="AD519" s="37" t="str">
        <f aca="false">IF(E519="","",C519&amp;"|"&amp;Y519&amp;"|"&amp;IF(B519="","s/f",TEXT(B519,"yyyymmdd")))</f>
        <v/>
      </c>
      <c r="AE519" s="37" t="n">
        <f aca="false">IF(E519="",0,IF(COUNTIFS($E$5:E519,E519,$AD$5:AD519,AD519)=1,1,0))</f>
        <v>0</v>
      </c>
    </row>
    <row r="520" customFormat="false" ht="15" hidden="false" customHeight="true" outlineLevel="0" collapsed="false">
      <c r="A520" s="31"/>
      <c r="B520" s="30"/>
      <c r="C520" s="31"/>
      <c r="D520" s="31"/>
      <c r="E520" s="32"/>
      <c r="F520" s="32"/>
      <c r="G520" s="33"/>
      <c r="H520" s="31"/>
      <c r="I520" s="24" t="str">
        <f aca="false">IF(B520="","",YEAR(B520))</f>
        <v/>
      </c>
      <c r="J520" s="34" t="str">
        <f aca="false">IF(B520="","",IF(MONTH(B520)=1,"X",""))</f>
        <v/>
      </c>
      <c r="K520" s="34" t="str">
        <f aca="false">IF(B520="","",IF(MONTH(B520)=2,"X",""))</f>
        <v/>
      </c>
      <c r="L520" s="34" t="str">
        <f aca="false">IF(B520="","",IF(MONTH(B520)=3,"X",""))</f>
        <v/>
      </c>
      <c r="M520" s="34" t="str">
        <f aca="false">IF(B520="","",IF(MONTH(B520)=4,"X",""))</f>
        <v/>
      </c>
      <c r="N520" s="34" t="str">
        <f aca="false">IF(B520="","",IF(MONTH(B520)=5,"X",""))</f>
        <v/>
      </c>
      <c r="O520" s="34" t="str">
        <f aca="false">IF(B520="","",IF(MONTH(B520)=6,"X",""))</f>
        <v/>
      </c>
      <c r="P520" s="34" t="str">
        <f aca="false">IF(B520="","",IF(MONTH(B520)=7,"X",""))</f>
        <v/>
      </c>
      <c r="Q520" s="34" t="str">
        <f aca="false">IF(B520="","",IF(MONTH(B520)=8,"X",""))</f>
        <v/>
      </c>
      <c r="R520" s="34" t="str">
        <f aca="false">IF(B520="","",IF(MONTH(B520)=9,"X",""))</f>
        <v/>
      </c>
      <c r="S520" s="34" t="str">
        <f aca="false">IF(B520="","",IF(MONTH(B520)=10,"X",""))</f>
        <v/>
      </c>
      <c r="T520" s="34" t="str">
        <f aca="false">IF(B520="","",IF(MONTH(B520)=11,"X",""))</f>
        <v/>
      </c>
      <c r="U520" s="34" t="str">
        <f aca="false">IF(B520="","",IF(MONTH(B520)=12,"X",""))</f>
        <v/>
      </c>
      <c r="V520" s="24" t="str">
        <f aca="false">IF(E520="","",COUNTIF($E$5:$E$1000,E520))</f>
        <v/>
      </c>
      <c r="W520" s="35" t="str">
        <f aca="false">IF(E520="","",_xlfn.TEXTJOIN(" + ",TRUE(),IF(COUNTIFS($E$5:$E$1000,E520,$C$5:$C$1000,"Auditoría Interna")&gt;0,"Interna",""),IF(COUNTIFS($E$5:$E$1000,E520,$C$5:$C$1000,"Auditoría Externa")&gt;0,"Externa",""),IF(COUNTIFS($E$5:$E$1000,E520,$C$5:$C$1000,"SSF")&gt;0,"SSF",""),IF(COUNTIFS($E$5:$E$1000,E520,$C$5:$C$1000,"Comité de Supervisión")&gt;0,"Comité Sup.",""),IF(COUNTIFS($E$5:$E$1000,E520,$C$5:$C$1000,"Consejo de Administración")&gt;0,"Consejo",""),IF(COUNTIFS($E$5:$E$1000,E520,$C$5:$C$1000,"Otros")&gt;0,"Otros","")))</f>
        <v/>
      </c>
      <c r="X520" s="24" t="str">
        <f aca="false">IF(E520="","",COUNTIFS($E$5:$E$1000,E520,$AB$5:$AB$1000,AB520,$C$5:$C$1000,"&lt;&gt;"&amp;C520))</f>
        <v/>
      </c>
      <c r="Y520" s="33"/>
      <c r="Z520" s="31"/>
      <c r="AA520" s="33"/>
      <c r="AB520" s="37" t="str">
        <f aca="false">IF(B520="","",YEAR(B520)*100+MONTH(B520))</f>
        <v/>
      </c>
      <c r="AC520" s="37" t="str">
        <f aca="false">IF(AND(E520&lt;&gt;"",E520=Cruce!$C$5),COUNTIF($E$5:E520,E520),"")</f>
        <v/>
      </c>
      <c r="AD520" s="37" t="str">
        <f aca="false">IF(E520="","",C520&amp;"|"&amp;Y520&amp;"|"&amp;IF(B520="","s/f",TEXT(B520,"yyyymmdd")))</f>
        <v/>
      </c>
      <c r="AE520" s="37" t="n">
        <f aca="false">IF(E520="",0,IF(COUNTIFS($E$5:E520,E520,$AD$5:AD520,AD520)=1,1,0))</f>
        <v>0</v>
      </c>
    </row>
    <row r="521" customFormat="false" ht="15" hidden="false" customHeight="true" outlineLevel="0" collapsed="false">
      <c r="A521" s="31"/>
      <c r="B521" s="30"/>
      <c r="C521" s="31"/>
      <c r="D521" s="31"/>
      <c r="E521" s="32"/>
      <c r="F521" s="32"/>
      <c r="G521" s="33"/>
      <c r="H521" s="31"/>
      <c r="I521" s="24" t="str">
        <f aca="false">IF(B521="","",YEAR(B521))</f>
        <v/>
      </c>
      <c r="J521" s="34" t="str">
        <f aca="false">IF(B521="","",IF(MONTH(B521)=1,"X",""))</f>
        <v/>
      </c>
      <c r="K521" s="34" t="str">
        <f aca="false">IF(B521="","",IF(MONTH(B521)=2,"X",""))</f>
        <v/>
      </c>
      <c r="L521" s="34" t="str">
        <f aca="false">IF(B521="","",IF(MONTH(B521)=3,"X",""))</f>
        <v/>
      </c>
      <c r="M521" s="34" t="str">
        <f aca="false">IF(B521="","",IF(MONTH(B521)=4,"X",""))</f>
        <v/>
      </c>
      <c r="N521" s="34" t="str">
        <f aca="false">IF(B521="","",IF(MONTH(B521)=5,"X",""))</f>
        <v/>
      </c>
      <c r="O521" s="34" t="str">
        <f aca="false">IF(B521="","",IF(MONTH(B521)=6,"X",""))</f>
        <v/>
      </c>
      <c r="P521" s="34" t="str">
        <f aca="false">IF(B521="","",IF(MONTH(B521)=7,"X",""))</f>
        <v/>
      </c>
      <c r="Q521" s="34" t="str">
        <f aca="false">IF(B521="","",IF(MONTH(B521)=8,"X",""))</f>
        <v/>
      </c>
      <c r="R521" s="34" t="str">
        <f aca="false">IF(B521="","",IF(MONTH(B521)=9,"X",""))</f>
        <v/>
      </c>
      <c r="S521" s="34" t="str">
        <f aca="false">IF(B521="","",IF(MONTH(B521)=10,"X",""))</f>
        <v/>
      </c>
      <c r="T521" s="34" t="str">
        <f aca="false">IF(B521="","",IF(MONTH(B521)=11,"X",""))</f>
        <v/>
      </c>
      <c r="U521" s="34" t="str">
        <f aca="false">IF(B521="","",IF(MONTH(B521)=12,"X",""))</f>
        <v/>
      </c>
      <c r="V521" s="24" t="str">
        <f aca="false">IF(E521="","",COUNTIF($E$5:$E$1000,E521))</f>
        <v/>
      </c>
      <c r="W521" s="35" t="str">
        <f aca="false">IF(E521="","",_xlfn.TEXTJOIN(" + ",TRUE(),IF(COUNTIFS($E$5:$E$1000,E521,$C$5:$C$1000,"Auditoría Interna")&gt;0,"Interna",""),IF(COUNTIFS($E$5:$E$1000,E521,$C$5:$C$1000,"Auditoría Externa")&gt;0,"Externa",""),IF(COUNTIFS($E$5:$E$1000,E521,$C$5:$C$1000,"SSF")&gt;0,"SSF",""),IF(COUNTIFS($E$5:$E$1000,E521,$C$5:$C$1000,"Comité de Supervisión")&gt;0,"Comité Sup.",""),IF(COUNTIFS($E$5:$E$1000,E521,$C$5:$C$1000,"Consejo de Administración")&gt;0,"Consejo",""),IF(COUNTIFS($E$5:$E$1000,E521,$C$5:$C$1000,"Otros")&gt;0,"Otros","")))</f>
        <v/>
      </c>
      <c r="X521" s="24" t="str">
        <f aca="false">IF(E521="","",COUNTIFS($E$5:$E$1000,E521,$AB$5:$AB$1000,AB521,$C$5:$C$1000,"&lt;&gt;"&amp;C521))</f>
        <v/>
      </c>
      <c r="Y521" s="33"/>
      <c r="Z521" s="31"/>
      <c r="AA521" s="33"/>
      <c r="AB521" s="37" t="str">
        <f aca="false">IF(B521="","",YEAR(B521)*100+MONTH(B521))</f>
        <v/>
      </c>
      <c r="AC521" s="37" t="str">
        <f aca="false">IF(AND(E521&lt;&gt;"",E521=Cruce!$C$5),COUNTIF($E$5:E521,E521),"")</f>
        <v/>
      </c>
      <c r="AD521" s="37" t="str">
        <f aca="false">IF(E521="","",C521&amp;"|"&amp;Y521&amp;"|"&amp;IF(B521="","s/f",TEXT(B521,"yyyymmdd")))</f>
        <v/>
      </c>
      <c r="AE521" s="37" t="n">
        <f aca="false">IF(E521="",0,IF(COUNTIFS($E$5:E521,E521,$AD$5:AD521,AD521)=1,1,0))</f>
        <v>0</v>
      </c>
    </row>
    <row r="522" customFormat="false" ht="15" hidden="false" customHeight="true" outlineLevel="0" collapsed="false">
      <c r="A522" s="31"/>
      <c r="B522" s="30"/>
      <c r="C522" s="31"/>
      <c r="D522" s="31"/>
      <c r="E522" s="32"/>
      <c r="F522" s="32"/>
      <c r="G522" s="33"/>
      <c r="H522" s="31"/>
      <c r="I522" s="24" t="str">
        <f aca="false">IF(B522="","",YEAR(B522))</f>
        <v/>
      </c>
      <c r="J522" s="34" t="str">
        <f aca="false">IF(B522="","",IF(MONTH(B522)=1,"X",""))</f>
        <v/>
      </c>
      <c r="K522" s="34" t="str">
        <f aca="false">IF(B522="","",IF(MONTH(B522)=2,"X",""))</f>
        <v/>
      </c>
      <c r="L522" s="34" t="str">
        <f aca="false">IF(B522="","",IF(MONTH(B522)=3,"X",""))</f>
        <v/>
      </c>
      <c r="M522" s="34" t="str">
        <f aca="false">IF(B522="","",IF(MONTH(B522)=4,"X",""))</f>
        <v/>
      </c>
      <c r="N522" s="34" t="str">
        <f aca="false">IF(B522="","",IF(MONTH(B522)=5,"X",""))</f>
        <v/>
      </c>
      <c r="O522" s="34" t="str">
        <f aca="false">IF(B522="","",IF(MONTH(B522)=6,"X",""))</f>
        <v/>
      </c>
      <c r="P522" s="34" t="str">
        <f aca="false">IF(B522="","",IF(MONTH(B522)=7,"X",""))</f>
        <v/>
      </c>
      <c r="Q522" s="34" t="str">
        <f aca="false">IF(B522="","",IF(MONTH(B522)=8,"X",""))</f>
        <v/>
      </c>
      <c r="R522" s="34" t="str">
        <f aca="false">IF(B522="","",IF(MONTH(B522)=9,"X",""))</f>
        <v/>
      </c>
      <c r="S522" s="34" t="str">
        <f aca="false">IF(B522="","",IF(MONTH(B522)=10,"X",""))</f>
        <v/>
      </c>
      <c r="T522" s="34" t="str">
        <f aca="false">IF(B522="","",IF(MONTH(B522)=11,"X",""))</f>
        <v/>
      </c>
      <c r="U522" s="34" t="str">
        <f aca="false">IF(B522="","",IF(MONTH(B522)=12,"X",""))</f>
        <v/>
      </c>
      <c r="V522" s="24" t="str">
        <f aca="false">IF(E522="","",COUNTIF($E$5:$E$1000,E522))</f>
        <v/>
      </c>
      <c r="W522" s="35" t="str">
        <f aca="false">IF(E522="","",_xlfn.TEXTJOIN(" + ",TRUE(),IF(COUNTIFS($E$5:$E$1000,E522,$C$5:$C$1000,"Auditoría Interna")&gt;0,"Interna",""),IF(COUNTIFS($E$5:$E$1000,E522,$C$5:$C$1000,"Auditoría Externa")&gt;0,"Externa",""),IF(COUNTIFS($E$5:$E$1000,E522,$C$5:$C$1000,"SSF")&gt;0,"SSF",""),IF(COUNTIFS($E$5:$E$1000,E522,$C$5:$C$1000,"Comité de Supervisión")&gt;0,"Comité Sup.",""),IF(COUNTIFS($E$5:$E$1000,E522,$C$5:$C$1000,"Consejo de Administración")&gt;0,"Consejo",""),IF(COUNTIFS($E$5:$E$1000,E522,$C$5:$C$1000,"Otros")&gt;0,"Otros","")))</f>
        <v/>
      </c>
      <c r="X522" s="24" t="str">
        <f aca="false">IF(E522="","",COUNTIFS($E$5:$E$1000,E522,$AB$5:$AB$1000,AB522,$C$5:$C$1000,"&lt;&gt;"&amp;C522))</f>
        <v/>
      </c>
      <c r="Y522" s="33"/>
      <c r="Z522" s="31"/>
      <c r="AA522" s="33"/>
      <c r="AB522" s="37" t="str">
        <f aca="false">IF(B522="","",YEAR(B522)*100+MONTH(B522))</f>
        <v/>
      </c>
      <c r="AC522" s="37" t="str">
        <f aca="false">IF(AND(E522&lt;&gt;"",E522=Cruce!$C$5),COUNTIF($E$5:E522,E522),"")</f>
        <v/>
      </c>
      <c r="AD522" s="37" t="str">
        <f aca="false">IF(E522="","",C522&amp;"|"&amp;Y522&amp;"|"&amp;IF(B522="","s/f",TEXT(B522,"yyyymmdd")))</f>
        <v/>
      </c>
      <c r="AE522" s="37" t="n">
        <f aca="false">IF(E522="",0,IF(COUNTIFS($E$5:E522,E522,$AD$5:AD522,AD522)=1,1,0))</f>
        <v>0</v>
      </c>
    </row>
    <row r="523" customFormat="false" ht="15" hidden="false" customHeight="true" outlineLevel="0" collapsed="false">
      <c r="A523" s="31"/>
      <c r="B523" s="30"/>
      <c r="C523" s="31"/>
      <c r="D523" s="31"/>
      <c r="E523" s="32"/>
      <c r="F523" s="32"/>
      <c r="G523" s="33"/>
      <c r="H523" s="31"/>
      <c r="I523" s="24" t="str">
        <f aca="false">IF(B523="","",YEAR(B523))</f>
        <v/>
      </c>
      <c r="J523" s="34" t="str">
        <f aca="false">IF(B523="","",IF(MONTH(B523)=1,"X",""))</f>
        <v/>
      </c>
      <c r="K523" s="34" t="str">
        <f aca="false">IF(B523="","",IF(MONTH(B523)=2,"X",""))</f>
        <v/>
      </c>
      <c r="L523" s="34" t="str">
        <f aca="false">IF(B523="","",IF(MONTH(B523)=3,"X",""))</f>
        <v/>
      </c>
      <c r="M523" s="34" t="str">
        <f aca="false">IF(B523="","",IF(MONTH(B523)=4,"X",""))</f>
        <v/>
      </c>
      <c r="N523" s="34" t="str">
        <f aca="false">IF(B523="","",IF(MONTH(B523)=5,"X",""))</f>
        <v/>
      </c>
      <c r="O523" s="34" t="str">
        <f aca="false">IF(B523="","",IF(MONTH(B523)=6,"X",""))</f>
        <v/>
      </c>
      <c r="P523" s="34" t="str">
        <f aca="false">IF(B523="","",IF(MONTH(B523)=7,"X",""))</f>
        <v/>
      </c>
      <c r="Q523" s="34" t="str">
        <f aca="false">IF(B523="","",IF(MONTH(B523)=8,"X",""))</f>
        <v/>
      </c>
      <c r="R523" s="34" t="str">
        <f aca="false">IF(B523="","",IF(MONTH(B523)=9,"X",""))</f>
        <v/>
      </c>
      <c r="S523" s="34" t="str">
        <f aca="false">IF(B523="","",IF(MONTH(B523)=10,"X",""))</f>
        <v/>
      </c>
      <c r="T523" s="34" t="str">
        <f aca="false">IF(B523="","",IF(MONTH(B523)=11,"X",""))</f>
        <v/>
      </c>
      <c r="U523" s="34" t="str">
        <f aca="false">IF(B523="","",IF(MONTH(B523)=12,"X",""))</f>
        <v/>
      </c>
      <c r="V523" s="24" t="str">
        <f aca="false">IF(E523="","",COUNTIF($E$5:$E$1000,E523))</f>
        <v/>
      </c>
      <c r="W523" s="35" t="str">
        <f aca="false">IF(E523="","",_xlfn.TEXTJOIN(" + ",TRUE(),IF(COUNTIFS($E$5:$E$1000,E523,$C$5:$C$1000,"Auditoría Interna")&gt;0,"Interna",""),IF(COUNTIFS($E$5:$E$1000,E523,$C$5:$C$1000,"Auditoría Externa")&gt;0,"Externa",""),IF(COUNTIFS($E$5:$E$1000,E523,$C$5:$C$1000,"SSF")&gt;0,"SSF",""),IF(COUNTIFS($E$5:$E$1000,E523,$C$5:$C$1000,"Comité de Supervisión")&gt;0,"Comité Sup.",""),IF(COUNTIFS($E$5:$E$1000,E523,$C$5:$C$1000,"Consejo de Administración")&gt;0,"Consejo",""),IF(COUNTIFS($E$5:$E$1000,E523,$C$5:$C$1000,"Otros")&gt;0,"Otros","")))</f>
        <v/>
      </c>
      <c r="X523" s="24" t="str">
        <f aca="false">IF(E523="","",COUNTIFS($E$5:$E$1000,E523,$AB$5:$AB$1000,AB523,$C$5:$C$1000,"&lt;&gt;"&amp;C523))</f>
        <v/>
      </c>
      <c r="Y523" s="33"/>
      <c r="Z523" s="31"/>
      <c r="AA523" s="33"/>
      <c r="AB523" s="37" t="str">
        <f aca="false">IF(B523="","",YEAR(B523)*100+MONTH(B523))</f>
        <v/>
      </c>
      <c r="AC523" s="37" t="str">
        <f aca="false">IF(AND(E523&lt;&gt;"",E523=Cruce!$C$5),COUNTIF($E$5:E523,E523),"")</f>
        <v/>
      </c>
      <c r="AD523" s="37" t="str">
        <f aca="false">IF(E523="","",C523&amp;"|"&amp;Y523&amp;"|"&amp;IF(B523="","s/f",TEXT(B523,"yyyymmdd")))</f>
        <v/>
      </c>
      <c r="AE523" s="37" t="n">
        <f aca="false">IF(E523="",0,IF(COUNTIFS($E$5:E523,E523,$AD$5:AD523,AD523)=1,1,0))</f>
        <v>0</v>
      </c>
    </row>
    <row r="524" customFormat="false" ht="15" hidden="false" customHeight="true" outlineLevel="0" collapsed="false">
      <c r="A524" s="31"/>
      <c r="B524" s="30"/>
      <c r="C524" s="31"/>
      <c r="D524" s="31"/>
      <c r="E524" s="32"/>
      <c r="F524" s="32"/>
      <c r="G524" s="33"/>
      <c r="H524" s="31"/>
      <c r="I524" s="24" t="str">
        <f aca="false">IF(B524="","",YEAR(B524))</f>
        <v/>
      </c>
      <c r="J524" s="34" t="str">
        <f aca="false">IF(B524="","",IF(MONTH(B524)=1,"X",""))</f>
        <v/>
      </c>
      <c r="K524" s="34" t="str">
        <f aca="false">IF(B524="","",IF(MONTH(B524)=2,"X",""))</f>
        <v/>
      </c>
      <c r="L524" s="34" t="str">
        <f aca="false">IF(B524="","",IF(MONTH(B524)=3,"X",""))</f>
        <v/>
      </c>
      <c r="M524" s="34" t="str">
        <f aca="false">IF(B524="","",IF(MONTH(B524)=4,"X",""))</f>
        <v/>
      </c>
      <c r="N524" s="34" t="str">
        <f aca="false">IF(B524="","",IF(MONTH(B524)=5,"X",""))</f>
        <v/>
      </c>
      <c r="O524" s="34" t="str">
        <f aca="false">IF(B524="","",IF(MONTH(B524)=6,"X",""))</f>
        <v/>
      </c>
      <c r="P524" s="34" t="str">
        <f aca="false">IF(B524="","",IF(MONTH(B524)=7,"X",""))</f>
        <v/>
      </c>
      <c r="Q524" s="34" t="str">
        <f aca="false">IF(B524="","",IF(MONTH(B524)=8,"X",""))</f>
        <v/>
      </c>
      <c r="R524" s="34" t="str">
        <f aca="false">IF(B524="","",IF(MONTH(B524)=9,"X",""))</f>
        <v/>
      </c>
      <c r="S524" s="34" t="str">
        <f aca="false">IF(B524="","",IF(MONTH(B524)=10,"X",""))</f>
        <v/>
      </c>
      <c r="T524" s="34" t="str">
        <f aca="false">IF(B524="","",IF(MONTH(B524)=11,"X",""))</f>
        <v/>
      </c>
      <c r="U524" s="34" t="str">
        <f aca="false">IF(B524="","",IF(MONTH(B524)=12,"X",""))</f>
        <v/>
      </c>
      <c r="V524" s="24" t="str">
        <f aca="false">IF(E524="","",COUNTIF($E$5:$E$1000,E524))</f>
        <v/>
      </c>
      <c r="W524" s="35" t="str">
        <f aca="false">IF(E524="","",_xlfn.TEXTJOIN(" + ",TRUE(),IF(COUNTIFS($E$5:$E$1000,E524,$C$5:$C$1000,"Auditoría Interna")&gt;0,"Interna",""),IF(COUNTIFS($E$5:$E$1000,E524,$C$5:$C$1000,"Auditoría Externa")&gt;0,"Externa",""),IF(COUNTIFS($E$5:$E$1000,E524,$C$5:$C$1000,"SSF")&gt;0,"SSF",""),IF(COUNTIFS($E$5:$E$1000,E524,$C$5:$C$1000,"Comité de Supervisión")&gt;0,"Comité Sup.",""),IF(COUNTIFS($E$5:$E$1000,E524,$C$5:$C$1000,"Consejo de Administración")&gt;0,"Consejo",""),IF(COUNTIFS($E$5:$E$1000,E524,$C$5:$C$1000,"Otros")&gt;0,"Otros","")))</f>
        <v/>
      </c>
      <c r="X524" s="24" t="str">
        <f aca="false">IF(E524="","",COUNTIFS($E$5:$E$1000,E524,$AB$5:$AB$1000,AB524,$C$5:$C$1000,"&lt;&gt;"&amp;C524))</f>
        <v/>
      </c>
      <c r="Y524" s="33"/>
      <c r="Z524" s="31"/>
      <c r="AA524" s="33"/>
      <c r="AB524" s="37" t="str">
        <f aca="false">IF(B524="","",YEAR(B524)*100+MONTH(B524))</f>
        <v/>
      </c>
      <c r="AC524" s="37" t="str">
        <f aca="false">IF(AND(E524&lt;&gt;"",E524=Cruce!$C$5),COUNTIF($E$5:E524,E524),"")</f>
        <v/>
      </c>
      <c r="AD524" s="37" t="str">
        <f aca="false">IF(E524="","",C524&amp;"|"&amp;Y524&amp;"|"&amp;IF(B524="","s/f",TEXT(B524,"yyyymmdd")))</f>
        <v/>
      </c>
      <c r="AE524" s="37" t="n">
        <f aca="false">IF(E524="",0,IF(COUNTIFS($E$5:E524,E524,$AD$5:AD524,AD524)=1,1,0))</f>
        <v>0</v>
      </c>
    </row>
    <row r="525" customFormat="false" ht="15" hidden="false" customHeight="true" outlineLevel="0" collapsed="false">
      <c r="A525" s="31"/>
      <c r="B525" s="30"/>
      <c r="C525" s="31"/>
      <c r="D525" s="31"/>
      <c r="E525" s="32"/>
      <c r="F525" s="32"/>
      <c r="G525" s="33"/>
      <c r="H525" s="31"/>
      <c r="I525" s="24" t="str">
        <f aca="false">IF(B525="","",YEAR(B525))</f>
        <v/>
      </c>
      <c r="J525" s="34" t="str">
        <f aca="false">IF(B525="","",IF(MONTH(B525)=1,"X",""))</f>
        <v/>
      </c>
      <c r="K525" s="34" t="str">
        <f aca="false">IF(B525="","",IF(MONTH(B525)=2,"X",""))</f>
        <v/>
      </c>
      <c r="L525" s="34" t="str">
        <f aca="false">IF(B525="","",IF(MONTH(B525)=3,"X",""))</f>
        <v/>
      </c>
      <c r="M525" s="34" t="str">
        <f aca="false">IF(B525="","",IF(MONTH(B525)=4,"X",""))</f>
        <v/>
      </c>
      <c r="N525" s="34" t="str">
        <f aca="false">IF(B525="","",IF(MONTH(B525)=5,"X",""))</f>
        <v/>
      </c>
      <c r="O525" s="34" t="str">
        <f aca="false">IF(B525="","",IF(MONTH(B525)=6,"X",""))</f>
        <v/>
      </c>
      <c r="P525" s="34" t="str">
        <f aca="false">IF(B525="","",IF(MONTH(B525)=7,"X",""))</f>
        <v/>
      </c>
      <c r="Q525" s="34" t="str">
        <f aca="false">IF(B525="","",IF(MONTH(B525)=8,"X",""))</f>
        <v/>
      </c>
      <c r="R525" s="34" t="str">
        <f aca="false">IF(B525="","",IF(MONTH(B525)=9,"X",""))</f>
        <v/>
      </c>
      <c r="S525" s="34" t="str">
        <f aca="false">IF(B525="","",IF(MONTH(B525)=10,"X",""))</f>
        <v/>
      </c>
      <c r="T525" s="34" t="str">
        <f aca="false">IF(B525="","",IF(MONTH(B525)=11,"X",""))</f>
        <v/>
      </c>
      <c r="U525" s="34" t="str">
        <f aca="false">IF(B525="","",IF(MONTH(B525)=12,"X",""))</f>
        <v/>
      </c>
      <c r="V525" s="24" t="str">
        <f aca="false">IF(E525="","",COUNTIF($E$5:$E$1000,E525))</f>
        <v/>
      </c>
      <c r="W525" s="35" t="str">
        <f aca="false">IF(E525="","",_xlfn.TEXTJOIN(" + ",TRUE(),IF(COUNTIFS($E$5:$E$1000,E525,$C$5:$C$1000,"Auditoría Interna")&gt;0,"Interna",""),IF(COUNTIFS($E$5:$E$1000,E525,$C$5:$C$1000,"Auditoría Externa")&gt;0,"Externa",""),IF(COUNTIFS($E$5:$E$1000,E525,$C$5:$C$1000,"SSF")&gt;0,"SSF",""),IF(COUNTIFS($E$5:$E$1000,E525,$C$5:$C$1000,"Comité de Supervisión")&gt;0,"Comité Sup.",""),IF(COUNTIFS($E$5:$E$1000,E525,$C$5:$C$1000,"Consejo de Administración")&gt;0,"Consejo",""),IF(COUNTIFS($E$5:$E$1000,E525,$C$5:$C$1000,"Otros")&gt;0,"Otros","")))</f>
        <v/>
      </c>
      <c r="X525" s="24" t="str">
        <f aca="false">IF(E525="","",COUNTIFS($E$5:$E$1000,E525,$AB$5:$AB$1000,AB525,$C$5:$C$1000,"&lt;&gt;"&amp;C525))</f>
        <v/>
      </c>
      <c r="Y525" s="33"/>
      <c r="Z525" s="31"/>
      <c r="AA525" s="33"/>
      <c r="AB525" s="37" t="str">
        <f aca="false">IF(B525="","",YEAR(B525)*100+MONTH(B525))</f>
        <v/>
      </c>
      <c r="AC525" s="37" t="str">
        <f aca="false">IF(AND(E525&lt;&gt;"",E525=Cruce!$C$5),COUNTIF($E$5:E525,E525),"")</f>
        <v/>
      </c>
      <c r="AD525" s="37" t="str">
        <f aca="false">IF(E525="","",C525&amp;"|"&amp;Y525&amp;"|"&amp;IF(B525="","s/f",TEXT(B525,"yyyymmdd")))</f>
        <v/>
      </c>
      <c r="AE525" s="37" t="n">
        <f aca="false">IF(E525="",0,IF(COUNTIFS($E$5:E525,E525,$AD$5:AD525,AD525)=1,1,0))</f>
        <v>0</v>
      </c>
    </row>
    <row r="526" customFormat="false" ht="15" hidden="false" customHeight="true" outlineLevel="0" collapsed="false">
      <c r="A526" s="31"/>
      <c r="B526" s="30"/>
      <c r="C526" s="31"/>
      <c r="D526" s="31"/>
      <c r="E526" s="32"/>
      <c r="F526" s="32"/>
      <c r="G526" s="33"/>
      <c r="H526" s="31"/>
      <c r="I526" s="24" t="str">
        <f aca="false">IF(B526="","",YEAR(B526))</f>
        <v/>
      </c>
      <c r="J526" s="34" t="str">
        <f aca="false">IF(B526="","",IF(MONTH(B526)=1,"X",""))</f>
        <v/>
      </c>
      <c r="K526" s="34" t="str">
        <f aca="false">IF(B526="","",IF(MONTH(B526)=2,"X",""))</f>
        <v/>
      </c>
      <c r="L526" s="34" t="str">
        <f aca="false">IF(B526="","",IF(MONTH(B526)=3,"X",""))</f>
        <v/>
      </c>
      <c r="M526" s="34" t="str">
        <f aca="false">IF(B526="","",IF(MONTH(B526)=4,"X",""))</f>
        <v/>
      </c>
      <c r="N526" s="34" t="str">
        <f aca="false">IF(B526="","",IF(MONTH(B526)=5,"X",""))</f>
        <v/>
      </c>
      <c r="O526" s="34" t="str">
        <f aca="false">IF(B526="","",IF(MONTH(B526)=6,"X",""))</f>
        <v/>
      </c>
      <c r="P526" s="34" t="str">
        <f aca="false">IF(B526="","",IF(MONTH(B526)=7,"X",""))</f>
        <v/>
      </c>
      <c r="Q526" s="34" t="str">
        <f aca="false">IF(B526="","",IF(MONTH(B526)=8,"X",""))</f>
        <v/>
      </c>
      <c r="R526" s="34" t="str">
        <f aca="false">IF(B526="","",IF(MONTH(B526)=9,"X",""))</f>
        <v/>
      </c>
      <c r="S526" s="34" t="str">
        <f aca="false">IF(B526="","",IF(MONTH(B526)=10,"X",""))</f>
        <v/>
      </c>
      <c r="T526" s="34" t="str">
        <f aca="false">IF(B526="","",IF(MONTH(B526)=11,"X",""))</f>
        <v/>
      </c>
      <c r="U526" s="34" t="str">
        <f aca="false">IF(B526="","",IF(MONTH(B526)=12,"X",""))</f>
        <v/>
      </c>
      <c r="V526" s="24" t="str">
        <f aca="false">IF(E526="","",COUNTIF($E$5:$E$1000,E526))</f>
        <v/>
      </c>
      <c r="W526" s="35" t="str">
        <f aca="false">IF(E526="","",_xlfn.TEXTJOIN(" + ",TRUE(),IF(COUNTIFS($E$5:$E$1000,E526,$C$5:$C$1000,"Auditoría Interna")&gt;0,"Interna",""),IF(COUNTIFS($E$5:$E$1000,E526,$C$5:$C$1000,"Auditoría Externa")&gt;0,"Externa",""),IF(COUNTIFS($E$5:$E$1000,E526,$C$5:$C$1000,"SSF")&gt;0,"SSF",""),IF(COUNTIFS($E$5:$E$1000,E526,$C$5:$C$1000,"Comité de Supervisión")&gt;0,"Comité Sup.",""),IF(COUNTIFS($E$5:$E$1000,E526,$C$5:$C$1000,"Consejo de Administración")&gt;0,"Consejo",""),IF(COUNTIFS($E$5:$E$1000,E526,$C$5:$C$1000,"Otros")&gt;0,"Otros","")))</f>
        <v/>
      </c>
      <c r="X526" s="24" t="str">
        <f aca="false">IF(E526="","",COUNTIFS($E$5:$E$1000,E526,$AB$5:$AB$1000,AB526,$C$5:$C$1000,"&lt;&gt;"&amp;C526))</f>
        <v/>
      </c>
      <c r="Y526" s="33"/>
      <c r="Z526" s="31"/>
      <c r="AA526" s="33"/>
      <c r="AB526" s="37" t="str">
        <f aca="false">IF(B526="","",YEAR(B526)*100+MONTH(B526))</f>
        <v/>
      </c>
      <c r="AC526" s="37" t="str">
        <f aca="false">IF(AND(E526&lt;&gt;"",E526=Cruce!$C$5),COUNTIF($E$5:E526,E526),"")</f>
        <v/>
      </c>
      <c r="AD526" s="37" t="str">
        <f aca="false">IF(E526="","",C526&amp;"|"&amp;Y526&amp;"|"&amp;IF(B526="","s/f",TEXT(B526,"yyyymmdd")))</f>
        <v/>
      </c>
      <c r="AE526" s="37" t="n">
        <f aca="false">IF(E526="",0,IF(COUNTIFS($E$5:E526,E526,$AD$5:AD526,AD526)=1,1,0))</f>
        <v>0</v>
      </c>
    </row>
    <row r="527" customFormat="false" ht="15" hidden="false" customHeight="true" outlineLevel="0" collapsed="false">
      <c r="A527" s="31"/>
      <c r="B527" s="30"/>
      <c r="C527" s="31"/>
      <c r="D527" s="31"/>
      <c r="E527" s="32"/>
      <c r="F527" s="32"/>
      <c r="G527" s="33"/>
      <c r="H527" s="31"/>
      <c r="I527" s="24" t="str">
        <f aca="false">IF(B527="","",YEAR(B527))</f>
        <v/>
      </c>
      <c r="J527" s="34" t="str">
        <f aca="false">IF(B527="","",IF(MONTH(B527)=1,"X",""))</f>
        <v/>
      </c>
      <c r="K527" s="34" t="str">
        <f aca="false">IF(B527="","",IF(MONTH(B527)=2,"X",""))</f>
        <v/>
      </c>
      <c r="L527" s="34" t="str">
        <f aca="false">IF(B527="","",IF(MONTH(B527)=3,"X",""))</f>
        <v/>
      </c>
      <c r="M527" s="34" t="str">
        <f aca="false">IF(B527="","",IF(MONTH(B527)=4,"X",""))</f>
        <v/>
      </c>
      <c r="N527" s="34" t="str">
        <f aca="false">IF(B527="","",IF(MONTH(B527)=5,"X",""))</f>
        <v/>
      </c>
      <c r="O527" s="34" t="str">
        <f aca="false">IF(B527="","",IF(MONTH(B527)=6,"X",""))</f>
        <v/>
      </c>
      <c r="P527" s="34" t="str">
        <f aca="false">IF(B527="","",IF(MONTH(B527)=7,"X",""))</f>
        <v/>
      </c>
      <c r="Q527" s="34" t="str">
        <f aca="false">IF(B527="","",IF(MONTH(B527)=8,"X",""))</f>
        <v/>
      </c>
      <c r="R527" s="34" t="str">
        <f aca="false">IF(B527="","",IF(MONTH(B527)=9,"X",""))</f>
        <v/>
      </c>
      <c r="S527" s="34" t="str">
        <f aca="false">IF(B527="","",IF(MONTH(B527)=10,"X",""))</f>
        <v/>
      </c>
      <c r="T527" s="34" t="str">
        <f aca="false">IF(B527="","",IF(MONTH(B527)=11,"X",""))</f>
        <v/>
      </c>
      <c r="U527" s="34" t="str">
        <f aca="false">IF(B527="","",IF(MONTH(B527)=12,"X",""))</f>
        <v/>
      </c>
      <c r="V527" s="24" t="str">
        <f aca="false">IF(E527="","",COUNTIF($E$5:$E$1000,E527))</f>
        <v/>
      </c>
      <c r="W527" s="35" t="str">
        <f aca="false">IF(E527="","",_xlfn.TEXTJOIN(" + ",TRUE(),IF(COUNTIFS($E$5:$E$1000,E527,$C$5:$C$1000,"Auditoría Interna")&gt;0,"Interna",""),IF(COUNTIFS($E$5:$E$1000,E527,$C$5:$C$1000,"Auditoría Externa")&gt;0,"Externa",""),IF(COUNTIFS($E$5:$E$1000,E527,$C$5:$C$1000,"SSF")&gt;0,"SSF",""),IF(COUNTIFS($E$5:$E$1000,E527,$C$5:$C$1000,"Comité de Supervisión")&gt;0,"Comité Sup.",""),IF(COUNTIFS($E$5:$E$1000,E527,$C$5:$C$1000,"Consejo de Administración")&gt;0,"Consejo",""),IF(COUNTIFS($E$5:$E$1000,E527,$C$5:$C$1000,"Otros")&gt;0,"Otros","")))</f>
        <v/>
      </c>
      <c r="X527" s="24" t="str">
        <f aca="false">IF(E527="","",COUNTIFS($E$5:$E$1000,E527,$AB$5:$AB$1000,AB527,$C$5:$C$1000,"&lt;&gt;"&amp;C527))</f>
        <v/>
      </c>
      <c r="Y527" s="33"/>
      <c r="Z527" s="31"/>
      <c r="AA527" s="33"/>
      <c r="AB527" s="37" t="str">
        <f aca="false">IF(B527="","",YEAR(B527)*100+MONTH(B527))</f>
        <v/>
      </c>
      <c r="AC527" s="37" t="str">
        <f aca="false">IF(AND(E527&lt;&gt;"",E527=Cruce!$C$5),COUNTIF($E$5:E527,E527),"")</f>
        <v/>
      </c>
      <c r="AD527" s="37" t="str">
        <f aca="false">IF(E527="","",C527&amp;"|"&amp;Y527&amp;"|"&amp;IF(B527="","s/f",TEXT(B527,"yyyymmdd")))</f>
        <v/>
      </c>
      <c r="AE527" s="37" t="n">
        <f aca="false">IF(E527="",0,IF(COUNTIFS($E$5:E527,E527,$AD$5:AD527,AD527)=1,1,0))</f>
        <v>0</v>
      </c>
    </row>
    <row r="528" customFormat="false" ht="15" hidden="false" customHeight="true" outlineLevel="0" collapsed="false">
      <c r="A528" s="31"/>
      <c r="B528" s="30"/>
      <c r="C528" s="31"/>
      <c r="D528" s="31"/>
      <c r="E528" s="32"/>
      <c r="F528" s="32"/>
      <c r="G528" s="33"/>
      <c r="H528" s="31"/>
      <c r="I528" s="24" t="str">
        <f aca="false">IF(B528="","",YEAR(B528))</f>
        <v/>
      </c>
      <c r="J528" s="34" t="str">
        <f aca="false">IF(B528="","",IF(MONTH(B528)=1,"X",""))</f>
        <v/>
      </c>
      <c r="K528" s="34" t="str">
        <f aca="false">IF(B528="","",IF(MONTH(B528)=2,"X",""))</f>
        <v/>
      </c>
      <c r="L528" s="34" t="str">
        <f aca="false">IF(B528="","",IF(MONTH(B528)=3,"X",""))</f>
        <v/>
      </c>
      <c r="M528" s="34" t="str">
        <f aca="false">IF(B528="","",IF(MONTH(B528)=4,"X",""))</f>
        <v/>
      </c>
      <c r="N528" s="34" t="str">
        <f aca="false">IF(B528="","",IF(MONTH(B528)=5,"X",""))</f>
        <v/>
      </c>
      <c r="O528" s="34" t="str">
        <f aca="false">IF(B528="","",IF(MONTH(B528)=6,"X",""))</f>
        <v/>
      </c>
      <c r="P528" s="34" t="str">
        <f aca="false">IF(B528="","",IF(MONTH(B528)=7,"X",""))</f>
        <v/>
      </c>
      <c r="Q528" s="34" t="str">
        <f aca="false">IF(B528="","",IF(MONTH(B528)=8,"X",""))</f>
        <v/>
      </c>
      <c r="R528" s="34" t="str">
        <f aca="false">IF(B528="","",IF(MONTH(B528)=9,"X",""))</f>
        <v/>
      </c>
      <c r="S528" s="34" t="str">
        <f aca="false">IF(B528="","",IF(MONTH(B528)=10,"X",""))</f>
        <v/>
      </c>
      <c r="T528" s="34" t="str">
        <f aca="false">IF(B528="","",IF(MONTH(B528)=11,"X",""))</f>
        <v/>
      </c>
      <c r="U528" s="34" t="str">
        <f aca="false">IF(B528="","",IF(MONTH(B528)=12,"X",""))</f>
        <v/>
      </c>
      <c r="V528" s="24" t="str">
        <f aca="false">IF(E528="","",COUNTIF($E$5:$E$1000,E528))</f>
        <v/>
      </c>
      <c r="W528" s="35" t="str">
        <f aca="false">IF(E528="","",_xlfn.TEXTJOIN(" + ",TRUE(),IF(COUNTIFS($E$5:$E$1000,E528,$C$5:$C$1000,"Auditoría Interna")&gt;0,"Interna",""),IF(COUNTIFS($E$5:$E$1000,E528,$C$5:$C$1000,"Auditoría Externa")&gt;0,"Externa",""),IF(COUNTIFS($E$5:$E$1000,E528,$C$5:$C$1000,"SSF")&gt;0,"SSF",""),IF(COUNTIFS($E$5:$E$1000,E528,$C$5:$C$1000,"Comité de Supervisión")&gt;0,"Comité Sup.",""),IF(COUNTIFS($E$5:$E$1000,E528,$C$5:$C$1000,"Consejo de Administración")&gt;0,"Consejo",""),IF(COUNTIFS($E$5:$E$1000,E528,$C$5:$C$1000,"Otros")&gt;0,"Otros","")))</f>
        <v/>
      </c>
      <c r="X528" s="24" t="str">
        <f aca="false">IF(E528="","",COUNTIFS($E$5:$E$1000,E528,$AB$5:$AB$1000,AB528,$C$5:$C$1000,"&lt;&gt;"&amp;C528))</f>
        <v/>
      </c>
      <c r="Y528" s="33"/>
      <c r="Z528" s="31"/>
      <c r="AA528" s="33"/>
      <c r="AB528" s="37" t="str">
        <f aca="false">IF(B528="","",YEAR(B528)*100+MONTH(B528))</f>
        <v/>
      </c>
      <c r="AC528" s="37" t="str">
        <f aca="false">IF(AND(E528&lt;&gt;"",E528=Cruce!$C$5),COUNTIF($E$5:E528,E528),"")</f>
        <v/>
      </c>
      <c r="AD528" s="37" t="str">
        <f aca="false">IF(E528="","",C528&amp;"|"&amp;Y528&amp;"|"&amp;IF(B528="","s/f",TEXT(B528,"yyyymmdd")))</f>
        <v/>
      </c>
      <c r="AE528" s="37" t="n">
        <f aca="false">IF(E528="",0,IF(COUNTIFS($E$5:E528,E528,$AD$5:AD528,AD528)=1,1,0))</f>
        <v>0</v>
      </c>
    </row>
    <row r="529" customFormat="false" ht="15" hidden="false" customHeight="true" outlineLevel="0" collapsed="false">
      <c r="A529" s="31"/>
      <c r="B529" s="30"/>
      <c r="C529" s="31"/>
      <c r="D529" s="31"/>
      <c r="E529" s="32"/>
      <c r="F529" s="32"/>
      <c r="G529" s="33"/>
      <c r="H529" s="31"/>
      <c r="I529" s="24" t="str">
        <f aca="false">IF(B529="","",YEAR(B529))</f>
        <v/>
      </c>
      <c r="J529" s="34" t="str">
        <f aca="false">IF(B529="","",IF(MONTH(B529)=1,"X",""))</f>
        <v/>
      </c>
      <c r="K529" s="34" t="str">
        <f aca="false">IF(B529="","",IF(MONTH(B529)=2,"X",""))</f>
        <v/>
      </c>
      <c r="L529" s="34" t="str">
        <f aca="false">IF(B529="","",IF(MONTH(B529)=3,"X",""))</f>
        <v/>
      </c>
      <c r="M529" s="34" t="str">
        <f aca="false">IF(B529="","",IF(MONTH(B529)=4,"X",""))</f>
        <v/>
      </c>
      <c r="N529" s="34" t="str">
        <f aca="false">IF(B529="","",IF(MONTH(B529)=5,"X",""))</f>
        <v/>
      </c>
      <c r="O529" s="34" t="str">
        <f aca="false">IF(B529="","",IF(MONTH(B529)=6,"X",""))</f>
        <v/>
      </c>
      <c r="P529" s="34" t="str">
        <f aca="false">IF(B529="","",IF(MONTH(B529)=7,"X",""))</f>
        <v/>
      </c>
      <c r="Q529" s="34" t="str">
        <f aca="false">IF(B529="","",IF(MONTH(B529)=8,"X",""))</f>
        <v/>
      </c>
      <c r="R529" s="34" t="str">
        <f aca="false">IF(B529="","",IF(MONTH(B529)=9,"X",""))</f>
        <v/>
      </c>
      <c r="S529" s="34" t="str">
        <f aca="false">IF(B529="","",IF(MONTH(B529)=10,"X",""))</f>
        <v/>
      </c>
      <c r="T529" s="34" t="str">
        <f aca="false">IF(B529="","",IF(MONTH(B529)=11,"X",""))</f>
        <v/>
      </c>
      <c r="U529" s="34" t="str">
        <f aca="false">IF(B529="","",IF(MONTH(B529)=12,"X",""))</f>
        <v/>
      </c>
      <c r="V529" s="24" t="str">
        <f aca="false">IF(E529="","",COUNTIF($E$5:$E$1000,E529))</f>
        <v/>
      </c>
      <c r="W529" s="35" t="str">
        <f aca="false">IF(E529="","",_xlfn.TEXTJOIN(" + ",TRUE(),IF(COUNTIFS($E$5:$E$1000,E529,$C$5:$C$1000,"Auditoría Interna")&gt;0,"Interna",""),IF(COUNTIFS($E$5:$E$1000,E529,$C$5:$C$1000,"Auditoría Externa")&gt;0,"Externa",""),IF(COUNTIFS($E$5:$E$1000,E529,$C$5:$C$1000,"SSF")&gt;0,"SSF",""),IF(COUNTIFS($E$5:$E$1000,E529,$C$5:$C$1000,"Comité de Supervisión")&gt;0,"Comité Sup.",""),IF(COUNTIFS($E$5:$E$1000,E529,$C$5:$C$1000,"Consejo de Administración")&gt;0,"Consejo",""),IF(COUNTIFS($E$5:$E$1000,E529,$C$5:$C$1000,"Otros")&gt;0,"Otros","")))</f>
        <v/>
      </c>
      <c r="X529" s="24" t="str">
        <f aca="false">IF(E529="","",COUNTIFS($E$5:$E$1000,E529,$AB$5:$AB$1000,AB529,$C$5:$C$1000,"&lt;&gt;"&amp;C529))</f>
        <v/>
      </c>
      <c r="Y529" s="33"/>
      <c r="Z529" s="31"/>
      <c r="AA529" s="33"/>
      <c r="AB529" s="37" t="str">
        <f aca="false">IF(B529="","",YEAR(B529)*100+MONTH(B529))</f>
        <v/>
      </c>
      <c r="AC529" s="37" t="str">
        <f aca="false">IF(AND(E529&lt;&gt;"",E529=Cruce!$C$5),COUNTIF($E$5:E529,E529),"")</f>
        <v/>
      </c>
      <c r="AD529" s="37" t="str">
        <f aca="false">IF(E529="","",C529&amp;"|"&amp;Y529&amp;"|"&amp;IF(B529="","s/f",TEXT(B529,"yyyymmdd")))</f>
        <v/>
      </c>
      <c r="AE529" s="37" t="n">
        <f aca="false">IF(E529="",0,IF(COUNTIFS($E$5:E529,E529,$AD$5:AD529,AD529)=1,1,0))</f>
        <v>0</v>
      </c>
    </row>
    <row r="530" customFormat="false" ht="15" hidden="false" customHeight="true" outlineLevel="0" collapsed="false">
      <c r="A530" s="31"/>
      <c r="B530" s="30"/>
      <c r="C530" s="31"/>
      <c r="D530" s="31"/>
      <c r="E530" s="32"/>
      <c r="F530" s="32"/>
      <c r="G530" s="33"/>
      <c r="H530" s="31"/>
      <c r="I530" s="24" t="str">
        <f aca="false">IF(B530="","",YEAR(B530))</f>
        <v/>
      </c>
      <c r="J530" s="34" t="str">
        <f aca="false">IF(B530="","",IF(MONTH(B530)=1,"X",""))</f>
        <v/>
      </c>
      <c r="K530" s="34" t="str">
        <f aca="false">IF(B530="","",IF(MONTH(B530)=2,"X",""))</f>
        <v/>
      </c>
      <c r="L530" s="34" t="str">
        <f aca="false">IF(B530="","",IF(MONTH(B530)=3,"X",""))</f>
        <v/>
      </c>
      <c r="M530" s="34" t="str">
        <f aca="false">IF(B530="","",IF(MONTH(B530)=4,"X",""))</f>
        <v/>
      </c>
      <c r="N530" s="34" t="str">
        <f aca="false">IF(B530="","",IF(MONTH(B530)=5,"X",""))</f>
        <v/>
      </c>
      <c r="O530" s="34" t="str">
        <f aca="false">IF(B530="","",IF(MONTH(B530)=6,"X",""))</f>
        <v/>
      </c>
      <c r="P530" s="34" t="str">
        <f aca="false">IF(B530="","",IF(MONTH(B530)=7,"X",""))</f>
        <v/>
      </c>
      <c r="Q530" s="34" t="str">
        <f aca="false">IF(B530="","",IF(MONTH(B530)=8,"X",""))</f>
        <v/>
      </c>
      <c r="R530" s="34" t="str">
        <f aca="false">IF(B530="","",IF(MONTH(B530)=9,"X",""))</f>
        <v/>
      </c>
      <c r="S530" s="34" t="str">
        <f aca="false">IF(B530="","",IF(MONTH(B530)=10,"X",""))</f>
        <v/>
      </c>
      <c r="T530" s="34" t="str">
        <f aca="false">IF(B530="","",IF(MONTH(B530)=11,"X",""))</f>
        <v/>
      </c>
      <c r="U530" s="34" t="str">
        <f aca="false">IF(B530="","",IF(MONTH(B530)=12,"X",""))</f>
        <v/>
      </c>
      <c r="V530" s="24" t="str">
        <f aca="false">IF(E530="","",COUNTIF($E$5:$E$1000,E530))</f>
        <v/>
      </c>
      <c r="W530" s="35" t="str">
        <f aca="false">IF(E530="","",_xlfn.TEXTJOIN(" + ",TRUE(),IF(COUNTIFS($E$5:$E$1000,E530,$C$5:$C$1000,"Auditoría Interna")&gt;0,"Interna",""),IF(COUNTIFS($E$5:$E$1000,E530,$C$5:$C$1000,"Auditoría Externa")&gt;0,"Externa",""),IF(COUNTIFS($E$5:$E$1000,E530,$C$5:$C$1000,"SSF")&gt;0,"SSF",""),IF(COUNTIFS($E$5:$E$1000,E530,$C$5:$C$1000,"Comité de Supervisión")&gt;0,"Comité Sup.",""),IF(COUNTIFS($E$5:$E$1000,E530,$C$5:$C$1000,"Consejo de Administración")&gt;0,"Consejo",""),IF(COUNTIFS($E$5:$E$1000,E530,$C$5:$C$1000,"Otros")&gt;0,"Otros","")))</f>
        <v/>
      </c>
      <c r="X530" s="24" t="str">
        <f aca="false">IF(E530="","",COUNTIFS($E$5:$E$1000,E530,$AB$5:$AB$1000,AB530,$C$5:$C$1000,"&lt;&gt;"&amp;C530))</f>
        <v/>
      </c>
      <c r="Y530" s="33"/>
      <c r="Z530" s="31"/>
      <c r="AA530" s="33"/>
      <c r="AB530" s="37" t="str">
        <f aca="false">IF(B530="","",YEAR(B530)*100+MONTH(B530))</f>
        <v/>
      </c>
      <c r="AC530" s="37" t="str">
        <f aca="false">IF(AND(E530&lt;&gt;"",E530=Cruce!$C$5),COUNTIF($E$5:E530,E530),"")</f>
        <v/>
      </c>
      <c r="AD530" s="37" t="str">
        <f aca="false">IF(E530="","",C530&amp;"|"&amp;Y530&amp;"|"&amp;IF(B530="","s/f",TEXT(B530,"yyyymmdd")))</f>
        <v/>
      </c>
      <c r="AE530" s="37" t="n">
        <f aca="false">IF(E530="",0,IF(COUNTIFS($E$5:E530,E530,$AD$5:AD530,AD530)=1,1,0))</f>
        <v>0</v>
      </c>
    </row>
    <row r="531" customFormat="false" ht="15" hidden="false" customHeight="true" outlineLevel="0" collapsed="false">
      <c r="A531" s="31"/>
      <c r="B531" s="30"/>
      <c r="C531" s="31"/>
      <c r="D531" s="31"/>
      <c r="E531" s="32"/>
      <c r="F531" s="32"/>
      <c r="G531" s="33"/>
      <c r="H531" s="31"/>
      <c r="I531" s="24" t="str">
        <f aca="false">IF(B531="","",YEAR(B531))</f>
        <v/>
      </c>
      <c r="J531" s="34" t="str">
        <f aca="false">IF(B531="","",IF(MONTH(B531)=1,"X",""))</f>
        <v/>
      </c>
      <c r="K531" s="34" t="str">
        <f aca="false">IF(B531="","",IF(MONTH(B531)=2,"X",""))</f>
        <v/>
      </c>
      <c r="L531" s="34" t="str">
        <f aca="false">IF(B531="","",IF(MONTH(B531)=3,"X",""))</f>
        <v/>
      </c>
      <c r="M531" s="34" t="str">
        <f aca="false">IF(B531="","",IF(MONTH(B531)=4,"X",""))</f>
        <v/>
      </c>
      <c r="N531" s="34" t="str">
        <f aca="false">IF(B531="","",IF(MONTH(B531)=5,"X",""))</f>
        <v/>
      </c>
      <c r="O531" s="34" t="str">
        <f aca="false">IF(B531="","",IF(MONTH(B531)=6,"X",""))</f>
        <v/>
      </c>
      <c r="P531" s="34" t="str">
        <f aca="false">IF(B531="","",IF(MONTH(B531)=7,"X",""))</f>
        <v/>
      </c>
      <c r="Q531" s="34" t="str">
        <f aca="false">IF(B531="","",IF(MONTH(B531)=8,"X",""))</f>
        <v/>
      </c>
      <c r="R531" s="34" t="str">
        <f aca="false">IF(B531="","",IF(MONTH(B531)=9,"X",""))</f>
        <v/>
      </c>
      <c r="S531" s="34" t="str">
        <f aca="false">IF(B531="","",IF(MONTH(B531)=10,"X",""))</f>
        <v/>
      </c>
      <c r="T531" s="34" t="str">
        <f aca="false">IF(B531="","",IF(MONTH(B531)=11,"X",""))</f>
        <v/>
      </c>
      <c r="U531" s="34" t="str">
        <f aca="false">IF(B531="","",IF(MONTH(B531)=12,"X",""))</f>
        <v/>
      </c>
      <c r="V531" s="24" t="str">
        <f aca="false">IF(E531="","",COUNTIF($E$5:$E$1000,E531))</f>
        <v/>
      </c>
      <c r="W531" s="35" t="str">
        <f aca="false">IF(E531="","",_xlfn.TEXTJOIN(" + ",TRUE(),IF(COUNTIFS($E$5:$E$1000,E531,$C$5:$C$1000,"Auditoría Interna")&gt;0,"Interna",""),IF(COUNTIFS($E$5:$E$1000,E531,$C$5:$C$1000,"Auditoría Externa")&gt;0,"Externa",""),IF(COUNTIFS($E$5:$E$1000,E531,$C$5:$C$1000,"SSF")&gt;0,"SSF",""),IF(COUNTIFS($E$5:$E$1000,E531,$C$5:$C$1000,"Comité de Supervisión")&gt;0,"Comité Sup.",""),IF(COUNTIFS($E$5:$E$1000,E531,$C$5:$C$1000,"Consejo de Administración")&gt;0,"Consejo",""),IF(COUNTIFS($E$5:$E$1000,E531,$C$5:$C$1000,"Otros")&gt;0,"Otros","")))</f>
        <v/>
      </c>
      <c r="X531" s="24" t="str">
        <f aca="false">IF(E531="","",COUNTIFS($E$5:$E$1000,E531,$AB$5:$AB$1000,AB531,$C$5:$C$1000,"&lt;&gt;"&amp;C531))</f>
        <v/>
      </c>
      <c r="Y531" s="33"/>
      <c r="Z531" s="31"/>
      <c r="AA531" s="33"/>
      <c r="AB531" s="37" t="str">
        <f aca="false">IF(B531="","",YEAR(B531)*100+MONTH(B531))</f>
        <v/>
      </c>
      <c r="AC531" s="37" t="str">
        <f aca="false">IF(AND(E531&lt;&gt;"",E531=Cruce!$C$5),COUNTIF($E$5:E531,E531),"")</f>
        <v/>
      </c>
      <c r="AD531" s="37" t="str">
        <f aca="false">IF(E531="","",C531&amp;"|"&amp;Y531&amp;"|"&amp;IF(B531="","s/f",TEXT(B531,"yyyymmdd")))</f>
        <v/>
      </c>
      <c r="AE531" s="37" t="n">
        <f aca="false">IF(E531="",0,IF(COUNTIFS($E$5:E531,E531,$AD$5:AD531,AD531)=1,1,0))</f>
        <v>0</v>
      </c>
    </row>
    <row r="532" customFormat="false" ht="15" hidden="false" customHeight="true" outlineLevel="0" collapsed="false">
      <c r="A532" s="31"/>
      <c r="B532" s="30"/>
      <c r="C532" s="31"/>
      <c r="D532" s="31"/>
      <c r="E532" s="32"/>
      <c r="F532" s="32"/>
      <c r="G532" s="33"/>
      <c r="H532" s="31"/>
      <c r="I532" s="24" t="str">
        <f aca="false">IF(B532="","",YEAR(B532))</f>
        <v/>
      </c>
      <c r="J532" s="34" t="str">
        <f aca="false">IF(B532="","",IF(MONTH(B532)=1,"X",""))</f>
        <v/>
      </c>
      <c r="K532" s="34" t="str">
        <f aca="false">IF(B532="","",IF(MONTH(B532)=2,"X",""))</f>
        <v/>
      </c>
      <c r="L532" s="34" t="str">
        <f aca="false">IF(B532="","",IF(MONTH(B532)=3,"X",""))</f>
        <v/>
      </c>
      <c r="M532" s="34" t="str">
        <f aca="false">IF(B532="","",IF(MONTH(B532)=4,"X",""))</f>
        <v/>
      </c>
      <c r="N532" s="34" t="str">
        <f aca="false">IF(B532="","",IF(MONTH(B532)=5,"X",""))</f>
        <v/>
      </c>
      <c r="O532" s="34" t="str">
        <f aca="false">IF(B532="","",IF(MONTH(B532)=6,"X",""))</f>
        <v/>
      </c>
      <c r="P532" s="34" t="str">
        <f aca="false">IF(B532="","",IF(MONTH(B532)=7,"X",""))</f>
        <v/>
      </c>
      <c r="Q532" s="34" t="str">
        <f aca="false">IF(B532="","",IF(MONTH(B532)=8,"X",""))</f>
        <v/>
      </c>
      <c r="R532" s="34" t="str">
        <f aca="false">IF(B532="","",IF(MONTH(B532)=9,"X",""))</f>
        <v/>
      </c>
      <c r="S532" s="34" t="str">
        <f aca="false">IF(B532="","",IF(MONTH(B532)=10,"X",""))</f>
        <v/>
      </c>
      <c r="T532" s="34" t="str">
        <f aca="false">IF(B532="","",IF(MONTH(B532)=11,"X",""))</f>
        <v/>
      </c>
      <c r="U532" s="34" t="str">
        <f aca="false">IF(B532="","",IF(MONTH(B532)=12,"X",""))</f>
        <v/>
      </c>
      <c r="V532" s="24" t="str">
        <f aca="false">IF(E532="","",COUNTIF($E$5:$E$1000,E532))</f>
        <v/>
      </c>
      <c r="W532" s="35" t="str">
        <f aca="false">IF(E532="","",_xlfn.TEXTJOIN(" + ",TRUE(),IF(COUNTIFS($E$5:$E$1000,E532,$C$5:$C$1000,"Auditoría Interna")&gt;0,"Interna",""),IF(COUNTIFS($E$5:$E$1000,E532,$C$5:$C$1000,"Auditoría Externa")&gt;0,"Externa",""),IF(COUNTIFS($E$5:$E$1000,E532,$C$5:$C$1000,"SSF")&gt;0,"SSF",""),IF(COUNTIFS($E$5:$E$1000,E532,$C$5:$C$1000,"Comité de Supervisión")&gt;0,"Comité Sup.",""),IF(COUNTIFS($E$5:$E$1000,E532,$C$5:$C$1000,"Consejo de Administración")&gt;0,"Consejo",""),IF(COUNTIFS($E$5:$E$1000,E532,$C$5:$C$1000,"Otros")&gt;0,"Otros","")))</f>
        <v/>
      </c>
      <c r="X532" s="24" t="str">
        <f aca="false">IF(E532="","",COUNTIFS($E$5:$E$1000,E532,$AB$5:$AB$1000,AB532,$C$5:$C$1000,"&lt;&gt;"&amp;C532))</f>
        <v/>
      </c>
      <c r="Y532" s="33"/>
      <c r="Z532" s="31"/>
      <c r="AA532" s="33"/>
      <c r="AB532" s="37" t="str">
        <f aca="false">IF(B532="","",YEAR(B532)*100+MONTH(B532))</f>
        <v/>
      </c>
      <c r="AC532" s="37" t="str">
        <f aca="false">IF(AND(E532&lt;&gt;"",E532=Cruce!$C$5),COUNTIF($E$5:E532,E532),"")</f>
        <v/>
      </c>
      <c r="AD532" s="37" t="str">
        <f aca="false">IF(E532="","",C532&amp;"|"&amp;Y532&amp;"|"&amp;IF(B532="","s/f",TEXT(B532,"yyyymmdd")))</f>
        <v/>
      </c>
      <c r="AE532" s="37" t="n">
        <f aca="false">IF(E532="",0,IF(COUNTIFS($E$5:E532,E532,$AD$5:AD532,AD532)=1,1,0))</f>
        <v>0</v>
      </c>
    </row>
    <row r="533" customFormat="false" ht="15" hidden="false" customHeight="true" outlineLevel="0" collapsed="false">
      <c r="A533" s="31"/>
      <c r="B533" s="30"/>
      <c r="C533" s="31"/>
      <c r="D533" s="31"/>
      <c r="E533" s="32"/>
      <c r="F533" s="32"/>
      <c r="G533" s="33"/>
      <c r="H533" s="31"/>
      <c r="I533" s="24" t="str">
        <f aca="false">IF(B533="","",YEAR(B533))</f>
        <v/>
      </c>
      <c r="J533" s="34" t="str">
        <f aca="false">IF(B533="","",IF(MONTH(B533)=1,"X",""))</f>
        <v/>
      </c>
      <c r="K533" s="34" t="str">
        <f aca="false">IF(B533="","",IF(MONTH(B533)=2,"X",""))</f>
        <v/>
      </c>
      <c r="L533" s="34" t="str">
        <f aca="false">IF(B533="","",IF(MONTH(B533)=3,"X",""))</f>
        <v/>
      </c>
      <c r="M533" s="34" t="str">
        <f aca="false">IF(B533="","",IF(MONTH(B533)=4,"X",""))</f>
        <v/>
      </c>
      <c r="N533" s="34" t="str">
        <f aca="false">IF(B533="","",IF(MONTH(B533)=5,"X",""))</f>
        <v/>
      </c>
      <c r="O533" s="34" t="str">
        <f aca="false">IF(B533="","",IF(MONTH(B533)=6,"X",""))</f>
        <v/>
      </c>
      <c r="P533" s="34" t="str">
        <f aca="false">IF(B533="","",IF(MONTH(B533)=7,"X",""))</f>
        <v/>
      </c>
      <c r="Q533" s="34" t="str">
        <f aca="false">IF(B533="","",IF(MONTH(B533)=8,"X",""))</f>
        <v/>
      </c>
      <c r="R533" s="34" t="str">
        <f aca="false">IF(B533="","",IF(MONTH(B533)=9,"X",""))</f>
        <v/>
      </c>
      <c r="S533" s="34" t="str">
        <f aca="false">IF(B533="","",IF(MONTH(B533)=10,"X",""))</f>
        <v/>
      </c>
      <c r="T533" s="34" t="str">
        <f aca="false">IF(B533="","",IF(MONTH(B533)=11,"X",""))</f>
        <v/>
      </c>
      <c r="U533" s="34" t="str">
        <f aca="false">IF(B533="","",IF(MONTH(B533)=12,"X",""))</f>
        <v/>
      </c>
      <c r="V533" s="24" t="str">
        <f aca="false">IF(E533="","",COUNTIF($E$5:$E$1000,E533))</f>
        <v/>
      </c>
      <c r="W533" s="35" t="str">
        <f aca="false">IF(E533="","",_xlfn.TEXTJOIN(" + ",TRUE(),IF(COUNTIFS($E$5:$E$1000,E533,$C$5:$C$1000,"Auditoría Interna")&gt;0,"Interna",""),IF(COUNTIFS($E$5:$E$1000,E533,$C$5:$C$1000,"Auditoría Externa")&gt;0,"Externa",""),IF(COUNTIFS($E$5:$E$1000,E533,$C$5:$C$1000,"SSF")&gt;0,"SSF",""),IF(COUNTIFS($E$5:$E$1000,E533,$C$5:$C$1000,"Comité de Supervisión")&gt;0,"Comité Sup.",""),IF(COUNTIFS($E$5:$E$1000,E533,$C$5:$C$1000,"Consejo de Administración")&gt;0,"Consejo",""),IF(COUNTIFS($E$5:$E$1000,E533,$C$5:$C$1000,"Otros")&gt;0,"Otros","")))</f>
        <v/>
      </c>
      <c r="X533" s="24" t="str">
        <f aca="false">IF(E533="","",COUNTIFS($E$5:$E$1000,E533,$AB$5:$AB$1000,AB533,$C$5:$C$1000,"&lt;&gt;"&amp;C533))</f>
        <v/>
      </c>
      <c r="Y533" s="33"/>
      <c r="Z533" s="31"/>
      <c r="AA533" s="33"/>
      <c r="AB533" s="37" t="str">
        <f aca="false">IF(B533="","",YEAR(B533)*100+MONTH(B533))</f>
        <v/>
      </c>
      <c r="AC533" s="37" t="str">
        <f aca="false">IF(AND(E533&lt;&gt;"",E533=Cruce!$C$5),COUNTIF($E$5:E533,E533),"")</f>
        <v/>
      </c>
      <c r="AD533" s="37" t="str">
        <f aca="false">IF(E533="","",C533&amp;"|"&amp;Y533&amp;"|"&amp;IF(B533="","s/f",TEXT(B533,"yyyymmdd")))</f>
        <v/>
      </c>
      <c r="AE533" s="37" t="n">
        <f aca="false">IF(E533="",0,IF(COUNTIFS($E$5:E533,E533,$AD$5:AD533,AD533)=1,1,0))</f>
        <v>0</v>
      </c>
    </row>
    <row r="534" customFormat="false" ht="15" hidden="false" customHeight="true" outlineLevel="0" collapsed="false">
      <c r="A534" s="31"/>
      <c r="B534" s="30"/>
      <c r="C534" s="31"/>
      <c r="D534" s="31"/>
      <c r="E534" s="32"/>
      <c r="F534" s="32"/>
      <c r="G534" s="33"/>
      <c r="H534" s="31"/>
      <c r="I534" s="24" t="str">
        <f aca="false">IF(B534="","",YEAR(B534))</f>
        <v/>
      </c>
      <c r="J534" s="34" t="str">
        <f aca="false">IF(B534="","",IF(MONTH(B534)=1,"X",""))</f>
        <v/>
      </c>
      <c r="K534" s="34" t="str">
        <f aca="false">IF(B534="","",IF(MONTH(B534)=2,"X",""))</f>
        <v/>
      </c>
      <c r="L534" s="34" t="str">
        <f aca="false">IF(B534="","",IF(MONTH(B534)=3,"X",""))</f>
        <v/>
      </c>
      <c r="M534" s="34" t="str">
        <f aca="false">IF(B534="","",IF(MONTH(B534)=4,"X",""))</f>
        <v/>
      </c>
      <c r="N534" s="34" t="str">
        <f aca="false">IF(B534="","",IF(MONTH(B534)=5,"X",""))</f>
        <v/>
      </c>
      <c r="O534" s="34" t="str">
        <f aca="false">IF(B534="","",IF(MONTH(B534)=6,"X",""))</f>
        <v/>
      </c>
      <c r="P534" s="34" t="str">
        <f aca="false">IF(B534="","",IF(MONTH(B534)=7,"X",""))</f>
        <v/>
      </c>
      <c r="Q534" s="34" t="str">
        <f aca="false">IF(B534="","",IF(MONTH(B534)=8,"X",""))</f>
        <v/>
      </c>
      <c r="R534" s="34" t="str">
        <f aca="false">IF(B534="","",IF(MONTH(B534)=9,"X",""))</f>
        <v/>
      </c>
      <c r="S534" s="34" t="str">
        <f aca="false">IF(B534="","",IF(MONTH(B534)=10,"X",""))</f>
        <v/>
      </c>
      <c r="T534" s="34" t="str">
        <f aca="false">IF(B534="","",IF(MONTH(B534)=11,"X",""))</f>
        <v/>
      </c>
      <c r="U534" s="34" t="str">
        <f aca="false">IF(B534="","",IF(MONTH(B534)=12,"X",""))</f>
        <v/>
      </c>
      <c r="V534" s="24" t="str">
        <f aca="false">IF(E534="","",COUNTIF($E$5:$E$1000,E534))</f>
        <v/>
      </c>
      <c r="W534" s="35" t="str">
        <f aca="false">IF(E534="","",_xlfn.TEXTJOIN(" + ",TRUE(),IF(COUNTIFS($E$5:$E$1000,E534,$C$5:$C$1000,"Auditoría Interna")&gt;0,"Interna",""),IF(COUNTIFS($E$5:$E$1000,E534,$C$5:$C$1000,"Auditoría Externa")&gt;0,"Externa",""),IF(COUNTIFS($E$5:$E$1000,E534,$C$5:$C$1000,"SSF")&gt;0,"SSF",""),IF(COUNTIFS($E$5:$E$1000,E534,$C$5:$C$1000,"Comité de Supervisión")&gt;0,"Comité Sup.",""),IF(COUNTIFS($E$5:$E$1000,E534,$C$5:$C$1000,"Consejo de Administración")&gt;0,"Consejo",""),IF(COUNTIFS($E$5:$E$1000,E534,$C$5:$C$1000,"Otros")&gt;0,"Otros","")))</f>
        <v/>
      </c>
      <c r="X534" s="24" t="str">
        <f aca="false">IF(E534="","",COUNTIFS($E$5:$E$1000,E534,$AB$5:$AB$1000,AB534,$C$5:$C$1000,"&lt;&gt;"&amp;C534))</f>
        <v/>
      </c>
      <c r="Y534" s="33"/>
      <c r="Z534" s="31"/>
      <c r="AA534" s="33"/>
      <c r="AB534" s="37" t="str">
        <f aca="false">IF(B534="","",YEAR(B534)*100+MONTH(B534))</f>
        <v/>
      </c>
      <c r="AC534" s="37" t="str">
        <f aca="false">IF(AND(E534&lt;&gt;"",E534=Cruce!$C$5),COUNTIF($E$5:E534,E534),"")</f>
        <v/>
      </c>
      <c r="AD534" s="37" t="str">
        <f aca="false">IF(E534="","",C534&amp;"|"&amp;Y534&amp;"|"&amp;IF(B534="","s/f",TEXT(B534,"yyyymmdd")))</f>
        <v/>
      </c>
      <c r="AE534" s="37" t="n">
        <f aca="false">IF(E534="",0,IF(COUNTIFS($E$5:E534,E534,$AD$5:AD534,AD534)=1,1,0))</f>
        <v>0</v>
      </c>
    </row>
    <row r="535" customFormat="false" ht="15" hidden="false" customHeight="true" outlineLevel="0" collapsed="false">
      <c r="A535" s="31"/>
      <c r="B535" s="30"/>
      <c r="C535" s="31"/>
      <c r="D535" s="31"/>
      <c r="E535" s="32"/>
      <c r="F535" s="32"/>
      <c r="G535" s="33"/>
      <c r="H535" s="31"/>
      <c r="I535" s="24" t="str">
        <f aca="false">IF(B535="","",YEAR(B535))</f>
        <v/>
      </c>
      <c r="J535" s="34" t="str">
        <f aca="false">IF(B535="","",IF(MONTH(B535)=1,"X",""))</f>
        <v/>
      </c>
      <c r="K535" s="34" t="str">
        <f aca="false">IF(B535="","",IF(MONTH(B535)=2,"X",""))</f>
        <v/>
      </c>
      <c r="L535" s="34" t="str">
        <f aca="false">IF(B535="","",IF(MONTH(B535)=3,"X",""))</f>
        <v/>
      </c>
      <c r="M535" s="34" t="str">
        <f aca="false">IF(B535="","",IF(MONTH(B535)=4,"X",""))</f>
        <v/>
      </c>
      <c r="N535" s="34" t="str">
        <f aca="false">IF(B535="","",IF(MONTH(B535)=5,"X",""))</f>
        <v/>
      </c>
      <c r="O535" s="34" t="str">
        <f aca="false">IF(B535="","",IF(MONTH(B535)=6,"X",""))</f>
        <v/>
      </c>
      <c r="P535" s="34" t="str">
        <f aca="false">IF(B535="","",IF(MONTH(B535)=7,"X",""))</f>
        <v/>
      </c>
      <c r="Q535" s="34" t="str">
        <f aca="false">IF(B535="","",IF(MONTH(B535)=8,"X",""))</f>
        <v/>
      </c>
      <c r="R535" s="34" t="str">
        <f aca="false">IF(B535="","",IF(MONTH(B535)=9,"X",""))</f>
        <v/>
      </c>
      <c r="S535" s="34" t="str">
        <f aca="false">IF(B535="","",IF(MONTH(B535)=10,"X",""))</f>
        <v/>
      </c>
      <c r="T535" s="34" t="str">
        <f aca="false">IF(B535="","",IF(MONTH(B535)=11,"X",""))</f>
        <v/>
      </c>
      <c r="U535" s="34" t="str">
        <f aca="false">IF(B535="","",IF(MONTH(B535)=12,"X",""))</f>
        <v/>
      </c>
      <c r="V535" s="24" t="str">
        <f aca="false">IF(E535="","",COUNTIF($E$5:$E$1000,E535))</f>
        <v/>
      </c>
      <c r="W535" s="35" t="str">
        <f aca="false">IF(E535="","",_xlfn.TEXTJOIN(" + ",TRUE(),IF(COUNTIFS($E$5:$E$1000,E535,$C$5:$C$1000,"Auditoría Interna")&gt;0,"Interna",""),IF(COUNTIFS($E$5:$E$1000,E535,$C$5:$C$1000,"Auditoría Externa")&gt;0,"Externa",""),IF(COUNTIFS($E$5:$E$1000,E535,$C$5:$C$1000,"SSF")&gt;0,"SSF",""),IF(COUNTIFS($E$5:$E$1000,E535,$C$5:$C$1000,"Comité de Supervisión")&gt;0,"Comité Sup.",""),IF(COUNTIFS($E$5:$E$1000,E535,$C$5:$C$1000,"Consejo de Administración")&gt;0,"Consejo",""),IF(COUNTIFS($E$5:$E$1000,E535,$C$5:$C$1000,"Otros")&gt;0,"Otros","")))</f>
        <v/>
      </c>
      <c r="X535" s="24" t="str">
        <f aca="false">IF(E535="","",COUNTIFS($E$5:$E$1000,E535,$AB$5:$AB$1000,AB535,$C$5:$C$1000,"&lt;&gt;"&amp;C535))</f>
        <v/>
      </c>
      <c r="Y535" s="33"/>
      <c r="Z535" s="31"/>
      <c r="AA535" s="33"/>
      <c r="AB535" s="37" t="str">
        <f aca="false">IF(B535="","",YEAR(B535)*100+MONTH(B535))</f>
        <v/>
      </c>
      <c r="AC535" s="37" t="str">
        <f aca="false">IF(AND(E535&lt;&gt;"",E535=Cruce!$C$5),COUNTIF($E$5:E535,E535),"")</f>
        <v/>
      </c>
      <c r="AD535" s="37" t="str">
        <f aca="false">IF(E535="","",C535&amp;"|"&amp;Y535&amp;"|"&amp;IF(B535="","s/f",TEXT(B535,"yyyymmdd")))</f>
        <v/>
      </c>
      <c r="AE535" s="37" t="n">
        <f aca="false">IF(E535="",0,IF(COUNTIFS($E$5:E535,E535,$AD$5:AD535,AD535)=1,1,0))</f>
        <v>0</v>
      </c>
    </row>
    <row r="536" customFormat="false" ht="15" hidden="false" customHeight="true" outlineLevel="0" collapsed="false">
      <c r="A536" s="31"/>
      <c r="B536" s="30"/>
      <c r="C536" s="31"/>
      <c r="D536" s="31"/>
      <c r="E536" s="32"/>
      <c r="F536" s="32"/>
      <c r="G536" s="33"/>
      <c r="H536" s="31"/>
      <c r="I536" s="24" t="str">
        <f aca="false">IF(B536="","",YEAR(B536))</f>
        <v/>
      </c>
      <c r="J536" s="34" t="str">
        <f aca="false">IF(B536="","",IF(MONTH(B536)=1,"X",""))</f>
        <v/>
      </c>
      <c r="K536" s="34" t="str">
        <f aca="false">IF(B536="","",IF(MONTH(B536)=2,"X",""))</f>
        <v/>
      </c>
      <c r="L536" s="34" t="str">
        <f aca="false">IF(B536="","",IF(MONTH(B536)=3,"X",""))</f>
        <v/>
      </c>
      <c r="M536" s="34" t="str">
        <f aca="false">IF(B536="","",IF(MONTH(B536)=4,"X",""))</f>
        <v/>
      </c>
      <c r="N536" s="34" t="str">
        <f aca="false">IF(B536="","",IF(MONTH(B536)=5,"X",""))</f>
        <v/>
      </c>
      <c r="O536" s="34" t="str">
        <f aca="false">IF(B536="","",IF(MONTH(B536)=6,"X",""))</f>
        <v/>
      </c>
      <c r="P536" s="34" t="str">
        <f aca="false">IF(B536="","",IF(MONTH(B536)=7,"X",""))</f>
        <v/>
      </c>
      <c r="Q536" s="34" t="str">
        <f aca="false">IF(B536="","",IF(MONTH(B536)=8,"X",""))</f>
        <v/>
      </c>
      <c r="R536" s="34" t="str">
        <f aca="false">IF(B536="","",IF(MONTH(B536)=9,"X",""))</f>
        <v/>
      </c>
      <c r="S536" s="34" t="str">
        <f aca="false">IF(B536="","",IF(MONTH(B536)=10,"X",""))</f>
        <v/>
      </c>
      <c r="T536" s="34" t="str">
        <f aca="false">IF(B536="","",IF(MONTH(B536)=11,"X",""))</f>
        <v/>
      </c>
      <c r="U536" s="34" t="str">
        <f aca="false">IF(B536="","",IF(MONTH(B536)=12,"X",""))</f>
        <v/>
      </c>
      <c r="V536" s="24" t="str">
        <f aca="false">IF(E536="","",COUNTIF($E$5:$E$1000,E536))</f>
        <v/>
      </c>
      <c r="W536" s="35" t="str">
        <f aca="false">IF(E536="","",_xlfn.TEXTJOIN(" + ",TRUE(),IF(COUNTIFS($E$5:$E$1000,E536,$C$5:$C$1000,"Auditoría Interna")&gt;0,"Interna",""),IF(COUNTIFS($E$5:$E$1000,E536,$C$5:$C$1000,"Auditoría Externa")&gt;0,"Externa",""),IF(COUNTIFS($E$5:$E$1000,E536,$C$5:$C$1000,"SSF")&gt;0,"SSF",""),IF(COUNTIFS($E$5:$E$1000,E536,$C$5:$C$1000,"Comité de Supervisión")&gt;0,"Comité Sup.",""),IF(COUNTIFS($E$5:$E$1000,E536,$C$5:$C$1000,"Consejo de Administración")&gt;0,"Consejo",""),IF(COUNTIFS($E$5:$E$1000,E536,$C$5:$C$1000,"Otros")&gt;0,"Otros","")))</f>
        <v/>
      </c>
      <c r="X536" s="24" t="str">
        <f aca="false">IF(E536="","",COUNTIFS($E$5:$E$1000,E536,$AB$5:$AB$1000,AB536,$C$5:$C$1000,"&lt;&gt;"&amp;C536))</f>
        <v/>
      </c>
      <c r="Y536" s="33"/>
      <c r="Z536" s="31"/>
      <c r="AA536" s="33"/>
      <c r="AB536" s="37" t="str">
        <f aca="false">IF(B536="","",YEAR(B536)*100+MONTH(B536))</f>
        <v/>
      </c>
      <c r="AC536" s="37" t="str">
        <f aca="false">IF(AND(E536&lt;&gt;"",E536=Cruce!$C$5),COUNTIF($E$5:E536,E536),"")</f>
        <v/>
      </c>
      <c r="AD536" s="37" t="str">
        <f aca="false">IF(E536="","",C536&amp;"|"&amp;Y536&amp;"|"&amp;IF(B536="","s/f",TEXT(B536,"yyyymmdd")))</f>
        <v/>
      </c>
      <c r="AE536" s="37" t="n">
        <f aca="false">IF(E536="",0,IF(COUNTIFS($E$5:E536,E536,$AD$5:AD536,AD536)=1,1,0))</f>
        <v>0</v>
      </c>
    </row>
    <row r="537" customFormat="false" ht="15" hidden="false" customHeight="true" outlineLevel="0" collapsed="false">
      <c r="A537" s="31"/>
      <c r="B537" s="30"/>
      <c r="C537" s="31"/>
      <c r="D537" s="31"/>
      <c r="E537" s="32"/>
      <c r="F537" s="32"/>
      <c r="G537" s="33"/>
      <c r="H537" s="31"/>
      <c r="I537" s="24" t="str">
        <f aca="false">IF(B537="","",YEAR(B537))</f>
        <v/>
      </c>
      <c r="J537" s="34" t="str">
        <f aca="false">IF(B537="","",IF(MONTH(B537)=1,"X",""))</f>
        <v/>
      </c>
      <c r="K537" s="34" t="str">
        <f aca="false">IF(B537="","",IF(MONTH(B537)=2,"X",""))</f>
        <v/>
      </c>
      <c r="L537" s="34" t="str">
        <f aca="false">IF(B537="","",IF(MONTH(B537)=3,"X",""))</f>
        <v/>
      </c>
      <c r="M537" s="34" t="str">
        <f aca="false">IF(B537="","",IF(MONTH(B537)=4,"X",""))</f>
        <v/>
      </c>
      <c r="N537" s="34" t="str">
        <f aca="false">IF(B537="","",IF(MONTH(B537)=5,"X",""))</f>
        <v/>
      </c>
      <c r="O537" s="34" t="str">
        <f aca="false">IF(B537="","",IF(MONTH(B537)=6,"X",""))</f>
        <v/>
      </c>
      <c r="P537" s="34" t="str">
        <f aca="false">IF(B537="","",IF(MONTH(B537)=7,"X",""))</f>
        <v/>
      </c>
      <c r="Q537" s="34" t="str">
        <f aca="false">IF(B537="","",IF(MONTH(B537)=8,"X",""))</f>
        <v/>
      </c>
      <c r="R537" s="34" t="str">
        <f aca="false">IF(B537="","",IF(MONTH(B537)=9,"X",""))</f>
        <v/>
      </c>
      <c r="S537" s="34" t="str">
        <f aca="false">IF(B537="","",IF(MONTH(B537)=10,"X",""))</f>
        <v/>
      </c>
      <c r="T537" s="34" t="str">
        <f aca="false">IF(B537="","",IF(MONTH(B537)=11,"X",""))</f>
        <v/>
      </c>
      <c r="U537" s="34" t="str">
        <f aca="false">IF(B537="","",IF(MONTH(B537)=12,"X",""))</f>
        <v/>
      </c>
      <c r="V537" s="24" t="str">
        <f aca="false">IF(E537="","",COUNTIF($E$5:$E$1000,E537))</f>
        <v/>
      </c>
      <c r="W537" s="35" t="str">
        <f aca="false">IF(E537="","",_xlfn.TEXTJOIN(" + ",TRUE(),IF(COUNTIFS($E$5:$E$1000,E537,$C$5:$C$1000,"Auditoría Interna")&gt;0,"Interna",""),IF(COUNTIFS($E$5:$E$1000,E537,$C$5:$C$1000,"Auditoría Externa")&gt;0,"Externa",""),IF(COUNTIFS($E$5:$E$1000,E537,$C$5:$C$1000,"SSF")&gt;0,"SSF",""),IF(COUNTIFS($E$5:$E$1000,E537,$C$5:$C$1000,"Comité de Supervisión")&gt;0,"Comité Sup.",""),IF(COUNTIFS($E$5:$E$1000,E537,$C$5:$C$1000,"Consejo de Administración")&gt;0,"Consejo",""),IF(COUNTIFS($E$5:$E$1000,E537,$C$5:$C$1000,"Otros")&gt;0,"Otros","")))</f>
        <v/>
      </c>
      <c r="X537" s="24" t="str">
        <f aca="false">IF(E537="","",COUNTIFS($E$5:$E$1000,E537,$AB$5:$AB$1000,AB537,$C$5:$C$1000,"&lt;&gt;"&amp;C537))</f>
        <v/>
      </c>
      <c r="Y537" s="33"/>
      <c r="Z537" s="31"/>
      <c r="AA537" s="33"/>
      <c r="AB537" s="37" t="str">
        <f aca="false">IF(B537="","",YEAR(B537)*100+MONTH(B537))</f>
        <v/>
      </c>
      <c r="AC537" s="37" t="str">
        <f aca="false">IF(AND(E537&lt;&gt;"",E537=Cruce!$C$5),COUNTIF($E$5:E537,E537),"")</f>
        <v/>
      </c>
      <c r="AD537" s="37" t="str">
        <f aca="false">IF(E537="","",C537&amp;"|"&amp;Y537&amp;"|"&amp;IF(B537="","s/f",TEXT(B537,"yyyymmdd")))</f>
        <v/>
      </c>
      <c r="AE537" s="37" t="n">
        <f aca="false">IF(E537="",0,IF(COUNTIFS($E$5:E537,E537,$AD$5:AD537,AD537)=1,1,0))</f>
        <v>0</v>
      </c>
    </row>
    <row r="538" customFormat="false" ht="15" hidden="false" customHeight="true" outlineLevel="0" collapsed="false">
      <c r="A538" s="31"/>
      <c r="B538" s="30"/>
      <c r="C538" s="31"/>
      <c r="D538" s="31"/>
      <c r="E538" s="32"/>
      <c r="F538" s="32"/>
      <c r="G538" s="33"/>
      <c r="H538" s="31"/>
      <c r="I538" s="24" t="str">
        <f aca="false">IF(B538="","",YEAR(B538))</f>
        <v/>
      </c>
      <c r="J538" s="34" t="str">
        <f aca="false">IF(B538="","",IF(MONTH(B538)=1,"X",""))</f>
        <v/>
      </c>
      <c r="K538" s="34" t="str">
        <f aca="false">IF(B538="","",IF(MONTH(B538)=2,"X",""))</f>
        <v/>
      </c>
      <c r="L538" s="34" t="str">
        <f aca="false">IF(B538="","",IF(MONTH(B538)=3,"X",""))</f>
        <v/>
      </c>
      <c r="M538" s="34" t="str">
        <f aca="false">IF(B538="","",IF(MONTH(B538)=4,"X",""))</f>
        <v/>
      </c>
      <c r="N538" s="34" t="str">
        <f aca="false">IF(B538="","",IF(MONTH(B538)=5,"X",""))</f>
        <v/>
      </c>
      <c r="O538" s="34" t="str">
        <f aca="false">IF(B538="","",IF(MONTH(B538)=6,"X",""))</f>
        <v/>
      </c>
      <c r="P538" s="34" t="str">
        <f aca="false">IF(B538="","",IF(MONTH(B538)=7,"X",""))</f>
        <v/>
      </c>
      <c r="Q538" s="34" t="str">
        <f aca="false">IF(B538="","",IF(MONTH(B538)=8,"X",""))</f>
        <v/>
      </c>
      <c r="R538" s="34" t="str">
        <f aca="false">IF(B538="","",IF(MONTH(B538)=9,"X",""))</f>
        <v/>
      </c>
      <c r="S538" s="34" t="str">
        <f aca="false">IF(B538="","",IF(MONTH(B538)=10,"X",""))</f>
        <v/>
      </c>
      <c r="T538" s="34" t="str">
        <f aca="false">IF(B538="","",IF(MONTH(B538)=11,"X",""))</f>
        <v/>
      </c>
      <c r="U538" s="34" t="str">
        <f aca="false">IF(B538="","",IF(MONTH(B538)=12,"X",""))</f>
        <v/>
      </c>
      <c r="V538" s="24" t="str">
        <f aca="false">IF(E538="","",COUNTIF($E$5:$E$1000,E538))</f>
        <v/>
      </c>
      <c r="W538" s="35" t="str">
        <f aca="false">IF(E538="","",_xlfn.TEXTJOIN(" + ",TRUE(),IF(COUNTIFS($E$5:$E$1000,E538,$C$5:$C$1000,"Auditoría Interna")&gt;0,"Interna",""),IF(COUNTIFS($E$5:$E$1000,E538,$C$5:$C$1000,"Auditoría Externa")&gt;0,"Externa",""),IF(COUNTIFS($E$5:$E$1000,E538,$C$5:$C$1000,"SSF")&gt;0,"SSF",""),IF(COUNTIFS($E$5:$E$1000,E538,$C$5:$C$1000,"Comité de Supervisión")&gt;0,"Comité Sup.",""),IF(COUNTIFS($E$5:$E$1000,E538,$C$5:$C$1000,"Consejo de Administración")&gt;0,"Consejo",""),IF(COUNTIFS($E$5:$E$1000,E538,$C$5:$C$1000,"Otros")&gt;0,"Otros","")))</f>
        <v/>
      </c>
      <c r="X538" s="24" t="str">
        <f aca="false">IF(E538="","",COUNTIFS($E$5:$E$1000,E538,$AB$5:$AB$1000,AB538,$C$5:$C$1000,"&lt;&gt;"&amp;C538))</f>
        <v/>
      </c>
      <c r="Y538" s="33"/>
      <c r="Z538" s="31"/>
      <c r="AA538" s="33"/>
      <c r="AB538" s="37" t="str">
        <f aca="false">IF(B538="","",YEAR(B538)*100+MONTH(B538))</f>
        <v/>
      </c>
      <c r="AC538" s="37" t="str">
        <f aca="false">IF(AND(E538&lt;&gt;"",E538=Cruce!$C$5),COUNTIF($E$5:E538,E538),"")</f>
        <v/>
      </c>
      <c r="AD538" s="37" t="str">
        <f aca="false">IF(E538="","",C538&amp;"|"&amp;Y538&amp;"|"&amp;IF(B538="","s/f",TEXT(B538,"yyyymmdd")))</f>
        <v/>
      </c>
      <c r="AE538" s="37" t="n">
        <f aca="false">IF(E538="",0,IF(COUNTIFS($E$5:E538,E538,$AD$5:AD538,AD538)=1,1,0))</f>
        <v>0</v>
      </c>
    </row>
    <row r="539" customFormat="false" ht="15" hidden="false" customHeight="true" outlineLevel="0" collapsed="false">
      <c r="A539" s="31"/>
      <c r="B539" s="30"/>
      <c r="C539" s="31"/>
      <c r="D539" s="31"/>
      <c r="E539" s="32"/>
      <c r="F539" s="32"/>
      <c r="G539" s="33"/>
      <c r="H539" s="31"/>
      <c r="I539" s="24" t="str">
        <f aca="false">IF(B539="","",YEAR(B539))</f>
        <v/>
      </c>
      <c r="J539" s="34" t="str">
        <f aca="false">IF(B539="","",IF(MONTH(B539)=1,"X",""))</f>
        <v/>
      </c>
      <c r="K539" s="34" t="str">
        <f aca="false">IF(B539="","",IF(MONTH(B539)=2,"X",""))</f>
        <v/>
      </c>
      <c r="L539" s="34" t="str">
        <f aca="false">IF(B539="","",IF(MONTH(B539)=3,"X",""))</f>
        <v/>
      </c>
      <c r="M539" s="34" t="str">
        <f aca="false">IF(B539="","",IF(MONTH(B539)=4,"X",""))</f>
        <v/>
      </c>
      <c r="N539" s="34" t="str">
        <f aca="false">IF(B539="","",IF(MONTH(B539)=5,"X",""))</f>
        <v/>
      </c>
      <c r="O539" s="34" t="str">
        <f aca="false">IF(B539="","",IF(MONTH(B539)=6,"X",""))</f>
        <v/>
      </c>
      <c r="P539" s="34" t="str">
        <f aca="false">IF(B539="","",IF(MONTH(B539)=7,"X",""))</f>
        <v/>
      </c>
      <c r="Q539" s="34" t="str">
        <f aca="false">IF(B539="","",IF(MONTH(B539)=8,"X",""))</f>
        <v/>
      </c>
      <c r="R539" s="34" t="str">
        <f aca="false">IF(B539="","",IF(MONTH(B539)=9,"X",""))</f>
        <v/>
      </c>
      <c r="S539" s="34" t="str">
        <f aca="false">IF(B539="","",IF(MONTH(B539)=10,"X",""))</f>
        <v/>
      </c>
      <c r="T539" s="34" t="str">
        <f aca="false">IF(B539="","",IF(MONTH(B539)=11,"X",""))</f>
        <v/>
      </c>
      <c r="U539" s="34" t="str">
        <f aca="false">IF(B539="","",IF(MONTH(B539)=12,"X",""))</f>
        <v/>
      </c>
      <c r="V539" s="24" t="str">
        <f aca="false">IF(E539="","",COUNTIF($E$5:$E$1000,E539))</f>
        <v/>
      </c>
      <c r="W539" s="35" t="str">
        <f aca="false">IF(E539="","",_xlfn.TEXTJOIN(" + ",TRUE(),IF(COUNTIFS($E$5:$E$1000,E539,$C$5:$C$1000,"Auditoría Interna")&gt;0,"Interna",""),IF(COUNTIFS($E$5:$E$1000,E539,$C$5:$C$1000,"Auditoría Externa")&gt;0,"Externa",""),IF(COUNTIFS($E$5:$E$1000,E539,$C$5:$C$1000,"SSF")&gt;0,"SSF",""),IF(COUNTIFS($E$5:$E$1000,E539,$C$5:$C$1000,"Comité de Supervisión")&gt;0,"Comité Sup.",""),IF(COUNTIFS($E$5:$E$1000,E539,$C$5:$C$1000,"Consejo de Administración")&gt;0,"Consejo",""),IF(COUNTIFS($E$5:$E$1000,E539,$C$5:$C$1000,"Otros")&gt;0,"Otros","")))</f>
        <v/>
      </c>
      <c r="X539" s="24" t="str">
        <f aca="false">IF(E539="","",COUNTIFS($E$5:$E$1000,E539,$AB$5:$AB$1000,AB539,$C$5:$C$1000,"&lt;&gt;"&amp;C539))</f>
        <v/>
      </c>
      <c r="Y539" s="33"/>
      <c r="Z539" s="31"/>
      <c r="AA539" s="33"/>
      <c r="AB539" s="37" t="str">
        <f aca="false">IF(B539="","",YEAR(B539)*100+MONTH(B539))</f>
        <v/>
      </c>
      <c r="AC539" s="37" t="str">
        <f aca="false">IF(AND(E539&lt;&gt;"",E539=Cruce!$C$5),COUNTIF($E$5:E539,E539),"")</f>
        <v/>
      </c>
      <c r="AD539" s="37" t="str">
        <f aca="false">IF(E539="","",C539&amp;"|"&amp;Y539&amp;"|"&amp;IF(B539="","s/f",TEXT(B539,"yyyymmdd")))</f>
        <v/>
      </c>
      <c r="AE539" s="37" t="n">
        <f aca="false">IF(E539="",0,IF(COUNTIFS($E$5:E539,E539,$AD$5:AD539,AD539)=1,1,0))</f>
        <v>0</v>
      </c>
    </row>
    <row r="540" customFormat="false" ht="15" hidden="false" customHeight="true" outlineLevel="0" collapsed="false">
      <c r="A540" s="31"/>
      <c r="B540" s="30"/>
      <c r="C540" s="31"/>
      <c r="D540" s="31"/>
      <c r="E540" s="32"/>
      <c r="F540" s="32"/>
      <c r="G540" s="33"/>
      <c r="H540" s="31"/>
      <c r="I540" s="24" t="str">
        <f aca="false">IF(B540="","",YEAR(B540))</f>
        <v/>
      </c>
      <c r="J540" s="34" t="str">
        <f aca="false">IF(B540="","",IF(MONTH(B540)=1,"X",""))</f>
        <v/>
      </c>
      <c r="K540" s="34" t="str">
        <f aca="false">IF(B540="","",IF(MONTH(B540)=2,"X",""))</f>
        <v/>
      </c>
      <c r="L540" s="34" t="str">
        <f aca="false">IF(B540="","",IF(MONTH(B540)=3,"X",""))</f>
        <v/>
      </c>
      <c r="M540" s="34" t="str">
        <f aca="false">IF(B540="","",IF(MONTH(B540)=4,"X",""))</f>
        <v/>
      </c>
      <c r="N540" s="34" t="str">
        <f aca="false">IF(B540="","",IF(MONTH(B540)=5,"X",""))</f>
        <v/>
      </c>
      <c r="O540" s="34" t="str">
        <f aca="false">IF(B540="","",IF(MONTH(B540)=6,"X",""))</f>
        <v/>
      </c>
      <c r="P540" s="34" t="str">
        <f aca="false">IF(B540="","",IF(MONTH(B540)=7,"X",""))</f>
        <v/>
      </c>
      <c r="Q540" s="34" t="str">
        <f aca="false">IF(B540="","",IF(MONTH(B540)=8,"X",""))</f>
        <v/>
      </c>
      <c r="R540" s="34" t="str">
        <f aca="false">IF(B540="","",IF(MONTH(B540)=9,"X",""))</f>
        <v/>
      </c>
      <c r="S540" s="34" t="str">
        <f aca="false">IF(B540="","",IF(MONTH(B540)=10,"X",""))</f>
        <v/>
      </c>
      <c r="T540" s="34" t="str">
        <f aca="false">IF(B540="","",IF(MONTH(B540)=11,"X",""))</f>
        <v/>
      </c>
      <c r="U540" s="34" t="str">
        <f aca="false">IF(B540="","",IF(MONTH(B540)=12,"X",""))</f>
        <v/>
      </c>
      <c r="V540" s="24" t="str">
        <f aca="false">IF(E540="","",COUNTIF($E$5:$E$1000,E540))</f>
        <v/>
      </c>
      <c r="W540" s="35" t="str">
        <f aca="false">IF(E540="","",_xlfn.TEXTJOIN(" + ",TRUE(),IF(COUNTIFS($E$5:$E$1000,E540,$C$5:$C$1000,"Auditoría Interna")&gt;0,"Interna",""),IF(COUNTIFS($E$5:$E$1000,E540,$C$5:$C$1000,"Auditoría Externa")&gt;0,"Externa",""),IF(COUNTIFS($E$5:$E$1000,E540,$C$5:$C$1000,"SSF")&gt;0,"SSF",""),IF(COUNTIFS($E$5:$E$1000,E540,$C$5:$C$1000,"Comité de Supervisión")&gt;0,"Comité Sup.",""),IF(COUNTIFS($E$5:$E$1000,E540,$C$5:$C$1000,"Consejo de Administración")&gt;0,"Consejo",""),IF(COUNTIFS($E$5:$E$1000,E540,$C$5:$C$1000,"Otros")&gt;0,"Otros","")))</f>
        <v/>
      </c>
      <c r="X540" s="24" t="str">
        <f aca="false">IF(E540="","",COUNTIFS($E$5:$E$1000,E540,$AB$5:$AB$1000,AB540,$C$5:$C$1000,"&lt;&gt;"&amp;C540))</f>
        <v/>
      </c>
      <c r="Y540" s="33"/>
      <c r="Z540" s="31"/>
      <c r="AA540" s="33"/>
      <c r="AB540" s="37" t="str">
        <f aca="false">IF(B540="","",YEAR(B540)*100+MONTH(B540))</f>
        <v/>
      </c>
      <c r="AC540" s="37" t="str">
        <f aca="false">IF(AND(E540&lt;&gt;"",E540=Cruce!$C$5),COUNTIF($E$5:E540,E540),"")</f>
        <v/>
      </c>
      <c r="AD540" s="37" t="str">
        <f aca="false">IF(E540="","",C540&amp;"|"&amp;Y540&amp;"|"&amp;IF(B540="","s/f",TEXT(B540,"yyyymmdd")))</f>
        <v/>
      </c>
      <c r="AE540" s="37" t="n">
        <f aca="false">IF(E540="",0,IF(COUNTIFS($E$5:E540,E540,$AD$5:AD540,AD540)=1,1,0))</f>
        <v>0</v>
      </c>
    </row>
    <row r="541" customFormat="false" ht="15" hidden="false" customHeight="true" outlineLevel="0" collapsed="false">
      <c r="A541" s="31"/>
      <c r="B541" s="30"/>
      <c r="C541" s="31"/>
      <c r="D541" s="31"/>
      <c r="E541" s="32"/>
      <c r="F541" s="32"/>
      <c r="G541" s="33"/>
      <c r="H541" s="31"/>
      <c r="I541" s="24" t="str">
        <f aca="false">IF(B541="","",YEAR(B541))</f>
        <v/>
      </c>
      <c r="J541" s="34" t="str">
        <f aca="false">IF(B541="","",IF(MONTH(B541)=1,"X",""))</f>
        <v/>
      </c>
      <c r="K541" s="34" t="str">
        <f aca="false">IF(B541="","",IF(MONTH(B541)=2,"X",""))</f>
        <v/>
      </c>
      <c r="L541" s="34" t="str">
        <f aca="false">IF(B541="","",IF(MONTH(B541)=3,"X",""))</f>
        <v/>
      </c>
      <c r="M541" s="34" t="str">
        <f aca="false">IF(B541="","",IF(MONTH(B541)=4,"X",""))</f>
        <v/>
      </c>
      <c r="N541" s="34" t="str">
        <f aca="false">IF(B541="","",IF(MONTH(B541)=5,"X",""))</f>
        <v/>
      </c>
      <c r="O541" s="34" t="str">
        <f aca="false">IF(B541="","",IF(MONTH(B541)=6,"X",""))</f>
        <v/>
      </c>
      <c r="P541" s="34" t="str">
        <f aca="false">IF(B541="","",IF(MONTH(B541)=7,"X",""))</f>
        <v/>
      </c>
      <c r="Q541" s="34" t="str">
        <f aca="false">IF(B541="","",IF(MONTH(B541)=8,"X",""))</f>
        <v/>
      </c>
      <c r="R541" s="34" t="str">
        <f aca="false">IF(B541="","",IF(MONTH(B541)=9,"X",""))</f>
        <v/>
      </c>
      <c r="S541" s="34" t="str">
        <f aca="false">IF(B541="","",IF(MONTH(B541)=10,"X",""))</f>
        <v/>
      </c>
      <c r="T541" s="34" t="str">
        <f aca="false">IF(B541="","",IF(MONTH(B541)=11,"X",""))</f>
        <v/>
      </c>
      <c r="U541" s="34" t="str">
        <f aca="false">IF(B541="","",IF(MONTH(B541)=12,"X",""))</f>
        <v/>
      </c>
      <c r="V541" s="24" t="str">
        <f aca="false">IF(E541="","",COUNTIF($E$5:$E$1000,E541))</f>
        <v/>
      </c>
      <c r="W541" s="35" t="str">
        <f aca="false">IF(E541="","",_xlfn.TEXTJOIN(" + ",TRUE(),IF(COUNTIFS($E$5:$E$1000,E541,$C$5:$C$1000,"Auditoría Interna")&gt;0,"Interna",""),IF(COUNTIFS($E$5:$E$1000,E541,$C$5:$C$1000,"Auditoría Externa")&gt;0,"Externa",""),IF(COUNTIFS($E$5:$E$1000,E541,$C$5:$C$1000,"SSF")&gt;0,"SSF",""),IF(COUNTIFS($E$5:$E$1000,E541,$C$5:$C$1000,"Comité de Supervisión")&gt;0,"Comité Sup.",""),IF(COUNTIFS($E$5:$E$1000,E541,$C$5:$C$1000,"Consejo de Administración")&gt;0,"Consejo",""),IF(COUNTIFS($E$5:$E$1000,E541,$C$5:$C$1000,"Otros")&gt;0,"Otros","")))</f>
        <v/>
      </c>
      <c r="X541" s="24" t="str">
        <f aca="false">IF(E541="","",COUNTIFS($E$5:$E$1000,E541,$AB$5:$AB$1000,AB541,$C$5:$C$1000,"&lt;&gt;"&amp;C541))</f>
        <v/>
      </c>
      <c r="Y541" s="33"/>
      <c r="Z541" s="31"/>
      <c r="AA541" s="33"/>
      <c r="AB541" s="37" t="str">
        <f aca="false">IF(B541="","",YEAR(B541)*100+MONTH(B541))</f>
        <v/>
      </c>
      <c r="AC541" s="37" t="str">
        <f aca="false">IF(AND(E541&lt;&gt;"",E541=Cruce!$C$5),COUNTIF($E$5:E541,E541),"")</f>
        <v/>
      </c>
      <c r="AD541" s="37" t="str">
        <f aca="false">IF(E541="","",C541&amp;"|"&amp;Y541&amp;"|"&amp;IF(B541="","s/f",TEXT(B541,"yyyymmdd")))</f>
        <v/>
      </c>
      <c r="AE541" s="37" t="n">
        <f aca="false">IF(E541="",0,IF(COUNTIFS($E$5:E541,E541,$AD$5:AD541,AD541)=1,1,0))</f>
        <v>0</v>
      </c>
    </row>
    <row r="542" customFormat="false" ht="15" hidden="false" customHeight="true" outlineLevel="0" collapsed="false">
      <c r="A542" s="31"/>
      <c r="B542" s="30"/>
      <c r="C542" s="31"/>
      <c r="D542" s="31"/>
      <c r="E542" s="32"/>
      <c r="F542" s="32"/>
      <c r="G542" s="33"/>
      <c r="H542" s="31"/>
      <c r="I542" s="24" t="str">
        <f aca="false">IF(B542="","",YEAR(B542))</f>
        <v/>
      </c>
      <c r="J542" s="34" t="str">
        <f aca="false">IF(B542="","",IF(MONTH(B542)=1,"X",""))</f>
        <v/>
      </c>
      <c r="K542" s="34" t="str">
        <f aca="false">IF(B542="","",IF(MONTH(B542)=2,"X",""))</f>
        <v/>
      </c>
      <c r="L542" s="34" t="str">
        <f aca="false">IF(B542="","",IF(MONTH(B542)=3,"X",""))</f>
        <v/>
      </c>
      <c r="M542" s="34" t="str">
        <f aca="false">IF(B542="","",IF(MONTH(B542)=4,"X",""))</f>
        <v/>
      </c>
      <c r="N542" s="34" t="str">
        <f aca="false">IF(B542="","",IF(MONTH(B542)=5,"X",""))</f>
        <v/>
      </c>
      <c r="O542" s="34" t="str">
        <f aca="false">IF(B542="","",IF(MONTH(B542)=6,"X",""))</f>
        <v/>
      </c>
      <c r="P542" s="34" t="str">
        <f aca="false">IF(B542="","",IF(MONTH(B542)=7,"X",""))</f>
        <v/>
      </c>
      <c r="Q542" s="34" t="str">
        <f aca="false">IF(B542="","",IF(MONTH(B542)=8,"X",""))</f>
        <v/>
      </c>
      <c r="R542" s="34" t="str">
        <f aca="false">IF(B542="","",IF(MONTH(B542)=9,"X",""))</f>
        <v/>
      </c>
      <c r="S542" s="34" t="str">
        <f aca="false">IF(B542="","",IF(MONTH(B542)=10,"X",""))</f>
        <v/>
      </c>
      <c r="T542" s="34" t="str">
        <f aca="false">IF(B542="","",IF(MONTH(B542)=11,"X",""))</f>
        <v/>
      </c>
      <c r="U542" s="34" t="str">
        <f aca="false">IF(B542="","",IF(MONTH(B542)=12,"X",""))</f>
        <v/>
      </c>
      <c r="V542" s="24" t="str">
        <f aca="false">IF(E542="","",COUNTIF($E$5:$E$1000,E542))</f>
        <v/>
      </c>
      <c r="W542" s="35" t="str">
        <f aca="false">IF(E542="","",_xlfn.TEXTJOIN(" + ",TRUE(),IF(COUNTIFS($E$5:$E$1000,E542,$C$5:$C$1000,"Auditoría Interna")&gt;0,"Interna",""),IF(COUNTIFS($E$5:$E$1000,E542,$C$5:$C$1000,"Auditoría Externa")&gt;0,"Externa",""),IF(COUNTIFS($E$5:$E$1000,E542,$C$5:$C$1000,"SSF")&gt;0,"SSF",""),IF(COUNTIFS($E$5:$E$1000,E542,$C$5:$C$1000,"Comité de Supervisión")&gt;0,"Comité Sup.",""),IF(COUNTIFS($E$5:$E$1000,E542,$C$5:$C$1000,"Consejo de Administración")&gt;0,"Consejo",""),IF(COUNTIFS($E$5:$E$1000,E542,$C$5:$C$1000,"Otros")&gt;0,"Otros","")))</f>
        <v/>
      </c>
      <c r="X542" s="24" t="str">
        <f aca="false">IF(E542="","",COUNTIFS($E$5:$E$1000,E542,$AB$5:$AB$1000,AB542,$C$5:$C$1000,"&lt;&gt;"&amp;C542))</f>
        <v/>
      </c>
      <c r="Y542" s="33"/>
      <c r="Z542" s="31"/>
      <c r="AA542" s="33"/>
      <c r="AB542" s="37" t="str">
        <f aca="false">IF(B542="","",YEAR(B542)*100+MONTH(B542))</f>
        <v/>
      </c>
      <c r="AC542" s="37" t="str">
        <f aca="false">IF(AND(E542&lt;&gt;"",E542=Cruce!$C$5),COUNTIF($E$5:E542,E542),"")</f>
        <v/>
      </c>
      <c r="AD542" s="37" t="str">
        <f aca="false">IF(E542="","",C542&amp;"|"&amp;Y542&amp;"|"&amp;IF(B542="","s/f",TEXT(B542,"yyyymmdd")))</f>
        <v/>
      </c>
      <c r="AE542" s="37" t="n">
        <f aca="false">IF(E542="",0,IF(COUNTIFS($E$5:E542,E542,$AD$5:AD542,AD542)=1,1,0))</f>
        <v>0</v>
      </c>
    </row>
    <row r="543" customFormat="false" ht="15" hidden="false" customHeight="true" outlineLevel="0" collapsed="false">
      <c r="A543" s="31"/>
      <c r="B543" s="30"/>
      <c r="C543" s="31"/>
      <c r="D543" s="31"/>
      <c r="E543" s="32"/>
      <c r="F543" s="32"/>
      <c r="G543" s="33"/>
      <c r="H543" s="31"/>
      <c r="I543" s="24" t="str">
        <f aca="false">IF(B543="","",YEAR(B543))</f>
        <v/>
      </c>
      <c r="J543" s="34" t="str">
        <f aca="false">IF(B543="","",IF(MONTH(B543)=1,"X",""))</f>
        <v/>
      </c>
      <c r="K543" s="34" t="str">
        <f aca="false">IF(B543="","",IF(MONTH(B543)=2,"X",""))</f>
        <v/>
      </c>
      <c r="L543" s="34" t="str">
        <f aca="false">IF(B543="","",IF(MONTH(B543)=3,"X",""))</f>
        <v/>
      </c>
      <c r="M543" s="34" t="str">
        <f aca="false">IF(B543="","",IF(MONTH(B543)=4,"X",""))</f>
        <v/>
      </c>
      <c r="N543" s="34" t="str">
        <f aca="false">IF(B543="","",IF(MONTH(B543)=5,"X",""))</f>
        <v/>
      </c>
      <c r="O543" s="34" t="str">
        <f aca="false">IF(B543="","",IF(MONTH(B543)=6,"X",""))</f>
        <v/>
      </c>
      <c r="P543" s="34" t="str">
        <f aca="false">IF(B543="","",IF(MONTH(B543)=7,"X",""))</f>
        <v/>
      </c>
      <c r="Q543" s="34" t="str">
        <f aca="false">IF(B543="","",IF(MONTH(B543)=8,"X",""))</f>
        <v/>
      </c>
      <c r="R543" s="34" t="str">
        <f aca="false">IF(B543="","",IF(MONTH(B543)=9,"X",""))</f>
        <v/>
      </c>
      <c r="S543" s="34" t="str">
        <f aca="false">IF(B543="","",IF(MONTH(B543)=10,"X",""))</f>
        <v/>
      </c>
      <c r="T543" s="34" t="str">
        <f aca="false">IF(B543="","",IF(MONTH(B543)=11,"X",""))</f>
        <v/>
      </c>
      <c r="U543" s="34" t="str">
        <f aca="false">IF(B543="","",IF(MONTH(B543)=12,"X",""))</f>
        <v/>
      </c>
      <c r="V543" s="24" t="str">
        <f aca="false">IF(E543="","",COUNTIF($E$5:$E$1000,E543))</f>
        <v/>
      </c>
      <c r="W543" s="35" t="str">
        <f aca="false">IF(E543="","",_xlfn.TEXTJOIN(" + ",TRUE(),IF(COUNTIFS($E$5:$E$1000,E543,$C$5:$C$1000,"Auditoría Interna")&gt;0,"Interna",""),IF(COUNTIFS($E$5:$E$1000,E543,$C$5:$C$1000,"Auditoría Externa")&gt;0,"Externa",""),IF(COUNTIFS($E$5:$E$1000,E543,$C$5:$C$1000,"SSF")&gt;0,"SSF",""),IF(COUNTIFS($E$5:$E$1000,E543,$C$5:$C$1000,"Comité de Supervisión")&gt;0,"Comité Sup.",""),IF(COUNTIFS($E$5:$E$1000,E543,$C$5:$C$1000,"Consejo de Administración")&gt;0,"Consejo",""),IF(COUNTIFS($E$5:$E$1000,E543,$C$5:$C$1000,"Otros")&gt;0,"Otros","")))</f>
        <v/>
      </c>
      <c r="X543" s="24" t="str">
        <f aca="false">IF(E543="","",COUNTIFS($E$5:$E$1000,E543,$AB$5:$AB$1000,AB543,$C$5:$C$1000,"&lt;&gt;"&amp;C543))</f>
        <v/>
      </c>
      <c r="Y543" s="33"/>
      <c r="Z543" s="31"/>
      <c r="AA543" s="33"/>
      <c r="AB543" s="37" t="str">
        <f aca="false">IF(B543="","",YEAR(B543)*100+MONTH(B543))</f>
        <v/>
      </c>
      <c r="AC543" s="37" t="str">
        <f aca="false">IF(AND(E543&lt;&gt;"",E543=Cruce!$C$5),COUNTIF($E$5:E543,E543),"")</f>
        <v/>
      </c>
      <c r="AD543" s="37" t="str">
        <f aca="false">IF(E543="","",C543&amp;"|"&amp;Y543&amp;"|"&amp;IF(B543="","s/f",TEXT(B543,"yyyymmdd")))</f>
        <v/>
      </c>
      <c r="AE543" s="37" t="n">
        <f aca="false">IF(E543="",0,IF(COUNTIFS($E$5:E543,E543,$AD$5:AD543,AD543)=1,1,0))</f>
        <v>0</v>
      </c>
    </row>
    <row r="544" customFormat="false" ht="15" hidden="false" customHeight="true" outlineLevel="0" collapsed="false">
      <c r="A544" s="31"/>
      <c r="B544" s="30"/>
      <c r="C544" s="31"/>
      <c r="D544" s="31"/>
      <c r="E544" s="32"/>
      <c r="F544" s="32"/>
      <c r="G544" s="33"/>
      <c r="H544" s="31"/>
      <c r="I544" s="24" t="str">
        <f aca="false">IF(B544="","",YEAR(B544))</f>
        <v/>
      </c>
      <c r="J544" s="34" t="str">
        <f aca="false">IF(B544="","",IF(MONTH(B544)=1,"X",""))</f>
        <v/>
      </c>
      <c r="K544" s="34" t="str">
        <f aca="false">IF(B544="","",IF(MONTH(B544)=2,"X",""))</f>
        <v/>
      </c>
      <c r="L544" s="34" t="str">
        <f aca="false">IF(B544="","",IF(MONTH(B544)=3,"X",""))</f>
        <v/>
      </c>
      <c r="M544" s="34" t="str">
        <f aca="false">IF(B544="","",IF(MONTH(B544)=4,"X",""))</f>
        <v/>
      </c>
      <c r="N544" s="34" t="str">
        <f aca="false">IF(B544="","",IF(MONTH(B544)=5,"X",""))</f>
        <v/>
      </c>
      <c r="O544" s="34" t="str">
        <f aca="false">IF(B544="","",IF(MONTH(B544)=6,"X",""))</f>
        <v/>
      </c>
      <c r="P544" s="34" t="str">
        <f aca="false">IF(B544="","",IF(MONTH(B544)=7,"X",""))</f>
        <v/>
      </c>
      <c r="Q544" s="34" t="str">
        <f aca="false">IF(B544="","",IF(MONTH(B544)=8,"X",""))</f>
        <v/>
      </c>
      <c r="R544" s="34" t="str">
        <f aca="false">IF(B544="","",IF(MONTH(B544)=9,"X",""))</f>
        <v/>
      </c>
      <c r="S544" s="34" t="str">
        <f aca="false">IF(B544="","",IF(MONTH(B544)=10,"X",""))</f>
        <v/>
      </c>
      <c r="T544" s="34" t="str">
        <f aca="false">IF(B544="","",IF(MONTH(B544)=11,"X",""))</f>
        <v/>
      </c>
      <c r="U544" s="34" t="str">
        <f aca="false">IF(B544="","",IF(MONTH(B544)=12,"X",""))</f>
        <v/>
      </c>
      <c r="V544" s="24" t="str">
        <f aca="false">IF(E544="","",COUNTIF($E$5:$E$1000,E544))</f>
        <v/>
      </c>
      <c r="W544" s="35" t="str">
        <f aca="false">IF(E544="","",_xlfn.TEXTJOIN(" + ",TRUE(),IF(COUNTIFS($E$5:$E$1000,E544,$C$5:$C$1000,"Auditoría Interna")&gt;0,"Interna",""),IF(COUNTIFS($E$5:$E$1000,E544,$C$5:$C$1000,"Auditoría Externa")&gt;0,"Externa",""),IF(COUNTIFS($E$5:$E$1000,E544,$C$5:$C$1000,"SSF")&gt;0,"SSF",""),IF(COUNTIFS($E$5:$E$1000,E544,$C$5:$C$1000,"Comité de Supervisión")&gt;0,"Comité Sup.",""),IF(COUNTIFS($E$5:$E$1000,E544,$C$5:$C$1000,"Consejo de Administración")&gt;0,"Consejo",""),IF(COUNTIFS($E$5:$E$1000,E544,$C$5:$C$1000,"Otros")&gt;0,"Otros","")))</f>
        <v/>
      </c>
      <c r="X544" s="24" t="str">
        <f aca="false">IF(E544="","",COUNTIFS($E$5:$E$1000,E544,$AB$5:$AB$1000,AB544,$C$5:$C$1000,"&lt;&gt;"&amp;C544))</f>
        <v/>
      </c>
      <c r="Y544" s="33"/>
      <c r="Z544" s="31"/>
      <c r="AA544" s="33"/>
      <c r="AB544" s="37" t="str">
        <f aca="false">IF(B544="","",YEAR(B544)*100+MONTH(B544))</f>
        <v/>
      </c>
      <c r="AC544" s="37" t="str">
        <f aca="false">IF(AND(E544&lt;&gt;"",E544=Cruce!$C$5),COUNTIF($E$5:E544,E544),"")</f>
        <v/>
      </c>
      <c r="AD544" s="37" t="str">
        <f aca="false">IF(E544="","",C544&amp;"|"&amp;Y544&amp;"|"&amp;IF(B544="","s/f",TEXT(B544,"yyyymmdd")))</f>
        <v/>
      </c>
      <c r="AE544" s="37" t="n">
        <f aca="false">IF(E544="",0,IF(COUNTIFS($E$5:E544,E544,$AD$5:AD544,AD544)=1,1,0))</f>
        <v>0</v>
      </c>
    </row>
    <row r="545" customFormat="false" ht="15" hidden="false" customHeight="true" outlineLevel="0" collapsed="false">
      <c r="A545" s="31"/>
      <c r="B545" s="30"/>
      <c r="C545" s="31"/>
      <c r="D545" s="31"/>
      <c r="E545" s="32"/>
      <c r="F545" s="32"/>
      <c r="G545" s="33"/>
      <c r="H545" s="31"/>
      <c r="I545" s="24" t="str">
        <f aca="false">IF(B545="","",YEAR(B545))</f>
        <v/>
      </c>
      <c r="J545" s="34" t="str">
        <f aca="false">IF(B545="","",IF(MONTH(B545)=1,"X",""))</f>
        <v/>
      </c>
      <c r="K545" s="34" t="str">
        <f aca="false">IF(B545="","",IF(MONTH(B545)=2,"X",""))</f>
        <v/>
      </c>
      <c r="L545" s="34" t="str">
        <f aca="false">IF(B545="","",IF(MONTH(B545)=3,"X",""))</f>
        <v/>
      </c>
      <c r="M545" s="34" t="str">
        <f aca="false">IF(B545="","",IF(MONTH(B545)=4,"X",""))</f>
        <v/>
      </c>
      <c r="N545" s="34" t="str">
        <f aca="false">IF(B545="","",IF(MONTH(B545)=5,"X",""))</f>
        <v/>
      </c>
      <c r="O545" s="34" t="str">
        <f aca="false">IF(B545="","",IF(MONTH(B545)=6,"X",""))</f>
        <v/>
      </c>
      <c r="P545" s="34" t="str">
        <f aca="false">IF(B545="","",IF(MONTH(B545)=7,"X",""))</f>
        <v/>
      </c>
      <c r="Q545" s="34" t="str">
        <f aca="false">IF(B545="","",IF(MONTH(B545)=8,"X",""))</f>
        <v/>
      </c>
      <c r="R545" s="34" t="str">
        <f aca="false">IF(B545="","",IF(MONTH(B545)=9,"X",""))</f>
        <v/>
      </c>
      <c r="S545" s="34" t="str">
        <f aca="false">IF(B545="","",IF(MONTH(B545)=10,"X",""))</f>
        <v/>
      </c>
      <c r="T545" s="34" t="str">
        <f aca="false">IF(B545="","",IF(MONTH(B545)=11,"X",""))</f>
        <v/>
      </c>
      <c r="U545" s="34" t="str">
        <f aca="false">IF(B545="","",IF(MONTH(B545)=12,"X",""))</f>
        <v/>
      </c>
      <c r="V545" s="24" t="str">
        <f aca="false">IF(E545="","",COUNTIF($E$5:$E$1000,E545))</f>
        <v/>
      </c>
      <c r="W545" s="35" t="str">
        <f aca="false">IF(E545="","",_xlfn.TEXTJOIN(" + ",TRUE(),IF(COUNTIFS($E$5:$E$1000,E545,$C$5:$C$1000,"Auditoría Interna")&gt;0,"Interna",""),IF(COUNTIFS($E$5:$E$1000,E545,$C$5:$C$1000,"Auditoría Externa")&gt;0,"Externa",""),IF(COUNTIFS($E$5:$E$1000,E545,$C$5:$C$1000,"SSF")&gt;0,"SSF",""),IF(COUNTIFS($E$5:$E$1000,E545,$C$5:$C$1000,"Comité de Supervisión")&gt;0,"Comité Sup.",""),IF(COUNTIFS($E$5:$E$1000,E545,$C$5:$C$1000,"Consejo de Administración")&gt;0,"Consejo",""),IF(COUNTIFS($E$5:$E$1000,E545,$C$5:$C$1000,"Otros")&gt;0,"Otros","")))</f>
        <v/>
      </c>
      <c r="X545" s="24" t="str">
        <f aca="false">IF(E545="","",COUNTIFS($E$5:$E$1000,E545,$AB$5:$AB$1000,AB545,$C$5:$C$1000,"&lt;&gt;"&amp;C545))</f>
        <v/>
      </c>
      <c r="Y545" s="33"/>
      <c r="Z545" s="31"/>
      <c r="AA545" s="33"/>
      <c r="AB545" s="37" t="str">
        <f aca="false">IF(B545="","",YEAR(B545)*100+MONTH(B545))</f>
        <v/>
      </c>
      <c r="AC545" s="37" t="str">
        <f aca="false">IF(AND(E545&lt;&gt;"",E545=Cruce!$C$5),COUNTIF($E$5:E545,E545),"")</f>
        <v/>
      </c>
      <c r="AD545" s="37" t="str">
        <f aca="false">IF(E545="","",C545&amp;"|"&amp;Y545&amp;"|"&amp;IF(B545="","s/f",TEXT(B545,"yyyymmdd")))</f>
        <v/>
      </c>
      <c r="AE545" s="37" t="n">
        <f aca="false">IF(E545="",0,IF(COUNTIFS($E$5:E545,E545,$AD$5:AD545,AD545)=1,1,0))</f>
        <v>0</v>
      </c>
    </row>
    <row r="546" customFormat="false" ht="15" hidden="false" customHeight="true" outlineLevel="0" collapsed="false">
      <c r="A546" s="31"/>
      <c r="B546" s="30"/>
      <c r="C546" s="31"/>
      <c r="D546" s="31"/>
      <c r="E546" s="32"/>
      <c r="F546" s="32"/>
      <c r="G546" s="33"/>
      <c r="H546" s="31"/>
      <c r="I546" s="24" t="str">
        <f aca="false">IF(B546="","",YEAR(B546))</f>
        <v/>
      </c>
      <c r="J546" s="34" t="str">
        <f aca="false">IF(B546="","",IF(MONTH(B546)=1,"X",""))</f>
        <v/>
      </c>
      <c r="K546" s="34" t="str">
        <f aca="false">IF(B546="","",IF(MONTH(B546)=2,"X",""))</f>
        <v/>
      </c>
      <c r="L546" s="34" t="str">
        <f aca="false">IF(B546="","",IF(MONTH(B546)=3,"X",""))</f>
        <v/>
      </c>
      <c r="M546" s="34" t="str">
        <f aca="false">IF(B546="","",IF(MONTH(B546)=4,"X",""))</f>
        <v/>
      </c>
      <c r="N546" s="34" t="str">
        <f aca="false">IF(B546="","",IF(MONTH(B546)=5,"X",""))</f>
        <v/>
      </c>
      <c r="O546" s="34" t="str">
        <f aca="false">IF(B546="","",IF(MONTH(B546)=6,"X",""))</f>
        <v/>
      </c>
      <c r="P546" s="34" t="str">
        <f aca="false">IF(B546="","",IF(MONTH(B546)=7,"X",""))</f>
        <v/>
      </c>
      <c r="Q546" s="34" t="str">
        <f aca="false">IF(B546="","",IF(MONTH(B546)=8,"X",""))</f>
        <v/>
      </c>
      <c r="R546" s="34" t="str">
        <f aca="false">IF(B546="","",IF(MONTH(B546)=9,"X",""))</f>
        <v/>
      </c>
      <c r="S546" s="34" t="str">
        <f aca="false">IF(B546="","",IF(MONTH(B546)=10,"X",""))</f>
        <v/>
      </c>
      <c r="T546" s="34" t="str">
        <f aca="false">IF(B546="","",IF(MONTH(B546)=11,"X",""))</f>
        <v/>
      </c>
      <c r="U546" s="34" t="str">
        <f aca="false">IF(B546="","",IF(MONTH(B546)=12,"X",""))</f>
        <v/>
      </c>
      <c r="V546" s="24" t="str">
        <f aca="false">IF(E546="","",COUNTIF($E$5:$E$1000,E546))</f>
        <v/>
      </c>
      <c r="W546" s="35" t="str">
        <f aca="false">IF(E546="","",_xlfn.TEXTJOIN(" + ",TRUE(),IF(COUNTIFS($E$5:$E$1000,E546,$C$5:$C$1000,"Auditoría Interna")&gt;0,"Interna",""),IF(COUNTIFS($E$5:$E$1000,E546,$C$5:$C$1000,"Auditoría Externa")&gt;0,"Externa",""),IF(COUNTIFS($E$5:$E$1000,E546,$C$5:$C$1000,"SSF")&gt;0,"SSF",""),IF(COUNTIFS($E$5:$E$1000,E546,$C$5:$C$1000,"Comité de Supervisión")&gt;0,"Comité Sup.",""),IF(COUNTIFS($E$5:$E$1000,E546,$C$5:$C$1000,"Consejo de Administración")&gt;0,"Consejo",""),IF(COUNTIFS($E$5:$E$1000,E546,$C$5:$C$1000,"Otros")&gt;0,"Otros","")))</f>
        <v/>
      </c>
      <c r="X546" s="24" t="str">
        <f aca="false">IF(E546="","",COUNTIFS($E$5:$E$1000,E546,$AB$5:$AB$1000,AB546,$C$5:$C$1000,"&lt;&gt;"&amp;C546))</f>
        <v/>
      </c>
      <c r="Y546" s="33"/>
      <c r="Z546" s="31"/>
      <c r="AA546" s="33"/>
      <c r="AB546" s="37" t="str">
        <f aca="false">IF(B546="","",YEAR(B546)*100+MONTH(B546))</f>
        <v/>
      </c>
      <c r="AC546" s="37" t="str">
        <f aca="false">IF(AND(E546&lt;&gt;"",E546=Cruce!$C$5),COUNTIF($E$5:E546,E546),"")</f>
        <v/>
      </c>
      <c r="AD546" s="37" t="str">
        <f aca="false">IF(E546="","",C546&amp;"|"&amp;Y546&amp;"|"&amp;IF(B546="","s/f",TEXT(B546,"yyyymmdd")))</f>
        <v/>
      </c>
      <c r="AE546" s="37" t="n">
        <f aca="false">IF(E546="",0,IF(COUNTIFS($E$5:E546,E546,$AD$5:AD546,AD546)=1,1,0))</f>
        <v>0</v>
      </c>
    </row>
    <row r="547" customFormat="false" ht="15" hidden="false" customHeight="true" outlineLevel="0" collapsed="false">
      <c r="A547" s="31"/>
      <c r="B547" s="30"/>
      <c r="C547" s="31"/>
      <c r="D547" s="31"/>
      <c r="E547" s="32"/>
      <c r="F547" s="32"/>
      <c r="G547" s="33"/>
      <c r="H547" s="31"/>
      <c r="I547" s="24" t="str">
        <f aca="false">IF(B547="","",YEAR(B547))</f>
        <v/>
      </c>
      <c r="J547" s="34" t="str">
        <f aca="false">IF(B547="","",IF(MONTH(B547)=1,"X",""))</f>
        <v/>
      </c>
      <c r="K547" s="34" t="str">
        <f aca="false">IF(B547="","",IF(MONTH(B547)=2,"X",""))</f>
        <v/>
      </c>
      <c r="L547" s="34" t="str">
        <f aca="false">IF(B547="","",IF(MONTH(B547)=3,"X",""))</f>
        <v/>
      </c>
      <c r="M547" s="34" t="str">
        <f aca="false">IF(B547="","",IF(MONTH(B547)=4,"X",""))</f>
        <v/>
      </c>
      <c r="N547" s="34" t="str">
        <f aca="false">IF(B547="","",IF(MONTH(B547)=5,"X",""))</f>
        <v/>
      </c>
      <c r="O547" s="34" t="str">
        <f aca="false">IF(B547="","",IF(MONTH(B547)=6,"X",""))</f>
        <v/>
      </c>
      <c r="P547" s="34" t="str">
        <f aca="false">IF(B547="","",IF(MONTH(B547)=7,"X",""))</f>
        <v/>
      </c>
      <c r="Q547" s="34" t="str">
        <f aca="false">IF(B547="","",IF(MONTH(B547)=8,"X",""))</f>
        <v/>
      </c>
      <c r="R547" s="34" t="str">
        <f aca="false">IF(B547="","",IF(MONTH(B547)=9,"X",""))</f>
        <v/>
      </c>
      <c r="S547" s="34" t="str">
        <f aca="false">IF(B547="","",IF(MONTH(B547)=10,"X",""))</f>
        <v/>
      </c>
      <c r="T547" s="34" t="str">
        <f aca="false">IF(B547="","",IF(MONTH(B547)=11,"X",""))</f>
        <v/>
      </c>
      <c r="U547" s="34" t="str">
        <f aca="false">IF(B547="","",IF(MONTH(B547)=12,"X",""))</f>
        <v/>
      </c>
      <c r="V547" s="24" t="str">
        <f aca="false">IF(E547="","",COUNTIF($E$5:$E$1000,E547))</f>
        <v/>
      </c>
      <c r="W547" s="35" t="str">
        <f aca="false">IF(E547="","",_xlfn.TEXTJOIN(" + ",TRUE(),IF(COUNTIFS($E$5:$E$1000,E547,$C$5:$C$1000,"Auditoría Interna")&gt;0,"Interna",""),IF(COUNTIFS($E$5:$E$1000,E547,$C$5:$C$1000,"Auditoría Externa")&gt;0,"Externa",""),IF(COUNTIFS($E$5:$E$1000,E547,$C$5:$C$1000,"SSF")&gt;0,"SSF",""),IF(COUNTIFS($E$5:$E$1000,E547,$C$5:$C$1000,"Comité de Supervisión")&gt;0,"Comité Sup.",""),IF(COUNTIFS($E$5:$E$1000,E547,$C$5:$C$1000,"Consejo de Administración")&gt;0,"Consejo",""),IF(COUNTIFS($E$5:$E$1000,E547,$C$5:$C$1000,"Otros")&gt;0,"Otros","")))</f>
        <v/>
      </c>
      <c r="X547" s="24" t="str">
        <f aca="false">IF(E547="","",COUNTIFS($E$5:$E$1000,E547,$AB$5:$AB$1000,AB547,$C$5:$C$1000,"&lt;&gt;"&amp;C547))</f>
        <v/>
      </c>
      <c r="Y547" s="33"/>
      <c r="Z547" s="31"/>
      <c r="AA547" s="33"/>
      <c r="AB547" s="37" t="str">
        <f aca="false">IF(B547="","",YEAR(B547)*100+MONTH(B547))</f>
        <v/>
      </c>
      <c r="AC547" s="37" t="str">
        <f aca="false">IF(AND(E547&lt;&gt;"",E547=Cruce!$C$5),COUNTIF($E$5:E547,E547),"")</f>
        <v/>
      </c>
      <c r="AD547" s="37" t="str">
        <f aca="false">IF(E547="","",C547&amp;"|"&amp;Y547&amp;"|"&amp;IF(B547="","s/f",TEXT(B547,"yyyymmdd")))</f>
        <v/>
      </c>
      <c r="AE547" s="37" t="n">
        <f aca="false">IF(E547="",0,IF(COUNTIFS($E$5:E547,E547,$AD$5:AD547,AD547)=1,1,0))</f>
        <v>0</v>
      </c>
    </row>
    <row r="548" customFormat="false" ht="15" hidden="false" customHeight="true" outlineLevel="0" collapsed="false">
      <c r="A548" s="31"/>
      <c r="B548" s="30"/>
      <c r="C548" s="31"/>
      <c r="D548" s="31"/>
      <c r="E548" s="32"/>
      <c r="F548" s="32"/>
      <c r="G548" s="33"/>
      <c r="H548" s="31"/>
      <c r="I548" s="24" t="str">
        <f aca="false">IF(B548="","",YEAR(B548))</f>
        <v/>
      </c>
      <c r="J548" s="34" t="str">
        <f aca="false">IF(B548="","",IF(MONTH(B548)=1,"X",""))</f>
        <v/>
      </c>
      <c r="K548" s="34" t="str">
        <f aca="false">IF(B548="","",IF(MONTH(B548)=2,"X",""))</f>
        <v/>
      </c>
      <c r="L548" s="34" t="str">
        <f aca="false">IF(B548="","",IF(MONTH(B548)=3,"X",""))</f>
        <v/>
      </c>
      <c r="M548" s="34" t="str">
        <f aca="false">IF(B548="","",IF(MONTH(B548)=4,"X",""))</f>
        <v/>
      </c>
      <c r="N548" s="34" t="str">
        <f aca="false">IF(B548="","",IF(MONTH(B548)=5,"X",""))</f>
        <v/>
      </c>
      <c r="O548" s="34" t="str">
        <f aca="false">IF(B548="","",IF(MONTH(B548)=6,"X",""))</f>
        <v/>
      </c>
      <c r="P548" s="34" t="str">
        <f aca="false">IF(B548="","",IF(MONTH(B548)=7,"X",""))</f>
        <v/>
      </c>
      <c r="Q548" s="34" t="str">
        <f aca="false">IF(B548="","",IF(MONTH(B548)=8,"X",""))</f>
        <v/>
      </c>
      <c r="R548" s="34" t="str">
        <f aca="false">IF(B548="","",IF(MONTH(B548)=9,"X",""))</f>
        <v/>
      </c>
      <c r="S548" s="34" t="str">
        <f aca="false">IF(B548="","",IF(MONTH(B548)=10,"X",""))</f>
        <v/>
      </c>
      <c r="T548" s="34" t="str">
        <f aca="false">IF(B548="","",IF(MONTH(B548)=11,"X",""))</f>
        <v/>
      </c>
      <c r="U548" s="34" t="str">
        <f aca="false">IF(B548="","",IF(MONTH(B548)=12,"X",""))</f>
        <v/>
      </c>
      <c r="V548" s="24" t="str">
        <f aca="false">IF(E548="","",COUNTIF($E$5:$E$1000,E548))</f>
        <v/>
      </c>
      <c r="W548" s="35" t="str">
        <f aca="false">IF(E548="","",_xlfn.TEXTJOIN(" + ",TRUE(),IF(COUNTIFS($E$5:$E$1000,E548,$C$5:$C$1000,"Auditoría Interna")&gt;0,"Interna",""),IF(COUNTIFS($E$5:$E$1000,E548,$C$5:$C$1000,"Auditoría Externa")&gt;0,"Externa",""),IF(COUNTIFS($E$5:$E$1000,E548,$C$5:$C$1000,"SSF")&gt;0,"SSF",""),IF(COUNTIFS($E$5:$E$1000,E548,$C$5:$C$1000,"Comité de Supervisión")&gt;0,"Comité Sup.",""),IF(COUNTIFS($E$5:$E$1000,E548,$C$5:$C$1000,"Consejo de Administración")&gt;0,"Consejo",""),IF(COUNTIFS($E$5:$E$1000,E548,$C$5:$C$1000,"Otros")&gt;0,"Otros","")))</f>
        <v/>
      </c>
      <c r="X548" s="24" t="str">
        <f aca="false">IF(E548="","",COUNTIFS($E$5:$E$1000,E548,$AB$5:$AB$1000,AB548,$C$5:$C$1000,"&lt;&gt;"&amp;C548))</f>
        <v/>
      </c>
      <c r="Y548" s="33"/>
      <c r="Z548" s="31"/>
      <c r="AA548" s="33"/>
      <c r="AB548" s="37" t="str">
        <f aca="false">IF(B548="","",YEAR(B548)*100+MONTH(B548))</f>
        <v/>
      </c>
      <c r="AC548" s="37" t="str">
        <f aca="false">IF(AND(E548&lt;&gt;"",E548=Cruce!$C$5),COUNTIF($E$5:E548,E548),"")</f>
        <v/>
      </c>
      <c r="AD548" s="37" t="str">
        <f aca="false">IF(E548="","",C548&amp;"|"&amp;Y548&amp;"|"&amp;IF(B548="","s/f",TEXT(B548,"yyyymmdd")))</f>
        <v/>
      </c>
      <c r="AE548" s="37" t="n">
        <f aca="false">IF(E548="",0,IF(COUNTIFS($E$5:E548,E548,$AD$5:AD548,AD548)=1,1,0))</f>
        <v>0</v>
      </c>
    </row>
    <row r="549" customFormat="false" ht="15" hidden="false" customHeight="true" outlineLevel="0" collapsed="false">
      <c r="A549" s="31"/>
      <c r="B549" s="30"/>
      <c r="C549" s="31"/>
      <c r="D549" s="31"/>
      <c r="E549" s="32"/>
      <c r="F549" s="32"/>
      <c r="G549" s="33"/>
      <c r="H549" s="31"/>
      <c r="I549" s="24" t="str">
        <f aca="false">IF(B549="","",YEAR(B549))</f>
        <v/>
      </c>
      <c r="J549" s="34" t="str">
        <f aca="false">IF(B549="","",IF(MONTH(B549)=1,"X",""))</f>
        <v/>
      </c>
      <c r="K549" s="34" t="str">
        <f aca="false">IF(B549="","",IF(MONTH(B549)=2,"X",""))</f>
        <v/>
      </c>
      <c r="L549" s="34" t="str">
        <f aca="false">IF(B549="","",IF(MONTH(B549)=3,"X",""))</f>
        <v/>
      </c>
      <c r="M549" s="34" t="str">
        <f aca="false">IF(B549="","",IF(MONTH(B549)=4,"X",""))</f>
        <v/>
      </c>
      <c r="N549" s="34" t="str">
        <f aca="false">IF(B549="","",IF(MONTH(B549)=5,"X",""))</f>
        <v/>
      </c>
      <c r="O549" s="34" t="str">
        <f aca="false">IF(B549="","",IF(MONTH(B549)=6,"X",""))</f>
        <v/>
      </c>
      <c r="P549" s="34" t="str">
        <f aca="false">IF(B549="","",IF(MONTH(B549)=7,"X",""))</f>
        <v/>
      </c>
      <c r="Q549" s="34" t="str">
        <f aca="false">IF(B549="","",IF(MONTH(B549)=8,"X",""))</f>
        <v/>
      </c>
      <c r="R549" s="34" t="str">
        <f aca="false">IF(B549="","",IF(MONTH(B549)=9,"X",""))</f>
        <v/>
      </c>
      <c r="S549" s="34" t="str">
        <f aca="false">IF(B549="","",IF(MONTH(B549)=10,"X",""))</f>
        <v/>
      </c>
      <c r="T549" s="34" t="str">
        <f aca="false">IF(B549="","",IF(MONTH(B549)=11,"X",""))</f>
        <v/>
      </c>
      <c r="U549" s="34" t="str">
        <f aca="false">IF(B549="","",IF(MONTH(B549)=12,"X",""))</f>
        <v/>
      </c>
      <c r="V549" s="24" t="str">
        <f aca="false">IF(E549="","",COUNTIF($E$5:$E$1000,E549))</f>
        <v/>
      </c>
      <c r="W549" s="35" t="str">
        <f aca="false">IF(E549="","",_xlfn.TEXTJOIN(" + ",TRUE(),IF(COUNTIFS($E$5:$E$1000,E549,$C$5:$C$1000,"Auditoría Interna")&gt;0,"Interna",""),IF(COUNTIFS($E$5:$E$1000,E549,$C$5:$C$1000,"Auditoría Externa")&gt;0,"Externa",""),IF(COUNTIFS($E$5:$E$1000,E549,$C$5:$C$1000,"SSF")&gt;0,"SSF",""),IF(COUNTIFS($E$5:$E$1000,E549,$C$5:$C$1000,"Comité de Supervisión")&gt;0,"Comité Sup.",""),IF(COUNTIFS($E$5:$E$1000,E549,$C$5:$C$1000,"Consejo de Administración")&gt;0,"Consejo",""),IF(COUNTIFS($E$5:$E$1000,E549,$C$5:$C$1000,"Otros")&gt;0,"Otros","")))</f>
        <v/>
      </c>
      <c r="X549" s="24" t="str">
        <f aca="false">IF(E549="","",COUNTIFS($E$5:$E$1000,E549,$AB$5:$AB$1000,AB549,$C$5:$C$1000,"&lt;&gt;"&amp;C549))</f>
        <v/>
      </c>
      <c r="Y549" s="33"/>
      <c r="Z549" s="31"/>
      <c r="AA549" s="33"/>
      <c r="AB549" s="37" t="str">
        <f aca="false">IF(B549="","",YEAR(B549)*100+MONTH(B549))</f>
        <v/>
      </c>
      <c r="AC549" s="37" t="str">
        <f aca="false">IF(AND(E549&lt;&gt;"",E549=Cruce!$C$5),COUNTIF($E$5:E549,E549),"")</f>
        <v/>
      </c>
      <c r="AD549" s="37" t="str">
        <f aca="false">IF(E549="","",C549&amp;"|"&amp;Y549&amp;"|"&amp;IF(B549="","s/f",TEXT(B549,"yyyymmdd")))</f>
        <v/>
      </c>
      <c r="AE549" s="37" t="n">
        <f aca="false">IF(E549="",0,IF(COUNTIFS($E$5:E549,E549,$AD$5:AD549,AD549)=1,1,0))</f>
        <v>0</v>
      </c>
    </row>
    <row r="550" customFormat="false" ht="15" hidden="false" customHeight="true" outlineLevel="0" collapsed="false">
      <c r="A550" s="31"/>
      <c r="B550" s="30"/>
      <c r="C550" s="31"/>
      <c r="D550" s="31"/>
      <c r="E550" s="32"/>
      <c r="F550" s="32"/>
      <c r="G550" s="33"/>
      <c r="H550" s="31"/>
      <c r="I550" s="24" t="str">
        <f aca="false">IF(B550="","",YEAR(B550))</f>
        <v/>
      </c>
      <c r="J550" s="34" t="str">
        <f aca="false">IF(B550="","",IF(MONTH(B550)=1,"X",""))</f>
        <v/>
      </c>
      <c r="K550" s="34" t="str">
        <f aca="false">IF(B550="","",IF(MONTH(B550)=2,"X",""))</f>
        <v/>
      </c>
      <c r="L550" s="34" t="str">
        <f aca="false">IF(B550="","",IF(MONTH(B550)=3,"X",""))</f>
        <v/>
      </c>
      <c r="M550" s="34" t="str">
        <f aca="false">IF(B550="","",IF(MONTH(B550)=4,"X",""))</f>
        <v/>
      </c>
      <c r="N550" s="34" t="str">
        <f aca="false">IF(B550="","",IF(MONTH(B550)=5,"X",""))</f>
        <v/>
      </c>
      <c r="O550" s="34" t="str">
        <f aca="false">IF(B550="","",IF(MONTH(B550)=6,"X",""))</f>
        <v/>
      </c>
      <c r="P550" s="34" t="str">
        <f aca="false">IF(B550="","",IF(MONTH(B550)=7,"X",""))</f>
        <v/>
      </c>
      <c r="Q550" s="34" t="str">
        <f aca="false">IF(B550="","",IF(MONTH(B550)=8,"X",""))</f>
        <v/>
      </c>
      <c r="R550" s="34" t="str">
        <f aca="false">IF(B550="","",IF(MONTH(B550)=9,"X",""))</f>
        <v/>
      </c>
      <c r="S550" s="34" t="str">
        <f aca="false">IF(B550="","",IF(MONTH(B550)=10,"X",""))</f>
        <v/>
      </c>
      <c r="T550" s="34" t="str">
        <f aca="false">IF(B550="","",IF(MONTH(B550)=11,"X",""))</f>
        <v/>
      </c>
      <c r="U550" s="34" t="str">
        <f aca="false">IF(B550="","",IF(MONTH(B550)=12,"X",""))</f>
        <v/>
      </c>
      <c r="V550" s="24" t="str">
        <f aca="false">IF(E550="","",COUNTIF($E$5:$E$1000,E550))</f>
        <v/>
      </c>
      <c r="W550" s="35" t="str">
        <f aca="false">IF(E550="","",_xlfn.TEXTJOIN(" + ",TRUE(),IF(COUNTIFS($E$5:$E$1000,E550,$C$5:$C$1000,"Auditoría Interna")&gt;0,"Interna",""),IF(COUNTIFS($E$5:$E$1000,E550,$C$5:$C$1000,"Auditoría Externa")&gt;0,"Externa",""),IF(COUNTIFS($E$5:$E$1000,E550,$C$5:$C$1000,"SSF")&gt;0,"SSF",""),IF(COUNTIFS($E$5:$E$1000,E550,$C$5:$C$1000,"Comité de Supervisión")&gt;0,"Comité Sup.",""),IF(COUNTIFS($E$5:$E$1000,E550,$C$5:$C$1000,"Consejo de Administración")&gt;0,"Consejo",""),IF(COUNTIFS($E$5:$E$1000,E550,$C$5:$C$1000,"Otros")&gt;0,"Otros","")))</f>
        <v/>
      </c>
      <c r="X550" s="24" t="str">
        <f aca="false">IF(E550="","",COUNTIFS($E$5:$E$1000,E550,$AB$5:$AB$1000,AB550,$C$5:$C$1000,"&lt;&gt;"&amp;C550))</f>
        <v/>
      </c>
      <c r="Y550" s="33"/>
      <c r="Z550" s="31"/>
      <c r="AA550" s="33"/>
      <c r="AB550" s="37" t="str">
        <f aca="false">IF(B550="","",YEAR(B550)*100+MONTH(B550))</f>
        <v/>
      </c>
      <c r="AC550" s="37" t="str">
        <f aca="false">IF(AND(E550&lt;&gt;"",E550=Cruce!$C$5),COUNTIF($E$5:E550,E550),"")</f>
        <v/>
      </c>
      <c r="AD550" s="37" t="str">
        <f aca="false">IF(E550="","",C550&amp;"|"&amp;Y550&amp;"|"&amp;IF(B550="","s/f",TEXT(B550,"yyyymmdd")))</f>
        <v/>
      </c>
      <c r="AE550" s="37" t="n">
        <f aca="false">IF(E550="",0,IF(COUNTIFS($E$5:E550,E550,$AD$5:AD550,AD550)=1,1,0))</f>
        <v>0</v>
      </c>
    </row>
    <row r="551" customFormat="false" ht="15" hidden="false" customHeight="true" outlineLevel="0" collapsed="false">
      <c r="A551" s="31"/>
      <c r="B551" s="30"/>
      <c r="C551" s="31"/>
      <c r="D551" s="31"/>
      <c r="E551" s="32"/>
      <c r="F551" s="32"/>
      <c r="G551" s="33"/>
      <c r="H551" s="31"/>
      <c r="I551" s="24" t="str">
        <f aca="false">IF(B551="","",YEAR(B551))</f>
        <v/>
      </c>
      <c r="J551" s="34" t="str">
        <f aca="false">IF(B551="","",IF(MONTH(B551)=1,"X",""))</f>
        <v/>
      </c>
      <c r="K551" s="34" t="str">
        <f aca="false">IF(B551="","",IF(MONTH(B551)=2,"X",""))</f>
        <v/>
      </c>
      <c r="L551" s="34" t="str">
        <f aca="false">IF(B551="","",IF(MONTH(B551)=3,"X",""))</f>
        <v/>
      </c>
      <c r="M551" s="34" t="str">
        <f aca="false">IF(B551="","",IF(MONTH(B551)=4,"X",""))</f>
        <v/>
      </c>
      <c r="N551" s="34" t="str">
        <f aca="false">IF(B551="","",IF(MONTH(B551)=5,"X",""))</f>
        <v/>
      </c>
      <c r="O551" s="34" t="str">
        <f aca="false">IF(B551="","",IF(MONTH(B551)=6,"X",""))</f>
        <v/>
      </c>
      <c r="P551" s="34" t="str">
        <f aca="false">IF(B551="","",IF(MONTH(B551)=7,"X",""))</f>
        <v/>
      </c>
      <c r="Q551" s="34" t="str">
        <f aca="false">IF(B551="","",IF(MONTH(B551)=8,"X",""))</f>
        <v/>
      </c>
      <c r="R551" s="34" t="str">
        <f aca="false">IF(B551="","",IF(MONTH(B551)=9,"X",""))</f>
        <v/>
      </c>
      <c r="S551" s="34" t="str">
        <f aca="false">IF(B551="","",IF(MONTH(B551)=10,"X",""))</f>
        <v/>
      </c>
      <c r="T551" s="34" t="str">
        <f aca="false">IF(B551="","",IF(MONTH(B551)=11,"X",""))</f>
        <v/>
      </c>
      <c r="U551" s="34" t="str">
        <f aca="false">IF(B551="","",IF(MONTH(B551)=12,"X",""))</f>
        <v/>
      </c>
      <c r="V551" s="24" t="str">
        <f aca="false">IF(E551="","",COUNTIF($E$5:$E$1000,E551))</f>
        <v/>
      </c>
      <c r="W551" s="35" t="str">
        <f aca="false">IF(E551="","",_xlfn.TEXTJOIN(" + ",TRUE(),IF(COUNTIFS($E$5:$E$1000,E551,$C$5:$C$1000,"Auditoría Interna")&gt;0,"Interna",""),IF(COUNTIFS($E$5:$E$1000,E551,$C$5:$C$1000,"Auditoría Externa")&gt;0,"Externa",""),IF(COUNTIFS($E$5:$E$1000,E551,$C$5:$C$1000,"SSF")&gt;0,"SSF",""),IF(COUNTIFS($E$5:$E$1000,E551,$C$5:$C$1000,"Comité de Supervisión")&gt;0,"Comité Sup.",""),IF(COUNTIFS($E$5:$E$1000,E551,$C$5:$C$1000,"Consejo de Administración")&gt;0,"Consejo",""),IF(COUNTIFS($E$5:$E$1000,E551,$C$5:$C$1000,"Otros")&gt;0,"Otros","")))</f>
        <v/>
      </c>
      <c r="X551" s="24" t="str">
        <f aca="false">IF(E551="","",COUNTIFS($E$5:$E$1000,E551,$AB$5:$AB$1000,AB551,$C$5:$C$1000,"&lt;&gt;"&amp;C551))</f>
        <v/>
      </c>
      <c r="Y551" s="33"/>
      <c r="Z551" s="31"/>
      <c r="AA551" s="33"/>
      <c r="AB551" s="37" t="str">
        <f aca="false">IF(B551="","",YEAR(B551)*100+MONTH(B551))</f>
        <v/>
      </c>
      <c r="AC551" s="37" t="str">
        <f aca="false">IF(AND(E551&lt;&gt;"",E551=Cruce!$C$5),COUNTIF($E$5:E551,E551),"")</f>
        <v/>
      </c>
      <c r="AD551" s="37" t="str">
        <f aca="false">IF(E551="","",C551&amp;"|"&amp;Y551&amp;"|"&amp;IF(B551="","s/f",TEXT(B551,"yyyymmdd")))</f>
        <v/>
      </c>
      <c r="AE551" s="37" t="n">
        <f aca="false">IF(E551="",0,IF(COUNTIFS($E$5:E551,E551,$AD$5:AD551,AD551)=1,1,0))</f>
        <v>0</v>
      </c>
    </row>
    <row r="552" customFormat="false" ht="15" hidden="false" customHeight="true" outlineLevel="0" collapsed="false">
      <c r="A552" s="31"/>
      <c r="B552" s="30"/>
      <c r="C552" s="31"/>
      <c r="D552" s="31"/>
      <c r="E552" s="32"/>
      <c r="F552" s="32"/>
      <c r="G552" s="33"/>
      <c r="H552" s="31"/>
      <c r="I552" s="24" t="str">
        <f aca="false">IF(B552="","",YEAR(B552))</f>
        <v/>
      </c>
      <c r="J552" s="34" t="str">
        <f aca="false">IF(B552="","",IF(MONTH(B552)=1,"X",""))</f>
        <v/>
      </c>
      <c r="K552" s="34" t="str">
        <f aca="false">IF(B552="","",IF(MONTH(B552)=2,"X",""))</f>
        <v/>
      </c>
      <c r="L552" s="34" t="str">
        <f aca="false">IF(B552="","",IF(MONTH(B552)=3,"X",""))</f>
        <v/>
      </c>
      <c r="M552" s="34" t="str">
        <f aca="false">IF(B552="","",IF(MONTH(B552)=4,"X",""))</f>
        <v/>
      </c>
      <c r="N552" s="34" t="str">
        <f aca="false">IF(B552="","",IF(MONTH(B552)=5,"X",""))</f>
        <v/>
      </c>
      <c r="O552" s="34" t="str">
        <f aca="false">IF(B552="","",IF(MONTH(B552)=6,"X",""))</f>
        <v/>
      </c>
      <c r="P552" s="34" t="str">
        <f aca="false">IF(B552="","",IF(MONTH(B552)=7,"X",""))</f>
        <v/>
      </c>
      <c r="Q552" s="34" t="str">
        <f aca="false">IF(B552="","",IF(MONTH(B552)=8,"X",""))</f>
        <v/>
      </c>
      <c r="R552" s="34" t="str">
        <f aca="false">IF(B552="","",IF(MONTH(B552)=9,"X",""))</f>
        <v/>
      </c>
      <c r="S552" s="34" t="str">
        <f aca="false">IF(B552="","",IF(MONTH(B552)=10,"X",""))</f>
        <v/>
      </c>
      <c r="T552" s="34" t="str">
        <f aca="false">IF(B552="","",IF(MONTH(B552)=11,"X",""))</f>
        <v/>
      </c>
      <c r="U552" s="34" t="str">
        <f aca="false">IF(B552="","",IF(MONTH(B552)=12,"X",""))</f>
        <v/>
      </c>
      <c r="V552" s="24" t="str">
        <f aca="false">IF(E552="","",COUNTIF($E$5:$E$1000,E552))</f>
        <v/>
      </c>
      <c r="W552" s="35" t="str">
        <f aca="false">IF(E552="","",_xlfn.TEXTJOIN(" + ",TRUE(),IF(COUNTIFS($E$5:$E$1000,E552,$C$5:$C$1000,"Auditoría Interna")&gt;0,"Interna",""),IF(COUNTIFS($E$5:$E$1000,E552,$C$5:$C$1000,"Auditoría Externa")&gt;0,"Externa",""),IF(COUNTIFS($E$5:$E$1000,E552,$C$5:$C$1000,"SSF")&gt;0,"SSF",""),IF(COUNTIFS($E$5:$E$1000,E552,$C$5:$C$1000,"Comité de Supervisión")&gt;0,"Comité Sup.",""),IF(COUNTIFS($E$5:$E$1000,E552,$C$5:$C$1000,"Consejo de Administración")&gt;0,"Consejo",""),IF(COUNTIFS($E$5:$E$1000,E552,$C$5:$C$1000,"Otros")&gt;0,"Otros","")))</f>
        <v/>
      </c>
      <c r="X552" s="24" t="str">
        <f aca="false">IF(E552="","",COUNTIFS($E$5:$E$1000,E552,$AB$5:$AB$1000,AB552,$C$5:$C$1000,"&lt;&gt;"&amp;C552))</f>
        <v/>
      </c>
      <c r="Y552" s="33"/>
      <c r="Z552" s="31"/>
      <c r="AA552" s="33"/>
      <c r="AB552" s="37" t="str">
        <f aca="false">IF(B552="","",YEAR(B552)*100+MONTH(B552))</f>
        <v/>
      </c>
      <c r="AC552" s="37" t="str">
        <f aca="false">IF(AND(E552&lt;&gt;"",E552=Cruce!$C$5),COUNTIF($E$5:E552,E552),"")</f>
        <v/>
      </c>
      <c r="AD552" s="37" t="str">
        <f aca="false">IF(E552="","",C552&amp;"|"&amp;Y552&amp;"|"&amp;IF(B552="","s/f",TEXT(B552,"yyyymmdd")))</f>
        <v/>
      </c>
      <c r="AE552" s="37" t="n">
        <f aca="false">IF(E552="",0,IF(COUNTIFS($E$5:E552,E552,$AD$5:AD552,AD552)=1,1,0))</f>
        <v>0</v>
      </c>
    </row>
    <row r="553" customFormat="false" ht="15" hidden="false" customHeight="true" outlineLevel="0" collapsed="false">
      <c r="A553" s="31"/>
      <c r="B553" s="30"/>
      <c r="C553" s="31"/>
      <c r="D553" s="31"/>
      <c r="E553" s="32"/>
      <c r="F553" s="32"/>
      <c r="G553" s="33"/>
      <c r="H553" s="31"/>
      <c r="I553" s="24" t="str">
        <f aca="false">IF(B553="","",YEAR(B553))</f>
        <v/>
      </c>
      <c r="J553" s="34" t="str">
        <f aca="false">IF(B553="","",IF(MONTH(B553)=1,"X",""))</f>
        <v/>
      </c>
      <c r="K553" s="34" t="str">
        <f aca="false">IF(B553="","",IF(MONTH(B553)=2,"X",""))</f>
        <v/>
      </c>
      <c r="L553" s="34" t="str">
        <f aca="false">IF(B553="","",IF(MONTH(B553)=3,"X",""))</f>
        <v/>
      </c>
      <c r="M553" s="34" t="str">
        <f aca="false">IF(B553="","",IF(MONTH(B553)=4,"X",""))</f>
        <v/>
      </c>
      <c r="N553" s="34" t="str">
        <f aca="false">IF(B553="","",IF(MONTH(B553)=5,"X",""))</f>
        <v/>
      </c>
      <c r="O553" s="34" t="str">
        <f aca="false">IF(B553="","",IF(MONTH(B553)=6,"X",""))</f>
        <v/>
      </c>
      <c r="P553" s="34" t="str">
        <f aca="false">IF(B553="","",IF(MONTH(B553)=7,"X",""))</f>
        <v/>
      </c>
      <c r="Q553" s="34" t="str">
        <f aca="false">IF(B553="","",IF(MONTH(B553)=8,"X",""))</f>
        <v/>
      </c>
      <c r="R553" s="34" t="str">
        <f aca="false">IF(B553="","",IF(MONTH(B553)=9,"X",""))</f>
        <v/>
      </c>
      <c r="S553" s="34" t="str">
        <f aca="false">IF(B553="","",IF(MONTH(B553)=10,"X",""))</f>
        <v/>
      </c>
      <c r="T553" s="34" t="str">
        <f aca="false">IF(B553="","",IF(MONTH(B553)=11,"X",""))</f>
        <v/>
      </c>
      <c r="U553" s="34" t="str">
        <f aca="false">IF(B553="","",IF(MONTH(B553)=12,"X",""))</f>
        <v/>
      </c>
      <c r="V553" s="24" t="str">
        <f aca="false">IF(E553="","",COUNTIF($E$5:$E$1000,E553))</f>
        <v/>
      </c>
      <c r="W553" s="35" t="str">
        <f aca="false">IF(E553="","",_xlfn.TEXTJOIN(" + ",TRUE(),IF(COUNTIFS($E$5:$E$1000,E553,$C$5:$C$1000,"Auditoría Interna")&gt;0,"Interna",""),IF(COUNTIFS($E$5:$E$1000,E553,$C$5:$C$1000,"Auditoría Externa")&gt;0,"Externa",""),IF(COUNTIFS($E$5:$E$1000,E553,$C$5:$C$1000,"SSF")&gt;0,"SSF",""),IF(COUNTIFS($E$5:$E$1000,E553,$C$5:$C$1000,"Comité de Supervisión")&gt;0,"Comité Sup.",""),IF(COUNTIFS($E$5:$E$1000,E553,$C$5:$C$1000,"Consejo de Administración")&gt;0,"Consejo",""),IF(COUNTIFS($E$5:$E$1000,E553,$C$5:$C$1000,"Otros")&gt;0,"Otros","")))</f>
        <v/>
      </c>
      <c r="X553" s="24" t="str">
        <f aca="false">IF(E553="","",COUNTIFS($E$5:$E$1000,E553,$AB$5:$AB$1000,AB553,$C$5:$C$1000,"&lt;&gt;"&amp;C553))</f>
        <v/>
      </c>
      <c r="Y553" s="33"/>
      <c r="Z553" s="31"/>
      <c r="AA553" s="33"/>
      <c r="AB553" s="37" t="str">
        <f aca="false">IF(B553="","",YEAR(B553)*100+MONTH(B553))</f>
        <v/>
      </c>
      <c r="AC553" s="37" t="str">
        <f aca="false">IF(AND(E553&lt;&gt;"",E553=Cruce!$C$5),COUNTIF($E$5:E553,E553),"")</f>
        <v/>
      </c>
      <c r="AD553" s="37" t="str">
        <f aca="false">IF(E553="","",C553&amp;"|"&amp;Y553&amp;"|"&amp;IF(B553="","s/f",TEXT(B553,"yyyymmdd")))</f>
        <v/>
      </c>
      <c r="AE553" s="37" t="n">
        <f aca="false">IF(E553="",0,IF(COUNTIFS($E$5:E553,E553,$AD$5:AD553,AD553)=1,1,0))</f>
        <v>0</v>
      </c>
    </row>
    <row r="554" customFormat="false" ht="15" hidden="false" customHeight="true" outlineLevel="0" collapsed="false">
      <c r="A554" s="31"/>
      <c r="B554" s="30"/>
      <c r="C554" s="31"/>
      <c r="D554" s="31"/>
      <c r="E554" s="32"/>
      <c r="F554" s="32"/>
      <c r="G554" s="33"/>
      <c r="H554" s="31"/>
      <c r="I554" s="24" t="str">
        <f aca="false">IF(B554="","",YEAR(B554))</f>
        <v/>
      </c>
      <c r="J554" s="34" t="str">
        <f aca="false">IF(B554="","",IF(MONTH(B554)=1,"X",""))</f>
        <v/>
      </c>
      <c r="K554" s="34" t="str">
        <f aca="false">IF(B554="","",IF(MONTH(B554)=2,"X",""))</f>
        <v/>
      </c>
      <c r="L554" s="34" t="str">
        <f aca="false">IF(B554="","",IF(MONTH(B554)=3,"X",""))</f>
        <v/>
      </c>
      <c r="M554" s="34" t="str">
        <f aca="false">IF(B554="","",IF(MONTH(B554)=4,"X",""))</f>
        <v/>
      </c>
      <c r="N554" s="34" t="str">
        <f aca="false">IF(B554="","",IF(MONTH(B554)=5,"X",""))</f>
        <v/>
      </c>
      <c r="O554" s="34" t="str">
        <f aca="false">IF(B554="","",IF(MONTH(B554)=6,"X",""))</f>
        <v/>
      </c>
      <c r="P554" s="34" t="str">
        <f aca="false">IF(B554="","",IF(MONTH(B554)=7,"X",""))</f>
        <v/>
      </c>
      <c r="Q554" s="34" t="str">
        <f aca="false">IF(B554="","",IF(MONTH(B554)=8,"X",""))</f>
        <v/>
      </c>
      <c r="R554" s="34" t="str">
        <f aca="false">IF(B554="","",IF(MONTH(B554)=9,"X",""))</f>
        <v/>
      </c>
      <c r="S554" s="34" t="str">
        <f aca="false">IF(B554="","",IF(MONTH(B554)=10,"X",""))</f>
        <v/>
      </c>
      <c r="T554" s="34" t="str">
        <f aca="false">IF(B554="","",IF(MONTH(B554)=11,"X",""))</f>
        <v/>
      </c>
      <c r="U554" s="34" t="str">
        <f aca="false">IF(B554="","",IF(MONTH(B554)=12,"X",""))</f>
        <v/>
      </c>
      <c r="V554" s="24" t="str">
        <f aca="false">IF(E554="","",COUNTIF($E$5:$E$1000,E554))</f>
        <v/>
      </c>
      <c r="W554" s="35" t="str">
        <f aca="false">IF(E554="","",_xlfn.TEXTJOIN(" + ",TRUE(),IF(COUNTIFS($E$5:$E$1000,E554,$C$5:$C$1000,"Auditoría Interna")&gt;0,"Interna",""),IF(COUNTIFS($E$5:$E$1000,E554,$C$5:$C$1000,"Auditoría Externa")&gt;0,"Externa",""),IF(COUNTIFS($E$5:$E$1000,E554,$C$5:$C$1000,"SSF")&gt;0,"SSF",""),IF(COUNTIFS($E$5:$E$1000,E554,$C$5:$C$1000,"Comité de Supervisión")&gt;0,"Comité Sup.",""),IF(COUNTIFS($E$5:$E$1000,E554,$C$5:$C$1000,"Consejo de Administración")&gt;0,"Consejo",""),IF(COUNTIFS($E$5:$E$1000,E554,$C$5:$C$1000,"Otros")&gt;0,"Otros","")))</f>
        <v/>
      </c>
      <c r="X554" s="24" t="str">
        <f aca="false">IF(E554="","",COUNTIFS($E$5:$E$1000,E554,$AB$5:$AB$1000,AB554,$C$5:$C$1000,"&lt;&gt;"&amp;C554))</f>
        <v/>
      </c>
      <c r="Y554" s="33"/>
      <c r="Z554" s="31"/>
      <c r="AA554" s="33"/>
      <c r="AB554" s="37" t="str">
        <f aca="false">IF(B554="","",YEAR(B554)*100+MONTH(B554))</f>
        <v/>
      </c>
      <c r="AC554" s="37" t="str">
        <f aca="false">IF(AND(E554&lt;&gt;"",E554=Cruce!$C$5),COUNTIF($E$5:E554,E554),"")</f>
        <v/>
      </c>
      <c r="AD554" s="37" t="str">
        <f aca="false">IF(E554="","",C554&amp;"|"&amp;Y554&amp;"|"&amp;IF(B554="","s/f",TEXT(B554,"yyyymmdd")))</f>
        <v/>
      </c>
      <c r="AE554" s="37" t="n">
        <f aca="false">IF(E554="",0,IF(COUNTIFS($E$5:E554,E554,$AD$5:AD554,AD554)=1,1,0))</f>
        <v>0</v>
      </c>
    </row>
    <row r="555" customFormat="false" ht="15" hidden="false" customHeight="true" outlineLevel="0" collapsed="false">
      <c r="A555" s="31"/>
      <c r="B555" s="30"/>
      <c r="C555" s="31"/>
      <c r="D555" s="31"/>
      <c r="E555" s="32"/>
      <c r="F555" s="32"/>
      <c r="G555" s="33"/>
      <c r="H555" s="31"/>
      <c r="I555" s="24" t="str">
        <f aca="false">IF(B555="","",YEAR(B555))</f>
        <v/>
      </c>
      <c r="J555" s="34" t="str">
        <f aca="false">IF(B555="","",IF(MONTH(B555)=1,"X",""))</f>
        <v/>
      </c>
      <c r="K555" s="34" t="str">
        <f aca="false">IF(B555="","",IF(MONTH(B555)=2,"X",""))</f>
        <v/>
      </c>
      <c r="L555" s="34" t="str">
        <f aca="false">IF(B555="","",IF(MONTH(B555)=3,"X",""))</f>
        <v/>
      </c>
      <c r="M555" s="34" t="str">
        <f aca="false">IF(B555="","",IF(MONTH(B555)=4,"X",""))</f>
        <v/>
      </c>
      <c r="N555" s="34" t="str">
        <f aca="false">IF(B555="","",IF(MONTH(B555)=5,"X",""))</f>
        <v/>
      </c>
      <c r="O555" s="34" t="str">
        <f aca="false">IF(B555="","",IF(MONTH(B555)=6,"X",""))</f>
        <v/>
      </c>
      <c r="P555" s="34" t="str">
        <f aca="false">IF(B555="","",IF(MONTH(B555)=7,"X",""))</f>
        <v/>
      </c>
      <c r="Q555" s="34" t="str">
        <f aca="false">IF(B555="","",IF(MONTH(B555)=8,"X",""))</f>
        <v/>
      </c>
      <c r="R555" s="34" t="str">
        <f aca="false">IF(B555="","",IF(MONTH(B555)=9,"X",""))</f>
        <v/>
      </c>
      <c r="S555" s="34" t="str">
        <f aca="false">IF(B555="","",IF(MONTH(B555)=10,"X",""))</f>
        <v/>
      </c>
      <c r="T555" s="34" t="str">
        <f aca="false">IF(B555="","",IF(MONTH(B555)=11,"X",""))</f>
        <v/>
      </c>
      <c r="U555" s="34" t="str">
        <f aca="false">IF(B555="","",IF(MONTH(B555)=12,"X",""))</f>
        <v/>
      </c>
      <c r="V555" s="24" t="str">
        <f aca="false">IF(E555="","",COUNTIF($E$5:$E$1000,E555))</f>
        <v/>
      </c>
      <c r="W555" s="35" t="str">
        <f aca="false">IF(E555="","",_xlfn.TEXTJOIN(" + ",TRUE(),IF(COUNTIFS($E$5:$E$1000,E555,$C$5:$C$1000,"Auditoría Interna")&gt;0,"Interna",""),IF(COUNTIFS($E$5:$E$1000,E555,$C$5:$C$1000,"Auditoría Externa")&gt;0,"Externa",""),IF(COUNTIFS($E$5:$E$1000,E555,$C$5:$C$1000,"SSF")&gt;0,"SSF",""),IF(COUNTIFS($E$5:$E$1000,E555,$C$5:$C$1000,"Comité de Supervisión")&gt;0,"Comité Sup.",""),IF(COUNTIFS($E$5:$E$1000,E555,$C$5:$C$1000,"Consejo de Administración")&gt;0,"Consejo",""),IF(COUNTIFS($E$5:$E$1000,E555,$C$5:$C$1000,"Otros")&gt;0,"Otros","")))</f>
        <v/>
      </c>
      <c r="X555" s="24" t="str">
        <f aca="false">IF(E555="","",COUNTIFS($E$5:$E$1000,E555,$AB$5:$AB$1000,AB555,$C$5:$C$1000,"&lt;&gt;"&amp;C555))</f>
        <v/>
      </c>
      <c r="Y555" s="33"/>
      <c r="Z555" s="31"/>
      <c r="AA555" s="33"/>
      <c r="AB555" s="37" t="str">
        <f aca="false">IF(B555="","",YEAR(B555)*100+MONTH(B555))</f>
        <v/>
      </c>
      <c r="AC555" s="37" t="str">
        <f aca="false">IF(AND(E555&lt;&gt;"",E555=Cruce!$C$5),COUNTIF($E$5:E555,E555),"")</f>
        <v/>
      </c>
      <c r="AD555" s="37" t="str">
        <f aca="false">IF(E555="","",C555&amp;"|"&amp;Y555&amp;"|"&amp;IF(B555="","s/f",TEXT(B555,"yyyymmdd")))</f>
        <v/>
      </c>
      <c r="AE555" s="37" t="n">
        <f aca="false">IF(E555="",0,IF(COUNTIFS($E$5:E555,E555,$AD$5:AD555,AD555)=1,1,0))</f>
        <v>0</v>
      </c>
    </row>
    <row r="556" customFormat="false" ht="15" hidden="false" customHeight="true" outlineLevel="0" collapsed="false">
      <c r="A556" s="31"/>
      <c r="B556" s="30"/>
      <c r="C556" s="31"/>
      <c r="D556" s="31"/>
      <c r="E556" s="32"/>
      <c r="F556" s="32"/>
      <c r="G556" s="33"/>
      <c r="H556" s="31"/>
      <c r="I556" s="24" t="str">
        <f aca="false">IF(B556="","",YEAR(B556))</f>
        <v/>
      </c>
      <c r="J556" s="34" t="str">
        <f aca="false">IF(B556="","",IF(MONTH(B556)=1,"X",""))</f>
        <v/>
      </c>
      <c r="K556" s="34" t="str">
        <f aca="false">IF(B556="","",IF(MONTH(B556)=2,"X",""))</f>
        <v/>
      </c>
      <c r="L556" s="34" t="str">
        <f aca="false">IF(B556="","",IF(MONTH(B556)=3,"X",""))</f>
        <v/>
      </c>
      <c r="M556" s="34" t="str">
        <f aca="false">IF(B556="","",IF(MONTH(B556)=4,"X",""))</f>
        <v/>
      </c>
      <c r="N556" s="34" t="str">
        <f aca="false">IF(B556="","",IF(MONTH(B556)=5,"X",""))</f>
        <v/>
      </c>
      <c r="O556" s="34" t="str">
        <f aca="false">IF(B556="","",IF(MONTH(B556)=6,"X",""))</f>
        <v/>
      </c>
      <c r="P556" s="34" t="str">
        <f aca="false">IF(B556="","",IF(MONTH(B556)=7,"X",""))</f>
        <v/>
      </c>
      <c r="Q556" s="34" t="str">
        <f aca="false">IF(B556="","",IF(MONTH(B556)=8,"X",""))</f>
        <v/>
      </c>
      <c r="R556" s="34" t="str">
        <f aca="false">IF(B556="","",IF(MONTH(B556)=9,"X",""))</f>
        <v/>
      </c>
      <c r="S556" s="34" t="str">
        <f aca="false">IF(B556="","",IF(MONTH(B556)=10,"X",""))</f>
        <v/>
      </c>
      <c r="T556" s="34" t="str">
        <f aca="false">IF(B556="","",IF(MONTH(B556)=11,"X",""))</f>
        <v/>
      </c>
      <c r="U556" s="34" t="str">
        <f aca="false">IF(B556="","",IF(MONTH(B556)=12,"X",""))</f>
        <v/>
      </c>
      <c r="V556" s="24" t="str">
        <f aca="false">IF(E556="","",COUNTIF($E$5:$E$1000,E556))</f>
        <v/>
      </c>
      <c r="W556" s="35" t="str">
        <f aca="false">IF(E556="","",_xlfn.TEXTJOIN(" + ",TRUE(),IF(COUNTIFS($E$5:$E$1000,E556,$C$5:$C$1000,"Auditoría Interna")&gt;0,"Interna",""),IF(COUNTIFS($E$5:$E$1000,E556,$C$5:$C$1000,"Auditoría Externa")&gt;0,"Externa",""),IF(COUNTIFS($E$5:$E$1000,E556,$C$5:$C$1000,"SSF")&gt;0,"SSF",""),IF(COUNTIFS($E$5:$E$1000,E556,$C$5:$C$1000,"Comité de Supervisión")&gt;0,"Comité Sup.",""),IF(COUNTIFS($E$5:$E$1000,E556,$C$5:$C$1000,"Consejo de Administración")&gt;0,"Consejo",""),IF(COUNTIFS($E$5:$E$1000,E556,$C$5:$C$1000,"Otros")&gt;0,"Otros","")))</f>
        <v/>
      </c>
      <c r="X556" s="24" t="str">
        <f aca="false">IF(E556="","",COUNTIFS($E$5:$E$1000,E556,$AB$5:$AB$1000,AB556,$C$5:$C$1000,"&lt;&gt;"&amp;C556))</f>
        <v/>
      </c>
      <c r="Y556" s="33"/>
      <c r="Z556" s="31"/>
      <c r="AA556" s="33"/>
      <c r="AB556" s="37" t="str">
        <f aca="false">IF(B556="","",YEAR(B556)*100+MONTH(B556))</f>
        <v/>
      </c>
      <c r="AC556" s="37" t="str">
        <f aca="false">IF(AND(E556&lt;&gt;"",E556=Cruce!$C$5),COUNTIF($E$5:E556,E556),"")</f>
        <v/>
      </c>
      <c r="AD556" s="37" t="str">
        <f aca="false">IF(E556="","",C556&amp;"|"&amp;Y556&amp;"|"&amp;IF(B556="","s/f",TEXT(B556,"yyyymmdd")))</f>
        <v/>
      </c>
      <c r="AE556" s="37" t="n">
        <f aca="false">IF(E556="",0,IF(COUNTIFS($E$5:E556,E556,$AD$5:AD556,AD556)=1,1,0))</f>
        <v>0</v>
      </c>
    </row>
    <row r="557" customFormat="false" ht="15" hidden="false" customHeight="true" outlineLevel="0" collapsed="false">
      <c r="A557" s="31"/>
      <c r="B557" s="30"/>
      <c r="C557" s="31"/>
      <c r="D557" s="31"/>
      <c r="E557" s="32"/>
      <c r="F557" s="32"/>
      <c r="G557" s="33"/>
      <c r="H557" s="31"/>
      <c r="I557" s="24" t="str">
        <f aca="false">IF(B557="","",YEAR(B557))</f>
        <v/>
      </c>
      <c r="J557" s="34" t="str">
        <f aca="false">IF(B557="","",IF(MONTH(B557)=1,"X",""))</f>
        <v/>
      </c>
      <c r="K557" s="34" t="str">
        <f aca="false">IF(B557="","",IF(MONTH(B557)=2,"X",""))</f>
        <v/>
      </c>
      <c r="L557" s="34" t="str">
        <f aca="false">IF(B557="","",IF(MONTH(B557)=3,"X",""))</f>
        <v/>
      </c>
      <c r="M557" s="34" t="str">
        <f aca="false">IF(B557="","",IF(MONTH(B557)=4,"X",""))</f>
        <v/>
      </c>
      <c r="N557" s="34" t="str">
        <f aca="false">IF(B557="","",IF(MONTH(B557)=5,"X",""))</f>
        <v/>
      </c>
      <c r="O557" s="34" t="str">
        <f aca="false">IF(B557="","",IF(MONTH(B557)=6,"X",""))</f>
        <v/>
      </c>
      <c r="P557" s="34" t="str">
        <f aca="false">IF(B557="","",IF(MONTH(B557)=7,"X",""))</f>
        <v/>
      </c>
      <c r="Q557" s="34" t="str">
        <f aca="false">IF(B557="","",IF(MONTH(B557)=8,"X",""))</f>
        <v/>
      </c>
      <c r="R557" s="34" t="str">
        <f aca="false">IF(B557="","",IF(MONTH(B557)=9,"X",""))</f>
        <v/>
      </c>
      <c r="S557" s="34" t="str">
        <f aca="false">IF(B557="","",IF(MONTH(B557)=10,"X",""))</f>
        <v/>
      </c>
      <c r="T557" s="34" t="str">
        <f aca="false">IF(B557="","",IF(MONTH(B557)=11,"X",""))</f>
        <v/>
      </c>
      <c r="U557" s="34" t="str">
        <f aca="false">IF(B557="","",IF(MONTH(B557)=12,"X",""))</f>
        <v/>
      </c>
      <c r="V557" s="24" t="str">
        <f aca="false">IF(E557="","",COUNTIF($E$5:$E$1000,E557))</f>
        <v/>
      </c>
      <c r="W557" s="35" t="str">
        <f aca="false">IF(E557="","",_xlfn.TEXTJOIN(" + ",TRUE(),IF(COUNTIFS($E$5:$E$1000,E557,$C$5:$C$1000,"Auditoría Interna")&gt;0,"Interna",""),IF(COUNTIFS($E$5:$E$1000,E557,$C$5:$C$1000,"Auditoría Externa")&gt;0,"Externa",""),IF(COUNTIFS($E$5:$E$1000,E557,$C$5:$C$1000,"SSF")&gt;0,"SSF",""),IF(COUNTIFS($E$5:$E$1000,E557,$C$5:$C$1000,"Comité de Supervisión")&gt;0,"Comité Sup.",""),IF(COUNTIFS($E$5:$E$1000,E557,$C$5:$C$1000,"Consejo de Administración")&gt;0,"Consejo",""),IF(COUNTIFS($E$5:$E$1000,E557,$C$5:$C$1000,"Otros")&gt;0,"Otros","")))</f>
        <v/>
      </c>
      <c r="X557" s="24" t="str">
        <f aca="false">IF(E557="","",COUNTIFS($E$5:$E$1000,E557,$AB$5:$AB$1000,AB557,$C$5:$C$1000,"&lt;&gt;"&amp;C557))</f>
        <v/>
      </c>
      <c r="Y557" s="33"/>
      <c r="Z557" s="31"/>
      <c r="AA557" s="33"/>
      <c r="AB557" s="37" t="str">
        <f aca="false">IF(B557="","",YEAR(B557)*100+MONTH(B557))</f>
        <v/>
      </c>
      <c r="AC557" s="37" t="str">
        <f aca="false">IF(AND(E557&lt;&gt;"",E557=Cruce!$C$5),COUNTIF($E$5:E557,E557),"")</f>
        <v/>
      </c>
      <c r="AD557" s="37" t="str">
        <f aca="false">IF(E557="","",C557&amp;"|"&amp;Y557&amp;"|"&amp;IF(B557="","s/f",TEXT(B557,"yyyymmdd")))</f>
        <v/>
      </c>
      <c r="AE557" s="37" t="n">
        <f aca="false">IF(E557="",0,IF(COUNTIFS($E$5:E557,E557,$AD$5:AD557,AD557)=1,1,0))</f>
        <v>0</v>
      </c>
    </row>
    <row r="558" customFormat="false" ht="15" hidden="false" customHeight="true" outlineLevel="0" collapsed="false">
      <c r="A558" s="31"/>
      <c r="B558" s="30"/>
      <c r="C558" s="31"/>
      <c r="D558" s="31"/>
      <c r="E558" s="32"/>
      <c r="F558" s="32"/>
      <c r="G558" s="33"/>
      <c r="H558" s="31"/>
      <c r="I558" s="24" t="str">
        <f aca="false">IF(B558="","",YEAR(B558))</f>
        <v/>
      </c>
      <c r="J558" s="34" t="str">
        <f aca="false">IF(B558="","",IF(MONTH(B558)=1,"X",""))</f>
        <v/>
      </c>
      <c r="K558" s="34" t="str">
        <f aca="false">IF(B558="","",IF(MONTH(B558)=2,"X",""))</f>
        <v/>
      </c>
      <c r="L558" s="34" t="str">
        <f aca="false">IF(B558="","",IF(MONTH(B558)=3,"X",""))</f>
        <v/>
      </c>
      <c r="M558" s="34" t="str">
        <f aca="false">IF(B558="","",IF(MONTH(B558)=4,"X",""))</f>
        <v/>
      </c>
      <c r="N558" s="34" t="str">
        <f aca="false">IF(B558="","",IF(MONTH(B558)=5,"X",""))</f>
        <v/>
      </c>
      <c r="O558" s="34" t="str">
        <f aca="false">IF(B558="","",IF(MONTH(B558)=6,"X",""))</f>
        <v/>
      </c>
      <c r="P558" s="34" t="str">
        <f aca="false">IF(B558="","",IF(MONTH(B558)=7,"X",""))</f>
        <v/>
      </c>
      <c r="Q558" s="34" t="str">
        <f aca="false">IF(B558="","",IF(MONTH(B558)=8,"X",""))</f>
        <v/>
      </c>
      <c r="R558" s="34" t="str">
        <f aca="false">IF(B558="","",IF(MONTH(B558)=9,"X",""))</f>
        <v/>
      </c>
      <c r="S558" s="34" t="str">
        <f aca="false">IF(B558="","",IF(MONTH(B558)=10,"X",""))</f>
        <v/>
      </c>
      <c r="T558" s="34" t="str">
        <f aca="false">IF(B558="","",IF(MONTH(B558)=11,"X",""))</f>
        <v/>
      </c>
      <c r="U558" s="34" t="str">
        <f aca="false">IF(B558="","",IF(MONTH(B558)=12,"X",""))</f>
        <v/>
      </c>
      <c r="V558" s="24" t="str">
        <f aca="false">IF(E558="","",COUNTIF($E$5:$E$1000,E558))</f>
        <v/>
      </c>
      <c r="W558" s="35" t="str">
        <f aca="false">IF(E558="","",_xlfn.TEXTJOIN(" + ",TRUE(),IF(COUNTIFS($E$5:$E$1000,E558,$C$5:$C$1000,"Auditoría Interna")&gt;0,"Interna",""),IF(COUNTIFS($E$5:$E$1000,E558,$C$5:$C$1000,"Auditoría Externa")&gt;0,"Externa",""),IF(COUNTIFS($E$5:$E$1000,E558,$C$5:$C$1000,"SSF")&gt;0,"SSF",""),IF(COUNTIFS($E$5:$E$1000,E558,$C$5:$C$1000,"Comité de Supervisión")&gt;0,"Comité Sup.",""),IF(COUNTIFS($E$5:$E$1000,E558,$C$5:$C$1000,"Consejo de Administración")&gt;0,"Consejo",""),IF(COUNTIFS($E$5:$E$1000,E558,$C$5:$C$1000,"Otros")&gt;0,"Otros","")))</f>
        <v/>
      </c>
      <c r="X558" s="24" t="str">
        <f aca="false">IF(E558="","",COUNTIFS($E$5:$E$1000,E558,$AB$5:$AB$1000,AB558,$C$5:$C$1000,"&lt;&gt;"&amp;C558))</f>
        <v/>
      </c>
      <c r="Y558" s="33"/>
      <c r="Z558" s="31"/>
      <c r="AA558" s="33"/>
      <c r="AB558" s="37" t="str">
        <f aca="false">IF(B558="","",YEAR(B558)*100+MONTH(B558))</f>
        <v/>
      </c>
      <c r="AC558" s="37" t="str">
        <f aca="false">IF(AND(E558&lt;&gt;"",E558=Cruce!$C$5),COUNTIF($E$5:E558,E558),"")</f>
        <v/>
      </c>
      <c r="AD558" s="37" t="str">
        <f aca="false">IF(E558="","",C558&amp;"|"&amp;Y558&amp;"|"&amp;IF(B558="","s/f",TEXT(B558,"yyyymmdd")))</f>
        <v/>
      </c>
      <c r="AE558" s="37" t="n">
        <f aca="false">IF(E558="",0,IF(COUNTIFS($E$5:E558,E558,$AD$5:AD558,AD558)=1,1,0))</f>
        <v>0</v>
      </c>
    </row>
    <row r="559" customFormat="false" ht="15" hidden="false" customHeight="true" outlineLevel="0" collapsed="false">
      <c r="A559" s="31"/>
      <c r="B559" s="30"/>
      <c r="C559" s="31"/>
      <c r="D559" s="31"/>
      <c r="E559" s="32"/>
      <c r="F559" s="32"/>
      <c r="G559" s="33"/>
      <c r="H559" s="31"/>
      <c r="I559" s="24" t="str">
        <f aca="false">IF(B559="","",YEAR(B559))</f>
        <v/>
      </c>
      <c r="J559" s="34" t="str">
        <f aca="false">IF(B559="","",IF(MONTH(B559)=1,"X",""))</f>
        <v/>
      </c>
      <c r="K559" s="34" t="str">
        <f aca="false">IF(B559="","",IF(MONTH(B559)=2,"X",""))</f>
        <v/>
      </c>
      <c r="L559" s="34" t="str">
        <f aca="false">IF(B559="","",IF(MONTH(B559)=3,"X",""))</f>
        <v/>
      </c>
      <c r="M559" s="34" t="str">
        <f aca="false">IF(B559="","",IF(MONTH(B559)=4,"X",""))</f>
        <v/>
      </c>
      <c r="N559" s="34" t="str">
        <f aca="false">IF(B559="","",IF(MONTH(B559)=5,"X",""))</f>
        <v/>
      </c>
      <c r="O559" s="34" t="str">
        <f aca="false">IF(B559="","",IF(MONTH(B559)=6,"X",""))</f>
        <v/>
      </c>
      <c r="P559" s="34" t="str">
        <f aca="false">IF(B559="","",IF(MONTH(B559)=7,"X",""))</f>
        <v/>
      </c>
      <c r="Q559" s="34" t="str">
        <f aca="false">IF(B559="","",IF(MONTH(B559)=8,"X",""))</f>
        <v/>
      </c>
      <c r="R559" s="34" t="str">
        <f aca="false">IF(B559="","",IF(MONTH(B559)=9,"X",""))</f>
        <v/>
      </c>
      <c r="S559" s="34" t="str">
        <f aca="false">IF(B559="","",IF(MONTH(B559)=10,"X",""))</f>
        <v/>
      </c>
      <c r="T559" s="34" t="str">
        <f aca="false">IF(B559="","",IF(MONTH(B559)=11,"X",""))</f>
        <v/>
      </c>
      <c r="U559" s="34" t="str">
        <f aca="false">IF(B559="","",IF(MONTH(B559)=12,"X",""))</f>
        <v/>
      </c>
      <c r="V559" s="24" t="str">
        <f aca="false">IF(E559="","",COUNTIF($E$5:$E$1000,E559))</f>
        <v/>
      </c>
      <c r="W559" s="35" t="str">
        <f aca="false">IF(E559="","",_xlfn.TEXTJOIN(" + ",TRUE(),IF(COUNTIFS($E$5:$E$1000,E559,$C$5:$C$1000,"Auditoría Interna")&gt;0,"Interna",""),IF(COUNTIFS($E$5:$E$1000,E559,$C$5:$C$1000,"Auditoría Externa")&gt;0,"Externa",""),IF(COUNTIFS($E$5:$E$1000,E559,$C$5:$C$1000,"SSF")&gt;0,"SSF",""),IF(COUNTIFS($E$5:$E$1000,E559,$C$5:$C$1000,"Comité de Supervisión")&gt;0,"Comité Sup.",""),IF(COUNTIFS($E$5:$E$1000,E559,$C$5:$C$1000,"Consejo de Administración")&gt;0,"Consejo",""),IF(COUNTIFS($E$5:$E$1000,E559,$C$5:$C$1000,"Otros")&gt;0,"Otros","")))</f>
        <v/>
      </c>
      <c r="X559" s="24" t="str">
        <f aca="false">IF(E559="","",COUNTIFS($E$5:$E$1000,E559,$AB$5:$AB$1000,AB559,$C$5:$C$1000,"&lt;&gt;"&amp;C559))</f>
        <v/>
      </c>
      <c r="Y559" s="33"/>
      <c r="Z559" s="31"/>
      <c r="AA559" s="33"/>
      <c r="AB559" s="37" t="str">
        <f aca="false">IF(B559="","",YEAR(B559)*100+MONTH(B559))</f>
        <v/>
      </c>
      <c r="AC559" s="37" t="str">
        <f aca="false">IF(AND(E559&lt;&gt;"",E559=Cruce!$C$5),COUNTIF($E$5:E559,E559),"")</f>
        <v/>
      </c>
      <c r="AD559" s="37" t="str">
        <f aca="false">IF(E559="","",C559&amp;"|"&amp;Y559&amp;"|"&amp;IF(B559="","s/f",TEXT(B559,"yyyymmdd")))</f>
        <v/>
      </c>
      <c r="AE559" s="37" t="n">
        <f aca="false">IF(E559="",0,IF(COUNTIFS($E$5:E559,E559,$AD$5:AD559,AD559)=1,1,0))</f>
        <v>0</v>
      </c>
    </row>
    <row r="560" customFormat="false" ht="15" hidden="false" customHeight="true" outlineLevel="0" collapsed="false">
      <c r="A560" s="31"/>
      <c r="B560" s="30"/>
      <c r="C560" s="31"/>
      <c r="D560" s="31"/>
      <c r="E560" s="32"/>
      <c r="F560" s="32"/>
      <c r="G560" s="33"/>
      <c r="H560" s="31"/>
      <c r="I560" s="24" t="str">
        <f aca="false">IF(B560="","",YEAR(B560))</f>
        <v/>
      </c>
      <c r="J560" s="34" t="str">
        <f aca="false">IF(B560="","",IF(MONTH(B560)=1,"X",""))</f>
        <v/>
      </c>
      <c r="K560" s="34" t="str">
        <f aca="false">IF(B560="","",IF(MONTH(B560)=2,"X",""))</f>
        <v/>
      </c>
      <c r="L560" s="34" t="str">
        <f aca="false">IF(B560="","",IF(MONTH(B560)=3,"X",""))</f>
        <v/>
      </c>
      <c r="M560" s="34" t="str">
        <f aca="false">IF(B560="","",IF(MONTH(B560)=4,"X",""))</f>
        <v/>
      </c>
      <c r="N560" s="34" t="str">
        <f aca="false">IF(B560="","",IF(MONTH(B560)=5,"X",""))</f>
        <v/>
      </c>
      <c r="O560" s="34" t="str">
        <f aca="false">IF(B560="","",IF(MONTH(B560)=6,"X",""))</f>
        <v/>
      </c>
      <c r="P560" s="34" t="str">
        <f aca="false">IF(B560="","",IF(MONTH(B560)=7,"X",""))</f>
        <v/>
      </c>
      <c r="Q560" s="34" t="str">
        <f aca="false">IF(B560="","",IF(MONTH(B560)=8,"X",""))</f>
        <v/>
      </c>
      <c r="R560" s="34" t="str">
        <f aca="false">IF(B560="","",IF(MONTH(B560)=9,"X",""))</f>
        <v/>
      </c>
      <c r="S560" s="34" t="str">
        <f aca="false">IF(B560="","",IF(MONTH(B560)=10,"X",""))</f>
        <v/>
      </c>
      <c r="T560" s="34" t="str">
        <f aca="false">IF(B560="","",IF(MONTH(B560)=11,"X",""))</f>
        <v/>
      </c>
      <c r="U560" s="34" t="str">
        <f aca="false">IF(B560="","",IF(MONTH(B560)=12,"X",""))</f>
        <v/>
      </c>
      <c r="V560" s="24" t="str">
        <f aca="false">IF(E560="","",COUNTIF($E$5:$E$1000,E560))</f>
        <v/>
      </c>
      <c r="W560" s="35" t="str">
        <f aca="false">IF(E560="","",_xlfn.TEXTJOIN(" + ",TRUE(),IF(COUNTIFS($E$5:$E$1000,E560,$C$5:$C$1000,"Auditoría Interna")&gt;0,"Interna",""),IF(COUNTIFS($E$5:$E$1000,E560,$C$5:$C$1000,"Auditoría Externa")&gt;0,"Externa",""),IF(COUNTIFS($E$5:$E$1000,E560,$C$5:$C$1000,"SSF")&gt;0,"SSF",""),IF(COUNTIFS($E$5:$E$1000,E560,$C$5:$C$1000,"Comité de Supervisión")&gt;0,"Comité Sup.",""),IF(COUNTIFS($E$5:$E$1000,E560,$C$5:$C$1000,"Consejo de Administración")&gt;0,"Consejo",""),IF(COUNTIFS($E$5:$E$1000,E560,$C$5:$C$1000,"Otros")&gt;0,"Otros","")))</f>
        <v/>
      </c>
      <c r="X560" s="24" t="str">
        <f aca="false">IF(E560="","",COUNTIFS($E$5:$E$1000,E560,$AB$5:$AB$1000,AB560,$C$5:$C$1000,"&lt;&gt;"&amp;C560))</f>
        <v/>
      </c>
      <c r="Y560" s="33"/>
      <c r="Z560" s="31"/>
      <c r="AA560" s="33"/>
      <c r="AB560" s="37" t="str">
        <f aca="false">IF(B560="","",YEAR(B560)*100+MONTH(B560))</f>
        <v/>
      </c>
      <c r="AC560" s="37" t="str">
        <f aca="false">IF(AND(E560&lt;&gt;"",E560=Cruce!$C$5),COUNTIF($E$5:E560,E560),"")</f>
        <v/>
      </c>
      <c r="AD560" s="37" t="str">
        <f aca="false">IF(E560="","",C560&amp;"|"&amp;Y560&amp;"|"&amp;IF(B560="","s/f",TEXT(B560,"yyyymmdd")))</f>
        <v/>
      </c>
      <c r="AE560" s="37" t="n">
        <f aca="false">IF(E560="",0,IF(COUNTIFS($E$5:E560,E560,$AD$5:AD560,AD560)=1,1,0))</f>
        <v>0</v>
      </c>
    </row>
    <row r="561" customFormat="false" ht="15" hidden="false" customHeight="true" outlineLevel="0" collapsed="false">
      <c r="A561" s="31"/>
      <c r="B561" s="30"/>
      <c r="C561" s="31"/>
      <c r="D561" s="31"/>
      <c r="E561" s="32"/>
      <c r="F561" s="32"/>
      <c r="G561" s="33"/>
      <c r="H561" s="31"/>
      <c r="I561" s="24" t="str">
        <f aca="false">IF(B561="","",YEAR(B561))</f>
        <v/>
      </c>
      <c r="J561" s="34" t="str">
        <f aca="false">IF(B561="","",IF(MONTH(B561)=1,"X",""))</f>
        <v/>
      </c>
      <c r="K561" s="34" t="str">
        <f aca="false">IF(B561="","",IF(MONTH(B561)=2,"X",""))</f>
        <v/>
      </c>
      <c r="L561" s="34" t="str">
        <f aca="false">IF(B561="","",IF(MONTH(B561)=3,"X",""))</f>
        <v/>
      </c>
      <c r="M561" s="34" t="str">
        <f aca="false">IF(B561="","",IF(MONTH(B561)=4,"X",""))</f>
        <v/>
      </c>
      <c r="N561" s="34" t="str">
        <f aca="false">IF(B561="","",IF(MONTH(B561)=5,"X",""))</f>
        <v/>
      </c>
      <c r="O561" s="34" t="str">
        <f aca="false">IF(B561="","",IF(MONTH(B561)=6,"X",""))</f>
        <v/>
      </c>
      <c r="P561" s="34" t="str">
        <f aca="false">IF(B561="","",IF(MONTH(B561)=7,"X",""))</f>
        <v/>
      </c>
      <c r="Q561" s="34" t="str">
        <f aca="false">IF(B561="","",IF(MONTH(B561)=8,"X",""))</f>
        <v/>
      </c>
      <c r="R561" s="34" t="str">
        <f aca="false">IF(B561="","",IF(MONTH(B561)=9,"X",""))</f>
        <v/>
      </c>
      <c r="S561" s="34" t="str">
        <f aca="false">IF(B561="","",IF(MONTH(B561)=10,"X",""))</f>
        <v/>
      </c>
      <c r="T561" s="34" t="str">
        <f aca="false">IF(B561="","",IF(MONTH(B561)=11,"X",""))</f>
        <v/>
      </c>
      <c r="U561" s="34" t="str">
        <f aca="false">IF(B561="","",IF(MONTH(B561)=12,"X",""))</f>
        <v/>
      </c>
      <c r="V561" s="24" t="str">
        <f aca="false">IF(E561="","",COUNTIF($E$5:$E$1000,E561))</f>
        <v/>
      </c>
      <c r="W561" s="35" t="str">
        <f aca="false">IF(E561="","",_xlfn.TEXTJOIN(" + ",TRUE(),IF(COUNTIFS($E$5:$E$1000,E561,$C$5:$C$1000,"Auditoría Interna")&gt;0,"Interna",""),IF(COUNTIFS($E$5:$E$1000,E561,$C$5:$C$1000,"Auditoría Externa")&gt;0,"Externa",""),IF(COUNTIFS($E$5:$E$1000,E561,$C$5:$C$1000,"SSF")&gt;0,"SSF",""),IF(COUNTIFS($E$5:$E$1000,E561,$C$5:$C$1000,"Comité de Supervisión")&gt;0,"Comité Sup.",""),IF(COUNTIFS($E$5:$E$1000,E561,$C$5:$C$1000,"Consejo de Administración")&gt;0,"Consejo",""),IF(COUNTIFS($E$5:$E$1000,E561,$C$5:$C$1000,"Otros")&gt;0,"Otros","")))</f>
        <v/>
      </c>
      <c r="X561" s="24" t="str">
        <f aca="false">IF(E561="","",COUNTIFS($E$5:$E$1000,E561,$AB$5:$AB$1000,AB561,$C$5:$C$1000,"&lt;&gt;"&amp;C561))</f>
        <v/>
      </c>
      <c r="Y561" s="33"/>
      <c r="Z561" s="31"/>
      <c r="AA561" s="33"/>
      <c r="AB561" s="37" t="str">
        <f aca="false">IF(B561="","",YEAR(B561)*100+MONTH(B561))</f>
        <v/>
      </c>
      <c r="AC561" s="37" t="str">
        <f aca="false">IF(AND(E561&lt;&gt;"",E561=Cruce!$C$5),COUNTIF($E$5:E561,E561),"")</f>
        <v/>
      </c>
      <c r="AD561" s="37" t="str">
        <f aca="false">IF(E561="","",C561&amp;"|"&amp;Y561&amp;"|"&amp;IF(B561="","s/f",TEXT(B561,"yyyymmdd")))</f>
        <v/>
      </c>
      <c r="AE561" s="37" t="n">
        <f aca="false">IF(E561="",0,IF(COUNTIFS($E$5:E561,E561,$AD$5:AD561,AD561)=1,1,0))</f>
        <v>0</v>
      </c>
    </row>
    <row r="562" customFormat="false" ht="15" hidden="false" customHeight="true" outlineLevel="0" collapsed="false">
      <c r="A562" s="31"/>
      <c r="B562" s="30"/>
      <c r="C562" s="31"/>
      <c r="D562" s="31"/>
      <c r="E562" s="32"/>
      <c r="F562" s="32"/>
      <c r="G562" s="33"/>
      <c r="H562" s="31"/>
      <c r="I562" s="24" t="str">
        <f aca="false">IF(B562="","",YEAR(B562))</f>
        <v/>
      </c>
      <c r="J562" s="34" t="str">
        <f aca="false">IF(B562="","",IF(MONTH(B562)=1,"X",""))</f>
        <v/>
      </c>
      <c r="K562" s="34" t="str">
        <f aca="false">IF(B562="","",IF(MONTH(B562)=2,"X",""))</f>
        <v/>
      </c>
      <c r="L562" s="34" t="str">
        <f aca="false">IF(B562="","",IF(MONTH(B562)=3,"X",""))</f>
        <v/>
      </c>
      <c r="M562" s="34" t="str">
        <f aca="false">IF(B562="","",IF(MONTH(B562)=4,"X",""))</f>
        <v/>
      </c>
      <c r="N562" s="34" t="str">
        <f aca="false">IF(B562="","",IF(MONTH(B562)=5,"X",""))</f>
        <v/>
      </c>
      <c r="O562" s="34" t="str">
        <f aca="false">IF(B562="","",IF(MONTH(B562)=6,"X",""))</f>
        <v/>
      </c>
      <c r="P562" s="34" t="str">
        <f aca="false">IF(B562="","",IF(MONTH(B562)=7,"X",""))</f>
        <v/>
      </c>
      <c r="Q562" s="34" t="str">
        <f aca="false">IF(B562="","",IF(MONTH(B562)=8,"X",""))</f>
        <v/>
      </c>
      <c r="R562" s="34" t="str">
        <f aca="false">IF(B562="","",IF(MONTH(B562)=9,"X",""))</f>
        <v/>
      </c>
      <c r="S562" s="34" t="str">
        <f aca="false">IF(B562="","",IF(MONTH(B562)=10,"X",""))</f>
        <v/>
      </c>
      <c r="T562" s="34" t="str">
        <f aca="false">IF(B562="","",IF(MONTH(B562)=11,"X",""))</f>
        <v/>
      </c>
      <c r="U562" s="34" t="str">
        <f aca="false">IF(B562="","",IF(MONTH(B562)=12,"X",""))</f>
        <v/>
      </c>
      <c r="V562" s="24" t="str">
        <f aca="false">IF(E562="","",COUNTIF($E$5:$E$1000,E562))</f>
        <v/>
      </c>
      <c r="W562" s="35" t="str">
        <f aca="false">IF(E562="","",_xlfn.TEXTJOIN(" + ",TRUE(),IF(COUNTIFS($E$5:$E$1000,E562,$C$5:$C$1000,"Auditoría Interna")&gt;0,"Interna",""),IF(COUNTIFS($E$5:$E$1000,E562,$C$5:$C$1000,"Auditoría Externa")&gt;0,"Externa",""),IF(COUNTIFS($E$5:$E$1000,E562,$C$5:$C$1000,"SSF")&gt;0,"SSF",""),IF(COUNTIFS($E$5:$E$1000,E562,$C$5:$C$1000,"Comité de Supervisión")&gt;0,"Comité Sup.",""),IF(COUNTIFS($E$5:$E$1000,E562,$C$5:$C$1000,"Consejo de Administración")&gt;0,"Consejo",""),IF(COUNTIFS($E$5:$E$1000,E562,$C$5:$C$1000,"Otros")&gt;0,"Otros","")))</f>
        <v/>
      </c>
      <c r="X562" s="24" t="str">
        <f aca="false">IF(E562="","",COUNTIFS($E$5:$E$1000,E562,$AB$5:$AB$1000,AB562,$C$5:$C$1000,"&lt;&gt;"&amp;C562))</f>
        <v/>
      </c>
      <c r="Y562" s="33"/>
      <c r="Z562" s="31"/>
      <c r="AA562" s="33"/>
      <c r="AB562" s="37" t="str">
        <f aca="false">IF(B562="","",YEAR(B562)*100+MONTH(B562))</f>
        <v/>
      </c>
      <c r="AC562" s="37" t="str">
        <f aca="false">IF(AND(E562&lt;&gt;"",E562=Cruce!$C$5),COUNTIF($E$5:E562,E562),"")</f>
        <v/>
      </c>
      <c r="AD562" s="37" t="str">
        <f aca="false">IF(E562="","",C562&amp;"|"&amp;Y562&amp;"|"&amp;IF(B562="","s/f",TEXT(B562,"yyyymmdd")))</f>
        <v/>
      </c>
      <c r="AE562" s="37" t="n">
        <f aca="false">IF(E562="",0,IF(COUNTIFS($E$5:E562,E562,$AD$5:AD562,AD562)=1,1,0))</f>
        <v>0</v>
      </c>
    </row>
    <row r="563" customFormat="false" ht="15" hidden="false" customHeight="true" outlineLevel="0" collapsed="false">
      <c r="A563" s="31"/>
      <c r="B563" s="30"/>
      <c r="C563" s="31"/>
      <c r="D563" s="31"/>
      <c r="E563" s="32"/>
      <c r="F563" s="32"/>
      <c r="G563" s="33"/>
      <c r="H563" s="31"/>
      <c r="I563" s="24" t="str">
        <f aca="false">IF(B563="","",YEAR(B563))</f>
        <v/>
      </c>
      <c r="J563" s="34" t="str">
        <f aca="false">IF(B563="","",IF(MONTH(B563)=1,"X",""))</f>
        <v/>
      </c>
      <c r="K563" s="34" t="str">
        <f aca="false">IF(B563="","",IF(MONTH(B563)=2,"X",""))</f>
        <v/>
      </c>
      <c r="L563" s="34" t="str">
        <f aca="false">IF(B563="","",IF(MONTH(B563)=3,"X",""))</f>
        <v/>
      </c>
      <c r="M563" s="34" t="str">
        <f aca="false">IF(B563="","",IF(MONTH(B563)=4,"X",""))</f>
        <v/>
      </c>
      <c r="N563" s="34" t="str">
        <f aca="false">IF(B563="","",IF(MONTH(B563)=5,"X",""))</f>
        <v/>
      </c>
      <c r="O563" s="34" t="str">
        <f aca="false">IF(B563="","",IF(MONTH(B563)=6,"X",""))</f>
        <v/>
      </c>
      <c r="P563" s="34" t="str">
        <f aca="false">IF(B563="","",IF(MONTH(B563)=7,"X",""))</f>
        <v/>
      </c>
      <c r="Q563" s="34" t="str">
        <f aca="false">IF(B563="","",IF(MONTH(B563)=8,"X",""))</f>
        <v/>
      </c>
      <c r="R563" s="34" t="str">
        <f aca="false">IF(B563="","",IF(MONTH(B563)=9,"X",""))</f>
        <v/>
      </c>
      <c r="S563" s="34" t="str">
        <f aca="false">IF(B563="","",IF(MONTH(B563)=10,"X",""))</f>
        <v/>
      </c>
      <c r="T563" s="34" t="str">
        <f aca="false">IF(B563="","",IF(MONTH(B563)=11,"X",""))</f>
        <v/>
      </c>
      <c r="U563" s="34" t="str">
        <f aca="false">IF(B563="","",IF(MONTH(B563)=12,"X",""))</f>
        <v/>
      </c>
      <c r="V563" s="24" t="str">
        <f aca="false">IF(E563="","",COUNTIF($E$5:$E$1000,E563))</f>
        <v/>
      </c>
      <c r="W563" s="35" t="str">
        <f aca="false">IF(E563="","",_xlfn.TEXTJOIN(" + ",TRUE(),IF(COUNTIFS($E$5:$E$1000,E563,$C$5:$C$1000,"Auditoría Interna")&gt;0,"Interna",""),IF(COUNTIFS($E$5:$E$1000,E563,$C$5:$C$1000,"Auditoría Externa")&gt;0,"Externa",""),IF(COUNTIFS($E$5:$E$1000,E563,$C$5:$C$1000,"SSF")&gt;0,"SSF",""),IF(COUNTIFS($E$5:$E$1000,E563,$C$5:$C$1000,"Comité de Supervisión")&gt;0,"Comité Sup.",""),IF(COUNTIFS($E$5:$E$1000,E563,$C$5:$C$1000,"Consejo de Administración")&gt;0,"Consejo",""),IF(COUNTIFS($E$5:$E$1000,E563,$C$5:$C$1000,"Otros")&gt;0,"Otros","")))</f>
        <v/>
      </c>
      <c r="X563" s="24" t="str">
        <f aca="false">IF(E563="","",COUNTIFS($E$5:$E$1000,E563,$AB$5:$AB$1000,AB563,$C$5:$C$1000,"&lt;&gt;"&amp;C563))</f>
        <v/>
      </c>
      <c r="Y563" s="33"/>
      <c r="Z563" s="31"/>
      <c r="AA563" s="33"/>
      <c r="AB563" s="37" t="str">
        <f aca="false">IF(B563="","",YEAR(B563)*100+MONTH(B563))</f>
        <v/>
      </c>
      <c r="AC563" s="37" t="str">
        <f aca="false">IF(AND(E563&lt;&gt;"",E563=Cruce!$C$5),COUNTIF($E$5:E563,E563),"")</f>
        <v/>
      </c>
      <c r="AD563" s="37" t="str">
        <f aca="false">IF(E563="","",C563&amp;"|"&amp;Y563&amp;"|"&amp;IF(B563="","s/f",TEXT(B563,"yyyymmdd")))</f>
        <v/>
      </c>
      <c r="AE563" s="37" t="n">
        <f aca="false">IF(E563="",0,IF(COUNTIFS($E$5:E563,E563,$AD$5:AD563,AD563)=1,1,0))</f>
        <v>0</v>
      </c>
    </row>
    <row r="564" customFormat="false" ht="15" hidden="false" customHeight="true" outlineLevel="0" collapsed="false">
      <c r="A564" s="31"/>
      <c r="B564" s="30"/>
      <c r="C564" s="31"/>
      <c r="D564" s="31"/>
      <c r="E564" s="32"/>
      <c r="F564" s="32"/>
      <c r="G564" s="33"/>
      <c r="H564" s="31"/>
      <c r="I564" s="24" t="str">
        <f aca="false">IF(B564="","",YEAR(B564))</f>
        <v/>
      </c>
      <c r="J564" s="34" t="str">
        <f aca="false">IF(B564="","",IF(MONTH(B564)=1,"X",""))</f>
        <v/>
      </c>
      <c r="K564" s="34" t="str">
        <f aca="false">IF(B564="","",IF(MONTH(B564)=2,"X",""))</f>
        <v/>
      </c>
      <c r="L564" s="34" t="str">
        <f aca="false">IF(B564="","",IF(MONTH(B564)=3,"X",""))</f>
        <v/>
      </c>
      <c r="M564" s="34" t="str">
        <f aca="false">IF(B564="","",IF(MONTH(B564)=4,"X",""))</f>
        <v/>
      </c>
      <c r="N564" s="34" t="str">
        <f aca="false">IF(B564="","",IF(MONTH(B564)=5,"X",""))</f>
        <v/>
      </c>
      <c r="O564" s="34" t="str">
        <f aca="false">IF(B564="","",IF(MONTH(B564)=6,"X",""))</f>
        <v/>
      </c>
      <c r="P564" s="34" t="str">
        <f aca="false">IF(B564="","",IF(MONTH(B564)=7,"X",""))</f>
        <v/>
      </c>
      <c r="Q564" s="34" t="str">
        <f aca="false">IF(B564="","",IF(MONTH(B564)=8,"X",""))</f>
        <v/>
      </c>
      <c r="R564" s="34" t="str">
        <f aca="false">IF(B564="","",IF(MONTH(B564)=9,"X",""))</f>
        <v/>
      </c>
      <c r="S564" s="34" t="str">
        <f aca="false">IF(B564="","",IF(MONTH(B564)=10,"X",""))</f>
        <v/>
      </c>
      <c r="T564" s="34" t="str">
        <f aca="false">IF(B564="","",IF(MONTH(B564)=11,"X",""))</f>
        <v/>
      </c>
      <c r="U564" s="34" t="str">
        <f aca="false">IF(B564="","",IF(MONTH(B564)=12,"X",""))</f>
        <v/>
      </c>
      <c r="V564" s="24" t="str">
        <f aca="false">IF(E564="","",COUNTIF($E$5:$E$1000,E564))</f>
        <v/>
      </c>
      <c r="W564" s="35" t="str">
        <f aca="false">IF(E564="","",_xlfn.TEXTJOIN(" + ",TRUE(),IF(COUNTIFS($E$5:$E$1000,E564,$C$5:$C$1000,"Auditoría Interna")&gt;0,"Interna",""),IF(COUNTIFS($E$5:$E$1000,E564,$C$5:$C$1000,"Auditoría Externa")&gt;0,"Externa",""),IF(COUNTIFS($E$5:$E$1000,E564,$C$5:$C$1000,"SSF")&gt;0,"SSF",""),IF(COUNTIFS($E$5:$E$1000,E564,$C$5:$C$1000,"Comité de Supervisión")&gt;0,"Comité Sup.",""),IF(COUNTIFS($E$5:$E$1000,E564,$C$5:$C$1000,"Consejo de Administración")&gt;0,"Consejo",""),IF(COUNTIFS($E$5:$E$1000,E564,$C$5:$C$1000,"Otros")&gt;0,"Otros","")))</f>
        <v/>
      </c>
      <c r="X564" s="24" t="str">
        <f aca="false">IF(E564="","",COUNTIFS($E$5:$E$1000,E564,$AB$5:$AB$1000,AB564,$C$5:$C$1000,"&lt;&gt;"&amp;C564))</f>
        <v/>
      </c>
      <c r="Y564" s="33"/>
      <c r="Z564" s="31"/>
      <c r="AA564" s="33"/>
      <c r="AB564" s="37" t="str">
        <f aca="false">IF(B564="","",YEAR(B564)*100+MONTH(B564))</f>
        <v/>
      </c>
      <c r="AC564" s="37" t="str">
        <f aca="false">IF(AND(E564&lt;&gt;"",E564=Cruce!$C$5),COUNTIF($E$5:E564,E564),"")</f>
        <v/>
      </c>
      <c r="AD564" s="37" t="str">
        <f aca="false">IF(E564="","",C564&amp;"|"&amp;Y564&amp;"|"&amp;IF(B564="","s/f",TEXT(B564,"yyyymmdd")))</f>
        <v/>
      </c>
      <c r="AE564" s="37" t="n">
        <f aca="false">IF(E564="",0,IF(COUNTIFS($E$5:E564,E564,$AD$5:AD564,AD564)=1,1,0))</f>
        <v>0</v>
      </c>
    </row>
    <row r="565" customFormat="false" ht="15" hidden="false" customHeight="true" outlineLevel="0" collapsed="false">
      <c r="A565" s="31"/>
      <c r="B565" s="30"/>
      <c r="C565" s="31"/>
      <c r="D565" s="31"/>
      <c r="E565" s="32"/>
      <c r="F565" s="32"/>
      <c r="G565" s="33"/>
      <c r="H565" s="31"/>
      <c r="I565" s="24" t="str">
        <f aca="false">IF(B565="","",YEAR(B565))</f>
        <v/>
      </c>
      <c r="J565" s="34" t="str">
        <f aca="false">IF(B565="","",IF(MONTH(B565)=1,"X",""))</f>
        <v/>
      </c>
      <c r="K565" s="34" t="str">
        <f aca="false">IF(B565="","",IF(MONTH(B565)=2,"X",""))</f>
        <v/>
      </c>
      <c r="L565" s="34" t="str">
        <f aca="false">IF(B565="","",IF(MONTH(B565)=3,"X",""))</f>
        <v/>
      </c>
      <c r="M565" s="34" t="str">
        <f aca="false">IF(B565="","",IF(MONTH(B565)=4,"X",""))</f>
        <v/>
      </c>
      <c r="N565" s="34" t="str">
        <f aca="false">IF(B565="","",IF(MONTH(B565)=5,"X",""))</f>
        <v/>
      </c>
      <c r="O565" s="34" t="str">
        <f aca="false">IF(B565="","",IF(MONTH(B565)=6,"X",""))</f>
        <v/>
      </c>
      <c r="P565" s="34" t="str">
        <f aca="false">IF(B565="","",IF(MONTH(B565)=7,"X",""))</f>
        <v/>
      </c>
      <c r="Q565" s="34" t="str">
        <f aca="false">IF(B565="","",IF(MONTH(B565)=8,"X",""))</f>
        <v/>
      </c>
      <c r="R565" s="34" t="str">
        <f aca="false">IF(B565="","",IF(MONTH(B565)=9,"X",""))</f>
        <v/>
      </c>
      <c r="S565" s="34" t="str">
        <f aca="false">IF(B565="","",IF(MONTH(B565)=10,"X",""))</f>
        <v/>
      </c>
      <c r="T565" s="34" t="str">
        <f aca="false">IF(B565="","",IF(MONTH(B565)=11,"X",""))</f>
        <v/>
      </c>
      <c r="U565" s="34" t="str">
        <f aca="false">IF(B565="","",IF(MONTH(B565)=12,"X",""))</f>
        <v/>
      </c>
      <c r="V565" s="24" t="str">
        <f aca="false">IF(E565="","",COUNTIF($E$5:$E$1000,E565))</f>
        <v/>
      </c>
      <c r="W565" s="35" t="str">
        <f aca="false">IF(E565="","",_xlfn.TEXTJOIN(" + ",TRUE(),IF(COUNTIFS($E$5:$E$1000,E565,$C$5:$C$1000,"Auditoría Interna")&gt;0,"Interna",""),IF(COUNTIFS($E$5:$E$1000,E565,$C$5:$C$1000,"Auditoría Externa")&gt;0,"Externa",""),IF(COUNTIFS($E$5:$E$1000,E565,$C$5:$C$1000,"SSF")&gt;0,"SSF",""),IF(COUNTIFS($E$5:$E$1000,E565,$C$5:$C$1000,"Comité de Supervisión")&gt;0,"Comité Sup.",""),IF(COUNTIFS($E$5:$E$1000,E565,$C$5:$C$1000,"Consejo de Administración")&gt;0,"Consejo",""),IF(COUNTIFS($E$5:$E$1000,E565,$C$5:$C$1000,"Otros")&gt;0,"Otros","")))</f>
        <v/>
      </c>
      <c r="X565" s="24" t="str">
        <f aca="false">IF(E565="","",COUNTIFS($E$5:$E$1000,E565,$AB$5:$AB$1000,AB565,$C$5:$C$1000,"&lt;&gt;"&amp;C565))</f>
        <v/>
      </c>
      <c r="Y565" s="33"/>
      <c r="Z565" s="31"/>
      <c r="AA565" s="33"/>
      <c r="AB565" s="37" t="str">
        <f aca="false">IF(B565="","",YEAR(B565)*100+MONTH(B565))</f>
        <v/>
      </c>
      <c r="AC565" s="37" t="str">
        <f aca="false">IF(AND(E565&lt;&gt;"",E565=Cruce!$C$5),COUNTIF($E$5:E565,E565),"")</f>
        <v/>
      </c>
      <c r="AD565" s="37" t="str">
        <f aca="false">IF(E565="","",C565&amp;"|"&amp;Y565&amp;"|"&amp;IF(B565="","s/f",TEXT(B565,"yyyymmdd")))</f>
        <v/>
      </c>
      <c r="AE565" s="37" t="n">
        <f aca="false">IF(E565="",0,IF(COUNTIFS($E$5:E565,E565,$AD$5:AD565,AD565)=1,1,0))</f>
        <v>0</v>
      </c>
    </row>
    <row r="566" customFormat="false" ht="15" hidden="false" customHeight="true" outlineLevel="0" collapsed="false">
      <c r="A566" s="31"/>
      <c r="B566" s="30"/>
      <c r="C566" s="31"/>
      <c r="D566" s="31"/>
      <c r="E566" s="32"/>
      <c r="F566" s="32"/>
      <c r="G566" s="33"/>
      <c r="H566" s="31"/>
      <c r="I566" s="24" t="str">
        <f aca="false">IF(B566="","",YEAR(B566))</f>
        <v/>
      </c>
      <c r="J566" s="34" t="str">
        <f aca="false">IF(B566="","",IF(MONTH(B566)=1,"X",""))</f>
        <v/>
      </c>
      <c r="K566" s="34" t="str">
        <f aca="false">IF(B566="","",IF(MONTH(B566)=2,"X",""))</f>
        <v/>
      </c>
      <c r="L566" s="34" t="str">
        <f aca="false">IF(B566="","",IF(MONTH(B566)=3,"X",""))</f>
        <v/>
      </c>
      <c r="M566" s="34" t="str">
        <f aca="false">IF(B566="","",IF(MONTH(B566)=4,"X",""))</f>
        <v/>
      </c>
      <c r="N566" s="34" t="str">
        <f aca="false">IF(B566="","",IF(MONTH(B566)=5,"X",""))</f>
        <v/>
      </c>
      <c r="O566" s="34" t="str">
        <f aca="false">IF(B566="","",IF(MONTH(B566)=6,"X",""))</f>
        <v/>
      </c>
      <c r="P566" s="34" t="str">
        <f aca="false">IF(B566="","",IF(MONTH(B566)=7,"X",""))</f>
        <v/>
      </c>
      <c r="Q566" s="34" t="str">
        <f aca="false">IF(B566="","",IF(MONTH(B566)=8,"X",""))</f>
        <v/>
      </c>
      <c r="R566" s="34" t="str">
        <f aca="false">IF(B566="","",IF(MONTH(B566)=9,"X",""))</f>
        <v/>
      </c>
      <c r="S566" s="34" t="str">
        <f aca="false">IF(B566="","",IF(MONTH(B566)=10,"X",""))</f>
        <v/>
      </c>
      <c r="T566" s="34" t="str">
        <f aca="false">IF(B566="","",IF(MONTH(B566)=11,"X",""))</f>
        <v/>
      </c>
      <c r="U566" s="34" t="str">
        <f aca="false">IF(B566="","",IF(MONTH(B566)=12,"X",""))</f>
        <v/>
      </c>
      <c r="V566" s="24" t="str">
        <f aca="false">IF(E566="","",COUNTIF($E$5:$E$1000,E566))</f>
        <v/>
      </c>
      <c r="W566" s="35" t="str">
        <f aca="false">IF(E566="","",_xlfn.TEXTJOIN(" + ",TRUE(),IF(COUNTIFS($E$5:$E$1000,E566,$C$5:$C$1000,"Auditoría Interna")&gt;0,"Interna",""),IF(COUNTIFS($E$5:$E$1000,E566,$C$5:$C$1000,"Auditoría Externa")&gt;0,"Externa",""),IF(COUNTIFS($E$5:$E$1000,E566,$C$5:$C$1000,"SSF")&gt;0,"SSF",""),IF(COUNTIFS($E$5:$E$1000,E566,$C$5:$C$1000,"Comité de Supervisión")&gt;0,"Comité Sup.",""),IF(COUNTIFS($E$5:$E$1000,E566,$C$5:$C$1000,"Consejo de Administración")&gt;0,"Consejo",""),IF(COUNTIFS($E$5:$E$1000,E566,$C$5:$C$1000,"Otros")&gt;0,"Otros","")))</f>
        <v/>
      </c>
      <c r="X566" s="24" t="str">
        <f aca="false">IF(E566="","",COUNTIFS($E$5:$E$1000,E566,$AB$5:$AB$1000,AB566,$C$5:$C$1000,"&lt;&gt;"&amp;C566))</f>
        <v/>
      </c>
      <c r="Y566" s="33"/>
      <c r="Z566" s="31"/>
      <c r="AA566" s="33"/>
      <c r="AB566" s="37" t="str">
        <f aca="false">IF(B566="","",YEAR(B566)*100+MONTH(B566))</f>
        <v/>
      </c>
      <c r="AC566" s="37" t="str">
        <f aca="false">IF(AND(E566&lt;&gt;"",E566=Cruce!$C$5),COUNTIF($E$5:E566,E566),"")</f>
        <v/>
      </c>
      <c r="AD566" s="37" t="str">
        <f aca="false">IF(E566="","",C566&amp;"|"&amp;Y566&amp;"|"&amp;IF(B566="","s/f",TEXT(B566,"yyyymmdd")))</f>
        <v/>
      </c>
      <c r="AE566" s="37" t="n">
        <f aca="false">IF(E566="",0,IF(COUNTIFS($E$5:E566,E566,$AD$5:AD566,AD566)=1,1,0))</f>
        <v>0</v>
      </c>
    </row>
    <row r="567" customFormat="false" ht="15" hidden="false" customHeight="true" outlineLevel="0" collapsed="false">
      <c r="A567" s="31"/>
      <c r="B567" s="30"/>
      <c r="C567" s="31"/>
      <c r="D567" s="31"/>
      <c r="E567" s="32"/>
      <c r="F567" s="32"/>
      <c r="G567" s="33"/>
      <c r="H567" s="31"/>
      <c r="I567" s="24" t="str">
        <f aca="false">IF(B567="","",YEAR(B567))</f>
        <v/>
      </c>
      <c r="J567" s="34" t="str">
        <f aca="false">IF(B567="","",IF(MONTH(B567)=1,"X",""))</f>
        <v/>
      </c>
      <c r="K567" s="34" t="str">
        <f aca="false">IF(B567="","",IF(MONTH(B567)=2,"X",""))</f>
        <v/>
      </c>
      <c r="L567" s="34" t="str">
        <f aca="false">IF(B567="","",IF(MONTH(B567)=3,"X",""))</f>
        <v/>
      </c>
      <c r="M567" s="34" t="str">
        <f aca="false">IF(B567="","",IF(MONTH(B567)=4,"X",""))</f>
        <v/>
      </c>
      <c r="N567" s="34" t="str">
        <f aca="false">IF(B567="","",IF(MONTH(B567)=5,"X",""))</f>
        <v/>
      </c>
      <c r="O567" s="34" t="str">
        <f aca="false">IF(B567="","",IF(MONTH(B567)=6,"X",""))</f>
        <v/>
      </c>
      <c r="P567" s="34" t="str">
        <f aca="false">IF(B567="","",IF(MONTH(B567)=7,"X",""))</f>
        <v/>
      </c>
      <c r="Q567" s="34" t="str">
        <f aca="false">IF(B567="","",IF(MONTH(B567)=8,"X",""))</f>
        <v/>
      </c>
      <c r="R567" s="34" t="str">
        <f aca="false">IF(B567="","",IF(MONTH(B567)=9,"X",""))</f>
        <v/>
      </c>
      <c r="S567" s="34" t="str">
        <f aca="false">IF(B567="","",IF(MONTH(B567)=10,"X",""))</f>
        <v/>
      </c>
      <c r="T567" s="34" t="str">
        <f aca="false">IF(B567="","",IF(MONTH(B567)=11,"X",""))</f>
        <v/>
      </c>
      <c r="U567" s="34" t="str">
        <f aca="false">IF(B567="","",IF(MONTH(B567)=12,"X",""))</f>
        <v/>
      </c>
      <c r="V567" s="24" t="str">
        <f aca="false">IF(E567="","",COUNTIF($E$5:$E$1000,E567))</f>
        <v/>
      </c>
      <c r="W567" s="35" t="str">
        <f aca="false">IF(E567="","",_xlfn.TEXTJOIN(" + ",TRUE(),IF(COUNTIFS($E$5:$E$1000,E567,$C$5:$C$1000,"Auditoría Interna")&gt;0,"Interna",""),IF(COUNTIFS($E$5:$E$1000,E567,$C$5:$C$1000,"Auditoría Externa")&gt;0,"Externa",""),IF(COUNTIFS($E$5:$E$1000,E567,$C$5:$C$1000,"SSF")&gt;0,"SSF",""),IF(COUNTIFS($E$5:$E$1000,E567,$C$5:$C$1000,"Comité de Supervisión")&gt;0,"Comité Sup.",""),IF(COUNTIFS($E$5:$E$1000,E567,$C$5:$C$1000,"Consejo de Administración")&gt;0,"Consejo",""),IF(COUNTIFS($E$5:$E$1000,E567,$C$5:$C$1000,"Otros")&gt;0,"Otros","")))</f>
        <v/>
      </c>
      <c r="X567" s="24" t="str">
        <f aca="false">IF(E567="","",COUNTIFS($E$5:$E$1000,E567,$AB$5:$AB$1000,AB567,$C$5:$C$1000,"&lt;&gt;"&amp;C567))</f>
        <v/>
      </c>
      <c r="Y567" s="33"/>
      <c r="Z567" s="31"/>
      <c r="AA567" s="33"/>
      <c r="AB567" s="37" t="str">
        <f aca="false">IF(B567="","",YEAR(B567)*100+MONTH(B567))</f>
        <v/>
      </c>
      <c r="AC567" s="37" t="str">
        <f aca="false">IF(AND(E567&lt;&gt;"",E567=Cruce!$C$5),COUNTIF($E$5:E567,E567),"")</f>
        <v/>
      </c>
      <c r="AD567" s="37" t="str">
        <f aca="false">IF(E567="","",C567&amp;"|"&amp;Y567&amp;"|"&amp;IF(B567="","s/f",TEXT(B567,"yyyymmdd")))</f>
        <v/>
      </c>
      <c r="AE567" s="37" t="n">
        <f aca="false">IF(E567="",0,IF(COUNTIFS($E$5:E567,E567,$AD$5:AD567,AD567)=1,1,0))</f>
        <v>0</v>
      </c>
    </row>
    <row r="568" customFormat="false" ht="15" hidden="false" customHeight="true" outlineLevel="0" collapsed="false">
      <c r="A568" s="31"/>
      <c r="B568" s="30"/>
      <c r="C568" s="31"/>
      <c r="D568" s="31"/>
      <c r="E568" s="32"/>
      <c r="F568" s="32"/>
      <c r="G568" s="33"/>
      <c r="H568" s="31"/>
      <c r="I568" s="24" t="str">
        <f aca="false">IF(B568="","",YEAR(B568))</f>
        <v/>
      </c>
      <c r="J568" s="34" t="str">
        <f aca="false">IF(B568="","",IF(MONTH(B568)=1,"X",""))</f>
        <v/>
      </c>
      <c r="K568" s="34" t="str">
        <f aca="false">IF(B568="","",IF(MONTH(B568)=2,"X",""))</f>
        <v/>
      </c>
      <c r="L568" s="34" t="str">
        <f aca="false">IF(B568="","",IF(MONTH(B568)=3,"X",""))</f>
        <v/>
      </c>
      <c r="M568" s="34" t="str">
        <f aca="false">IF(B568="","",IF(MONTH(B568)=4,"X",""))</f>
        <v/>
      </c>
      <c r="N568" s="34" t="str">
        <f aca="false">IF(B568="","",IF(MONTH(B568)=5,"X",""))</f>
        <v/>
      </c>
      <c r="O568" s="34" t="str">
        <f aca="false">IF(B568="","",IF(MONTH(B568)=6,"X",""))</f>
        <v/>
      </c>
      <c r="P568" s="34" t="str">
        <f aca="false">IF(B568="","",IF(MONTH(B568)=7,"X",""))</f>
        <v/>
      </c>
      <c r="Q568" s="34" t="str">
        <f aca="false">IF(B568="","",IF(MONTH(B568)=8,"X",""))</f>
        <v/>
      </c>
      <c r="R568" s="34" t="str">
        <f aca="false">IF(B568="","",IF(MONTH(B568)=9,"X",""))</f>
        <v/>
      </c>
      <c r="S568" s="34" t="str">
        <f aca="false">IF(B568="","",IF(MONTH(B568)=10,"X",""))</f>
        <v/>
      </c>
      <c r="T568" s="34" t="str">
        <f aca="false">IF(B568="","",IF(MONTH(B568)=11,"X",""))</f>
        <v/>
      </c>
      <c r="U568" s="34" t="str">
        <f aca="false">IF(B568="","",IF(MONTH(B568)=12,"X",""))</f>
        <v/>
      </c>
      <c r="V568" s="24" t="str">
        <f aca="false">IF(E568="","",COUNTIF($E$5:$E$1000,E568))</f>
        <v/>
      </c>
      <c r="W568" s="35" t="str">
        <f aca="false">IF(E568="","",_xlfn.TEXTJOIN(" + ",TRUE(),IF(COUNTIFS($E$5:$E$1000,E568,$C$5:$C$1000,"Auditoría Interna")&gt;0,"Interna",""),IF(COUNTIFS($E$5:$E$1000,E568,$C$5:$C$1000,"Auditoría Externa")&gt;0,"Externa",""),IF(COUNTIFS($E$5:$E$1000,E568,$C$5:$C$1000,"SSF")&gt;0,"SSF",""),IF(COUNTIFS($E$5:$E$1000,E568,$C$5:$C$1000,"Comité de Supervisión")&gt;0,"Comité Sup.",""),IF(COUNTIFS($E$5:$E$1000,E568,$C$5:$C$1000,"Consejo de Administración")&gt;0,"Consejo",""),IF(COUNTIFS($E$5:$E$1000,E568,$C$5:$C$1000,"Otros")&gt;0,"Otros","")))</f>
        <v/>
      </c>
      <c r="X568" s="24" t="str">
        <f aca="false">IF(E568="","",COUNTIFS($E$5:$E$1000,E568,$AB$5:$AB$1000,AB568,$C$5:$C$1000,"&lt;&gt;"&amp;C568))</f>
        <v/>
      </c>
      <c r="Y568" s="33"/>
      <c r="Z568" s="31"/>
      <c r="AA568" s="33"/>
      <c r="AB568" s="37" t="str">
        <f aca="false">IF(B568="","",YEAR(B568)*100+MONTH(B568))</f>
        <v/>
      </c>
      <c r="AC568" s="37" t="str">
        <f aca="false">IF(AND(E568&lt;&gt;"",E568=Cruce!$C$5),COUNTIF($E$5:E568,E568),"")</f>
        <v/>
      </c>
      <c r="AD568" s="37" t="str">
        <f aca="false">IF(E568="","",C568&amp;"|"&amp;Y568&amp;"|"&amp;IF(B568="","s/f",TEXT(B568,"yyyymmdd")))</f>
        <v/>
      </c>
      <c r="AE568" s="37" t="n">
        <f aca="false">IF(E568="",0,IF(COUNTIFS($E$5:E568,E568,$AD$5:AD568,AD568)=1,1,0))</f>
        <v>0</v>
      </c>
    </row>
    <row r="569" customFormat="false" ht="15" hidden="false" customHeight="true" outlineLevel="0" collapsed="false">
      <c r="A569" s="31"/>
      <c r="B569" s="30"/>
      <c r="C569" s="31"/>
      <c r="D569" s="31"/>
      <c r="E569" s="32"/>
      <c r="F569" s="32"/>
      <c r="G569" s="33"/>
      <c r="H569" s="31"/>
      <c r="I569" s="24" t="str">
        <f aca="false">IF(B569="","",YEAR(B569))</f>
        <v/>
      </c>
      <c r="J569" s="34" t="str">
        <f aca="false">IF(B569="","",IF(MONTH(B569)=1,"X",""))</f>
        <v/>
      </c>
      <c r="K569" s="34" t="str">
        <f aca="false">IF(B569="","",IF(MONTH(B569)=2,"X",""))</f>
        <v/>
      </c>
      <c r="L569" s="34" t="str">
        <f aca="false">IF(B569="","",IF(MONTH(B569)=3,"X",""))</f>
        <v/>
      </c>
      <c r="M569" s="34" t="str">
        <f aca="false">IF(B569="","",IF(MONTH(B569)=4,"X",""))</f>
        <v/>
      </c>
      <c r="N569" s="34" t="str">
        <f aca="false">IF(B569="","",IF(MONTH(B569)=5,"X",""))</f>
        <v/>
      </c>
      <c r="O569" s="34" t="str">
        <f aca="false">IF(B569="","",IF(MONTH(B569)=6,"X",""))</f>
        <v/>
      </c>
      <c r="P569" s="34" t="str">
        <f aca="false">IF(B569="","",IF(MONTH(B569)=7,"X",""))</f>
        <v/>
      </c>
      <c r="Q569" s="34" t="str">
        <f aca="false">IF(B569="","",IF(MONTH(B569)=8,"X",""))</f>
        <v/>
      </c>
      <c r="R569" s="34" t="str">
        <f aca="false">IF(B569="","",IF(MONTH(B569)=9,"X",""))</f>
        <v/>
      </c>
      <c r="S569" s="34" t="str">
        <f aca="false">IF(B569="","",IF(MONTH(B569)=10,"X",""))</f>
        <v/>
      </c>
      <c r="T569" s="34" t="str">
        <f aca="false">IF(B569="","",IF(MONTH(B569)=11,"X",""))</f>
        <v/>
      </c>
      <c r="U569" s="34" t="str">
        <f aca="false">IF(B569="","",IF(MONTH(B569)=12,"X",""))</f>
        <v/>
      </c>
      <c r="V569" s="24" t="str">
        <f aca="false">IF(E569="","",COUNTIF($E$5:$E$1000,E569))</f>
        <v/>
      </c>
      <c r="W569" s="35" t="str">
        <f aca="false">IF(E569="","",_xlfn.TEXTJOIN(" + ",TRUE(),IF(COUNTIFS($E$5:$E$1000,E569,$C$5:$C$1000,"Auditoría Interna")&gt;0,"Interna",""),IF(COUNTIFS($E$5:$E$1000,E569,$C$5:$C$1000,"Auditoría Externa")&gt;0,"Externa",""),IF(COUNTIFS($E$5:$E$1000,E569,$C$5:$C$1000,"SSF")&gt;0,"SSF",""),IF(COUNTIFS($E$5:$E$1000,E569,$C$5:$C$1000,"Comité de Supervisión")&gt;0,"Comité Sup.",""),IF(COUNTIFS($E$5:$E$1000,E569,$C$5:$C$1000,"Consejo de Administración")&gt;0,"Consejo",""),IF(COUNTIFS($E$5:$E$1000,E569,$C$5:$C$1000,"Otros")&gt;0,"Otros","")))</f>
        <v/>
      </c>
      <c r="X569" s="24" t="str">
        <f aca="false">IF(E569="","",COUNTIFS($E$5:$E$1000,E569,$AB$5:$AB$1000,AB569,$C$5:$C$1000,"&lt;&gt;"&amp;C569))</f>
        <v/>
      </c>
      <c r="Y569" s="33"/>
      <c r="Z569" s="31"/>
      <c r="AA569" s="33"/>
      <c r="AB569" s="37" t="str">
        <f aca="false">IF(B569="","",YEAR(B569)*100+MONTH(B569))</f>
        <v/>
      </c>
      <c r="AC569" s="37" t="str">
        <f aca="false">IF(AND(E569&lt;&gt;"",E569=Cruce!$C$5),COUNTIF($E$5:E569,E569),"")</f>
        <v/>
      </c>
      <c r="AD569" s="37" t="str">
        <f aca="false">IF(E569="","",C569&amp;"|"&amp;Y569&amp;"|"&amp;IF(B569="","s/f",TEXT(B569,"yyyymmdd")))</f>
        <v/>
      </c>
      <c r="AE569" s="37" t="n">
        <f aca="false">IF(E569="",0,IF(COUNTIFS($E$5:E569,E569,$AD$5:AD569,AD569)=1,1,0))</f>
        <v>0</v>
      </c>
    </row>
    <row r="570" customFormat="false" ht="15" hidden="false" customHeight="true" outlineLevel="0" collapsed="false">
      <c r="A570" s="31"/>
      <c r="B570" s="30"/>
      <c r="C570" s="31"/>
      <c r="D570" s="31"/>
      <c r="E570" s="32"/>
      <c r="F570" s="32"/>
      <c r="G570" s="33"/>
      <c r="H570" s="31"/>
      <c r="I570" s="24" t="str">
        <f aca="false">IF(B570="","",YEAR(B570))</f>
        <v/>
      </c>
      <c r="J570" s="34" t="str">
        <f aca="false">IF(B570="","",IF(MONTH(B570)=1,"X",""))</f>
        <v/>
      </c>
      <c r="K570" s="34" t="str">
        <f aca="false">IF(B570="","",IF(MONTH(B570)=2,"X",""))</f>
        <v/>
      </c>
      <c r="L570" s="34" t="str">
        <f aca="false">IF(B570="","",IF(MONTH(B570)=3,"X",""))</f>
        <v/>
      </c>
      <c r="M570" s="34" t="str">
        <f aca="false">IF(B570="","",IF(MONTH(B570)=4,"X",""))</f>
        <v/>
      </c>
      <c r="N570" s="34" t="str">
        <f aca="false">IF(B570="","",IF(MONTH(B570)=5,"X",""))</f>
        <v/>
      </c>
      <c r="O570" s="34" t="str">
        <f aca="false">IF(B570="","",IF(MONTH(B570)=6,"X",""))</f>
        <v/>
      </c>
      <c r="P570" s="34" t="str">
        <f aca="false">IF(B570="","",IF(MONTH(B570)=7,"X",""))</f>
        <v/>
      </c>
      <c r="Q570" s="34" t="str">
        <f aca="false">IF(B570="","",IF(MONTH(B570)=8,"X",""))</f>
        <v/>
      </c>
      <c r="R570" s="34" t="str">
        <f aca="false">IF(B570="","",IF(MONTH(B570)=9,"X",""))</f>
        <v/>
      </c>
      <c r="S570" s="34" t="str">
        <f aca="false">IF(B570="","",IF(MONTH(B570)=10,"X",""))</f>
        <v/>
      </c>
      <c r="T570" s="34" t="str">
        <f aca="false">IF(B570="","",IF(MONTH(B570)=11,"X",""))</f>
        <v/>
      </c>
      <c r="U570" s="34" t="str">
        <f aca="false">IF(B570="","",IF(MONTH(B570)=12,"X",""))</f>
        <v/>
      </c>
      <c r="V570" s="24" t="str">
        <f aca="false">IF(E570="","",COUNTIF($E$5:$E$1000,E570))</f>
        <v/>
      </c>
      <c r="W570" s="35" t="str">
        <f aca="false">IF(E570="","",_xlfn.TEXTJOIN(" + ",TRUE(),IF(COUNTIFS($E$5:$E$1000,E570,$C$5:$C$1000,"Auditoría Interna")&gt;0,"Interna",""),IF(COUNTIFS($E$5:$E$1000,E570,$C$5:$C$1000,"Auditoría Externa")&gt;0,"Externa",""),IF(COUNTIFS($E$5:$E$1000,E570,$C$5:$C$1000,"SSF")&gt;0,"SSF",""),IF(COUNTIFS($E$5:$E$1000,E570,$C$5:$C$1000,"Comité de Supervisión")&gt;0,"Comité Sup.",""),IF(COUNTIFS($E$5:$E$1000,E570,$C$5:$C$1000,"Consejo de Administración")&gt;0,"Consejo",""),IF(COUNTIFS($E$5:$E$1000,E570,$C$5:$C$1000,"Otros")&gt;0,"Otros","")))</f>
        <v/>
      </c>
      <c r="X570" s="24" t="str">
        <f aca="false">IF(E570="","",COUNTIFS($E$5:$E$1000,E570,$AB$5:$AB$1000,AB570,$C$5:$C$1000,"&lt;&gt;"&amp;C570))</f>
        <v/>
      </c>
      <c r="Y570" s="33"/>
      <c r="Z570" s="31"/>
      <c r="AA570" s="33"/>
      <c r="AB570" s="37" t="str">
        <f aca="false">IF(B570="","",YEAR(B570)*100+MONTH(B570))</f>
        <v/>
      </c>
      <c r="AC570" s="37" t="str">
        <f aca="false">IF(AND(E570&lt;&gt;"",E570=Cruce!$C$5),COUNTIF($E$5:E570,E570),"")</f>
        <v/>
      </c>
      <c r="AD570" s="37" t="str">
        <f aca="false">IF(E570="","",C570&amp;"|"&amp;Y570&amp;"|"&amp;IF(B570="","s/f",TEXT(B570,"yyyymmdd")))</f>
        <v/>
      </c>
      <c r="AE570" s="37" t="n">
        <f aca="false">IF(E570="",0,IF(COUNTIFS($E$5:E570,E570,$AD$5:AD570,AD570)=1,1,0))</f>
        <v>0</v>
      </c>
    </row>
    <row r="571" customFormat="false" ht="15" hidden="false" customHeight="true" outlineLevel="0" collapsed="false">
      <c r="A571" s="31"/>
      <c r="B571" s="30"/>
      <c r="C571" s="31"/>
      <c r="D571" s="31"/>
      <c r="E571" s="32"/>
      <c r="F571" s="32"/>
      <c r="G571" s="33"/>
      <c r="H571" s="31"/>
      <c r="I571" s="24" t="str">
        <f aca="false">IF(B571="","",YEAR(B571))</f>
        <v/>
      </c>
      <c r="J571" s="34" t="str">
        <f aca="false">IF(B571="","",IF(MONTH(B571)=1,"X",""))</f>
        <v/>
      </c>
      <c r="K571" s="34" t="str">
        <f aca="false">IF(B571="","",IF(MONTH(B571)=2,"X",""))</f>
        <v/>
      </c>
      <c r="L571" s="34" t="str">
        <f aca="false">IF(B571="","",IF(MONTH(B571)=3,"X",""))</f>
        <v/>
      </c>
      <c r="M571" s="34" t="str">
        <f aca="false">IF(B571="","",IF(MONTH(B571)=4,"X",""))</f>
        <v/>
      </c>
      <c r="N571" s="34" t="str">
        <f aca="false">IF(B571="","",IF(MONTH(B571)=5,"X",""))</f>
        <v/>
      </c>
      <c r="O571" s="34" t="str">
        <f aca="false">IF(B571="","",IF(MONTH(B571)=6,"X",""))</f>
        <v/>
      </c>
      <c r="P571" s="34" t="str">
        <f aca="false">IF(B571="","",IF(MONTH(B571)=7,"X",""))</f>
        <v/>
      </c>
      <c r="Q571" s="34" t="str">
        <f aca="false">IF(B571="","",IF(MONTH(B571)=8,"X",""))</f>
        <v/>
      </c>
      <c r="R571" s="34" t="str">
        <f aca="false">IF(B571="","",IF(MONTH(B571)=9,"X",""))</f>
        <v/>
      </c>
      <c r="S571" s="34" t="str">
        <f aca="false">IF(B571="","",IF(MONTH(B571)=10,"X",""))</f>
        <v/>
      </c>
      <c r="T571" s="34" t="str">
        <f aca="false">IF(B571="","",IF(MONTH(B571)=11,"X",""))</f>
        <v/>
      </c>
      <c r="U571" s="34" t="str">
        <f aca="false">IF(B571="","",IF(MONTH(B571)=12,"X",""))</f>
        <v/>
      </c>
      <c r="V571" s="24" t="str">
        <f aca="false">IF(E571="","",COUNTIF($E$5:$E$1000,E571))</f>
        <v/>
      </c>
      <c r="W571" s="35" t="str">
        <f aca="false">IF(E571="","",_xlfn.TEXTJOIN(" + ",TRUE(),IF(COUNTIFS($E$5:$E$1000,E571,$C$5:$C$1000,"Auditoría Interna")&gt;0,"Interna",""),IF(COUNTIFS($E$5:$E$1000,E571,$C$5:$C$1000,"Auditoría Externa")&gt;0,"Externa",""),IF(COUNTIFS($E$5:$E$1000,E571,$C$5:$C$1000,"SSF")&gt;0,"SSF",""),IF(COUNTIFS($E$5:$E$1000,E571,$C$5:$C$1000,"Comité de Supervisión")&gt;0,"Comité Sup.",""),IF(COUNTIFS($E$5:$E$1000,E571,$C$5:$C$1000,"Consejo de Administración")&gt;0,"Consejo",""),IF(COUNTIFS($E$5:$E$1000,E571,$C$5:$C$1000,"Otros")&gt;0,"Otros","")))</f>
        <v/>
      </c>
      <c r="X571" s="24" t="str">
        <f aca="false">IF(E571="","",COUNTIFS($E$5:$E$1000,E571,$AB$5:$AB$1000,AB571,$C$5:$C$1000,"&lt;&gt;"&amp;C571))</f>
        <v/>
      </c>
      <c r="Y571" s="33"/>
      <c r="Z571" s="31"/>
      <c r="AA571" s="33"/>
      <c r="AB571" s="37" t="str">
        <f aca="false">IF(B571="","",YEAR(B571)*100+MONTH(B571))</f>
        <v/>
      </c>
      <c r="AC571" s="37" t="str">
        <f aca="false">IF(AND(E571&lt;&gt;"",E571=Cruce!$C$5),COUNTIF($E$5:E571,E571),"")</f>
        <v/>
      </c>
      <c r="AD571" s="37" t="str">
        <f aca="false">IF(E571="","",C571&amp;"|"&amp;Y571&amp;"|"&amp;IF(B571="","s/f",TEXT(B571,"yyyymmdd")))</f>
        <v/>
      </c>
      <c r="AE571" s="37" t="n">
        <f aca="false">IF(E571="",0,IF(COUNTIFS($E$5:E571,E571,$AD$5:AD571,AD571)=1,1,0))</f>
        <v>0</v>
      </c>
    </row>
    <row r="572" customFormat="false" ht="15" hidden="false" customHeight="true" outlineLevel="0" collapsed="false">
      <c r="A572" s="31"/>
      <c r="B572" s="30"/>
      <c r="C572" s="31"/>
      <c r="D572" s="31"/>
      <c r="E572" s="32"/>
      <c r="F572" s="32"/>
      <c r="G572" s="33"/>
      <c r="H572" s="31"/>
      <c r="I572" s="24" t="str">
        <f aca="false">IF(B572="","",YEAR(B572))</f>
        <v/>
      </c>
      <c r="J572" s="34" t="str">
        <f aca="false">IF(B572="","",IF(MONTH(B572)=1,"X",""))</f>
        <v/>
      </c>
      <c r="K572" s="34" t="str">
        <f aca="false">IF(B572="","",IF(MONTH(B572)=2,"X",""))</f>
        <v/>
      </c>
      <c r="L572" s="34" t="str">
        <f aca="false">IF(B572="","",IF(MONTH(B572)=3,"X",""))</f>
        <v/>
      </c>
      <c r="M572" s="34" t="str">
        <f aca="false">IF(B572="","",IF(MONTH(B572)=4,"X",""))</f>
        <v/>
      </c>
      <c r="N572" s="34" t="str">
        <f aca="false">IF(B572="","",IF(MONTH(B572)=5,"X",""))</f>
        <v/>
      </c>
      <c r="O572" s="34" t="str">
        <f aca="false">IF(B572="","",IF(MONTH(B572)=6,"X",""))</f>
        <v/>
      </c>
      <c r="P572" s="34" t="str">
        <f aca="false">IF(B572="","",IF(MONTH(B572)=7,"X",""))</f>
        <v/>
      </c>
      <c r="Q572" s="34" t="str">
        <f aca="false">IF(B572="","",IF(MONTH(B572)=8,"X",""))</f>
        <v/>
      </c>
      <c r="R572" s="34" t="str">
        <f aca="false">IF(B572="","",IF(MONTH(B572)=9,"X",""))</f>
        <v/>
      </c>
      <c r="S572" s="34" t="str">
        <f aca="false">IF(B572="","",IF(MONTH(B572)=10,"X",""))</f>
        <v/>
      </c>
      <c r="T572" s="34" t="str">
        <f aca="false">IF(B572="","",IF(MONTH(B572)=11,"X",""))</f>
        <v/>
      </c>
      <c r="U572" s="34" t="str">
        <f aca="false">IF(B572="","",IF(MONTH(B572)=12,"X",""))</f>
        <v/>
      </c>
      <c r="V572" s="24" t="str">
        <f aca="false">IF(E572="","",COUNTIF($E$5:$E$1000,E572))</f>
        <v/>
      </c>
      <c r="W572" s="35" t="str">
        <f aca="false">IF(E572="","",_xlfn.TEXTJOIN(" + ",TRUE(),IF(COUNTIFS($E$5:$E$1000,E572,$C$5:$C$1000,"Auditoría Interna")&gt;0,"Interna",""),IF(COUNTIFS($E$5:$E$1000,E572,$C$5:$C$1000,"Auditoría Externa")&gt;0,"Externa",""),IF(COUNTIFS($E$5:$E$1000,E572,$C$5:$C$1000,"SSF")&gt;0,"SSF",""),IF(COUNTIFS($E$5:$E$1000,E572,$C$5:$C$1000,"Comité de Supervisión")&gt;0,"Comité Sup.",""),IF(COUNTIFS($E$5:$E$1000,E572,$C$5:$C$1000,"Consejo de Administración")&gt;0,"Consejo",""),IF(COUNTIFS($E$5:$E$1000,E572,$C$5:$C$1000,"Otros")&gt;0,"Otros","")))</f>
        <v/>
      </c>
      <c r="X572" s="24" t="str">
        <f aca="false">IF(E572="","",COUNTIFS($E$5:$E$1000,E572,$AB$5:$AB$1000,AB572,$C$5:$C$1000,"&lt;&gt;"&amp;C572))</f>
        <v/>
      </c>
      <c r="Y572" s="33"/>
      <c r="Z572" s="31"/>
      <c r="AA572" s="33"/>
      <c r="AB572" s="37" t="str">
        <f aca="false">IF(B572="","",YEAR(B572)*100+MONTH(B572))</f>
        <v/>
      </c>
      <c r="AC572" s="37" t="str">
        <f aca="false">IF(AND(E572&lt;&gt;"",E572=Cruce!$C$5),COUNTIF($E$5:E572,E572),"")</f>
        <v/>
      </c>
      <c r="AD572" s="37" t="str">
        <f aca="false">IF(E572="","",C572&amp;"|"&amp;Y572&amp;"|"&amp;IF(B572="","s/f",TEXT(B572,"yyyymmdd")))</f>
        <v/>
      </c>
      <c r="AE572" s="37" t="n">
        <f aca="false">IF(E572="",0,IF(COUNTIFS($E$5:E572,E572,$AD$5:AD572,AD572)=1,1,0))</f>
        <v>0</v>
      </c>
    </row>
    <row r="573" customFormat="false" ht="15" hidden="false" customHeight="true" outlineLevel="0" collapsed="false">
      <c r="A573" s="31"/>
      <c r="B573" s="30"/>
      <c r="C573" s="31"/>
      <c r="D573" s="31"/>
      <c r="E573" s="32"/>
      <c r="F573" s="32"/>
      <c r="G573" s="33"/>
      <c r="H573" s="31"/>
      <c r="I573" s="24" t="str">
        <f aca="false">IF(B573="","",YEAR(B573))</f>
        <v/>
      </c>
      <c r="J573" s="34" t="str">
        <f aca="false">IF(B573="","",IF(MONTH(B573)=1,"X",""))</f>
        <v/>
      </c>
      <c r="K573" s="34" t="str">
        <f aca="false">IF(B573="","",IF(MONTH(B573)=2,"X",""))</f>
        <v/>
      </c>
      <c r="L573" s="34" t="str">
        <f aca="false">IF(B573="","",IF(MONTH(B573)=3,"X",""))</f>
        <v/>
      </c>
      <c r="M573" s="34" t="str">
        <f aca="false">IF(B573="","",IF(MONTH(B573)=4,"X",""))</f>
        <v/>
      </c>
      <c r="N573" s="34" t="str">
        <f aca="false">IF(B573="","",IF(MONTH(B573)=5,"X",""))</f>
        <v/>
      </c>
      <c r="O573" s="34" t="str">
        <f aca="false">IF(B573="","",IF(MONTH(B573)=6,"X",""))</f>
        <v/>
      </c>
      <c r="P573" s="34" t="str">
        <f aca="false">IF(B573="","",IF(MONTH(B573)=7,"X",""))</f>
        <v/>
      </c>
      <c r="Q573" s="34" t="str">
        <f aca="false">IF(B573="","",IF(MONTH(B573)=8,"X",""))</f>
        <v/>
      </c>
      <c r="R573" s="34" t="str">
        <f aca="false">IF(B573="","",IF(MONTH(B573)=9,"X",""))</f>
        <v/>
      </c>
      <c r="S573" s="34" t="str">
        <f aca="false">IF(B573="","",IF(MONTH(B573)=10,"X",""))</f>
        <v/>
      </c>
      <c r="T573" s="34" t="str">
        <f aca="false">IF(B573="","",IF(MONTH(B573)=11,"X",""))</f>
        <v/>
      </c>
      <c r="U573" s="34" t="str">
        <f aca="false">IF(B573="","",IF(MONTH(B573)=12,"X",""))</f>
        <v/>
      </c>
      <c r="V573" s="24" t="str">
        <f aca="false">IF(E573="","",COUNTIF($E$5:$E$1000,E573))</f>
        <v/>
      </c>
      <c r="W573" s="35" t="str">
        <f aca="false">IF(E573="","",_xlfn.TEXTJOIN(" + ",TRUE(),IF(COUNTIFS($E$5:$E$1000,E573,$C$5:$C$1000,"Auditoría Interna")&gt;0,"Interna",""),IF(COUNTIFS($E$5:$E$1000,E573,$C$5:$C$1000,"Auditoría Externa")&gt;0,"Externa",""),IF(COUNTIFS($E$5:$E$1000,E573,$C$5:$C$1000,"SSF")&gt;0,"SSF",""),IF(COUNTIFS($E$5:$E$1000,E573,$C$5:$C$1000,"Comité de Supervisión")&gt;0,"Comité Sup.",""),IF(COUNTIFS($E$5:$E$1000,E573,$C$5:$C$1000,"Consejo de Administración")&gt;0,"Consejo",""),IF(COUNTIFS($E$5:$E$1000,E573,$C$5:$C$1000,"Otros")&gt;0,"Otros","")))</f>
        <v/>
      </c>
      <c r="X573" s="24" t="str">
        <f aca="false">IF(E573="","",COUNTIFS($E$5:$E$1000,E573,$AB$5:$AB$1000,AB573,$C$5:$C$1000,"&lt;&gt;"&amp;C573))</f>
        <v/>
      </c>
      <c r="Y573" s="33"/>
      <c r="Z573" s="31"/>
      <c r="AA573" s="33"/>
      <c r="AB573" s="37" t="str">
        <f aca="false">IF(B573="","",YEAR(B573)*100+MONTH(B573))</f>
        <v/>
      </c>
      <c r="AC573" s="37" t="str">
        <f aca="false">IF(AND(E573&lt;&gt;"",E573=Cruce!$C$5),COUNTIF($E$5:E573,E573),"")</f>
        <v/>
      </c>
      <c r="AD573" s="37" t="str">
        <f aca="false">IF(E573="","",C573&amp;"|"&amp;Y573&amp;"|"&amp;IF(B573="","s/f",TEXT(B573,"yyyymmdd")))</f>
        <v/>
      </c>
      <c r="AE573" s="37" t="n">
        <f aca="false">IF(E573="",0,IF(COUNTIFS($E$5:E573,E573,$AD$5:AD573,AD573)=1,1,0))</f>
        <v>0</v>
      </c>
    </row>
    <row r="574" customFormat="false" ht="15" hidden="false" customHeight="true" outlineLevel="0" collapsed="false">
      <c r="A574" s="31"/>
      <c r="B574" s="30"/>
      <c r="C574" s="31"/>
      <c r="D574" s="31"/>
      <c r="E574" s="32"/>
      <c r="F574" s="32"/>
      <c r="G574" s="33"/>
      <c r="H574" s="31"/>
      <c r="I574" s="24" t="str">
        <f aca="false">IF(B574="","",YEAR(B574))</f>
        <v/>
      </c>
      <c r="J574" s="34" t="str">
        <f aca="false">IF(B574="","",IF(MONTH(B574)=1,"X",""))</f>
        <v/>
      </c>
      <c r="K574" s="34" t="str">
        <f aca="false">IF(B574="","",IF(MONTH(B574)=2,"X",""))</f>
        <v/>
      </c>
      <c r="L574" s="34" t="str">
        <f aca="false">IF(B574="","",IF(MONTH(B574)=3,"X",""))</f>
        <v/>
      </c>
      <c r="M574" s="34" t="str">
        <f aca="false">IF(B574="","",IF(MONTH(B574)=4,"X",""))</f>
        <v/>
      </c>
      <c r="N574" s="34" t="str">
        <f aca="false">IF(B574="","",IF(MONTH(B574)=5,"X",""))</f>
        <v/>
      </c>
      <c r="O574" s="34" t="str">
        <f aca="false">IF(B574="","",IF(MONTH(B574)=6,"X",""))</f>
        <v/>
      </c>
      <c r="P574" s="34" t="str">
        <f aca="false">IF(B574="","",IF(MONTH(B574)=7,"X",""))</f>
        <v/>
      </c>
      <c r="Q574" s="34" t="str">
        <f aca="false">IF(B574="","",IF(MONTH(B574)=8,"X",""))</f>
        <v/>
      </c>
      <c r="R574" s="34" t="str">
        <f aca="false">IF(B574="","",IF(MONTH(B574)=9,"X",""))</f>
        <v/>
      </c>
      <c r="S574" s="34" t="str">
        <f aca="false">IF(B574="","",IF(MONTH(B574)=10,"X",""))</f>
        <v/>
      </c>
      <c r="T574" s="34" t="str">
        <f aca="false">IF(B574="","",IF(MONTH(B574)=11,"X",""))</f>
        <v/>
      </c>
      <c r="U574" s="34" t="str">
        <f aca="false">IF(B574="","",IF(MONTH(B574)=12,"X",""))</f>
        <v/>
      </c>
      <c r="V574" s="24" t="str">
        <f aca="false">IF(E574="","",COUNTIF($E$5:$E$1000,E574))</f>
        <v/>
      </c>
      <c r="W574" s="35" t="str">
        <f aca="false">IF(E574="","",_xlfn.TEXTJOIN(" + ",TRUE(),IF(COUNTIFS($E$5:$E$1000,E574,$C$5:$C$1000,"Auditoría Interna")&gt;0,"Interna",""),IF(COUNTIFS($E$5:$E$1000,E574,$C$5:$C$1000,"Auditoría Externa")&gt;0,"Externa",""),IF(COUNTIFS($E$5:$E$1000,E574,$C$5:$C$1000,"SSF")&gt;0,"SSF",""),IF(COUNTIFS($E$5:$E$1000,E574,$C$5:$C$1000,"Comité de Supervisión")&gt;0,"Comité Sup.",""),IF(COUNTIFS($E$5:$E$1000,E574,$C$5:$C$1000,"Consejo de Administración")&gt;0,"Consejo",""),IF(COUNTIFS($E$5:$E$1000,E574,$C$5:$C$1000,"Otros")&gt;0,"Otros","")))</f>
        <v/>
      </c>
      <c r="X574" s="24" t="str">
        <f aca="false">IF(E574="","",COUNTIFS($E$5:$E$1000,E574,$AB$5:$AB$1000,AB574,$C$5:$C$1000,"&lt;&gt;"&amp;C574))</f>
        <v/>
      </c>
      <c r="Y574" s="33"/>
      <c r="Z574" s="31"/>
      <c r="AA574" s="33"/>
      <c r="AB574" s="37" t="str">
        <f aca="false">IF(B574="","",YEAR(B574)*100+MONTH(B574))</f>
        <v/>
      </c>
      <c r="AC574" s="37" t="str">
        <f aca="false">IF(AND(E574&lt;&gt;"",E574=Cruce!$C$5),COUNTIF($E$5:E574,E574),"")</f>
        <v/>
      </c>
      <c r="AD574" s="37" t="str">
        <f aca="false">IF(E574="","",C574&amp;"|"&amp;Y574&amp;"|"&amp;IF(B574="","s/f",TEXT(B574,"yyyymmdd")))</f>
        <v/>
      </c>
      <c r="AE574" s="37" t="n">
        <f aca="false">IF(E574="",0,IF(COUNTIFS($E$5:E574,E574,$AD$5:AD574,AD574)=1,1,0))</f>
        <v>0</v>
      </c>
    </row>
    <row r="575" customFormat="false" ht="15" hidden="false" customHeight="true" outlineLevel="0" collapsed="false">
      <c r="A575" s="31"/>
      <c r="B575" s="30"/>
      <c r="C575" s="31"/>
      <c r="D575" s="31"/>
      <c r="E575" s="32"/>
      <c r="F575" s="32"/>
      <c r="G575" s="33"/>
      <c r="H575" s="31"/>
      <c r="I575" s="24" t="str">
        <f aca="false">IF(B575="","",YEAR(B575))</f>
        <v/>
      </c>
      <c r="J575" s="34" t="str">
        <f aca="false">IF(B575="","",IF(MONTH(B575)=1,"X",""))</f>
        <v/>
      </c>
      <c r="K575" s="34" t="str">
        <f aca="false">IF(B575="","",IF(MONTH(B575)=2,"X",""))</f>
        <v/>
      </c>
      <c r="L575" s="34" t="str">
        <f aca="false">IF(B575="","",IF(MONTH(B575)=3,"X",""))</f>
        <v/>
      </c>
      <c r="M575" s="34" t="str">
        <f aca="false">IF(B575="","",IF(MONTH(B575)=4,"X",""))</f>
        <v/>
      </c>
      <c r="N575" s="34" t="str">
        <f aca="false">IF(B575="","",IF(MONTH(B575)=5,"X",""))</f>
        <v/>
      </c>
      <c r="O575" s="34" t="str">
        <f aca="false">IF(B575="","",IF(MONTH(B575)=6,"X",""))</f>
        <v/>
      </c>
      <c r="P575" s="34" t="str">
        <f aca="false">IF(B575="","",IF(MONTH(B575)=7,"X",""))</f>
        <v/>
      </c>
      <c r="Q575" s="34" t="str">
        <f aca="false">IF(B575="","",IF(MONTH(B575)=8,"X",""))</f>
        <v/>
      </c>
      <c r="R575" s="34" t="str">
        <f aca="false">IF(B575="","",IF(MONTH(B575)=9,"X",""))</f>
        <v/>
      </c>
      <c r="S575" s="34" t="str">
        <f aca="false">IF(B575="","",IF(MONTH(B575)=10,"X",""))</f>
        <v/>
      </c>
      <c r="T575" s="34" t="str">
        <f aca="false">IF(B575="","",IF(MONTH(B575)=11,"X",""))</f>
        <v/>
      </c>
      <c r="U575" s="34" t="str">
        <f aca="false">IF(B575="","",IF(MONTH(B575)=12,"X",""))</f>
        <v/>
      </c>
      <c r="V575" s="24" t="str">
        <f aca="false">IF(E575="","",COUNTIF($E$5:$E$1000,E575))</f>
        <v/>
      </c>
      <c r="W575" s="35" t="str">
        <f aca="false">IF(E575="","",_xlfn.TEXTJOIN(" + ",TRUE(),IF(COUNTIFS($E$5:$E$1000,E575,$C$5:$C$1000,"Auditoría Interna")&gt;0,"Interna",""),IF(COUNTIFS($E$5:$E$1000,E575,$C$5:$C$1000,"Auditoría Externa")&gt;0,"Externa",""),IF(COUNTIFS($E$5:$E$1000,E575,$C$5:$C$1000,"SSF")&gt;0,"SSF",""),IF(COUNTIFS($E$5:$E$1000,E575,$C$5:$C$1000,"Comité de Supervisión")&gt;0,"Comité Sup.",""),IF(COUNTIFS($E$5:$E$1000,E575,$C$5:$C$1000,"Consejo de Administración")&gt;0,"Consejo",""),IF(COUNTIFS($E$5:$E$1000,E575,$C$5:$C$1000,"Otros")&gt;0,"Otros","")))</f>
        <v/>
      </c>
      <c r="X575" s="24" t="str">
        <f aca="false">IF(E575="","",COUNTIFS($E$5:$E$1000,E575,$AB$5:$AB$1000,AB575,$C$5:$C$1000,"&lt;&gt;"&amp;C575))</f>
        <v/>
      </c>
      <c r="Y575" s="33"/>
      <c r="Z575" s="31"/>
      <c r="AA575" s="33"/>
      <c r="AB575" s="37" t="str">
        <f aca="false">IF(B575="","",YEAR(B575)*100+MONTH(B575))</f>
        <v/>
      </c>
      <c r="AC575" s="37" t="str">
        <f aca="false">IF(AND(E575&lt;&gt;"",E575=Cruce!$C$5),COUNTIF($E$5:E575,E575),"")</f>
        <v/>
      </c>
      <c r="AD575" s="37" t="str">
        <f aca="false">IF(E575="","",C575&amp;"|"&amp;Y575&amp;"|"&amp;IF(B575="","s/f",TEXT(B575,"yyyymmdd")))</f>
        <v/>
      </c>
      <c r="AE575" s="37" t="n">
        <f aca="false">IF(E575="",0,IF(COUNTIFS($E$5:E575,E575,$AD$5:AD575,AD575)=1,1,0))</f>
        <v>0</v>
      </c>
    </row>
    <row r="576" customFormat="false" ht="15" hidden="false" customHeight="true" outlineLevel="0" collapsed="false">
      <c r="A576" s="31"/>
      <c r="B576" s="30"/>
      <c r="C576" s="31"/>
      <c r="D576" s="31"/>
      <c r="E576" s="32"/>
      <c r="F576" s="32"/>
      <c r="G576" s="33"/>
      <c r="H576" s="31"/>
      <c r="I576" s="24" t="str">
        <f aca="false">IF(B576="","",YEAR(B576))</f>
        <v/>
      </c>
      <c r="J576" s="34" t="str">
        <f aca="false">IF(B576="","",IF(MONTH(B576)=1,"X",""))</f>
        <v/>
      </c>
      <c r="K576" s="34" t="str">
        <f aca="false">IF(B576="","",IF(MONTH(B576)=2,"X",""))</f>
        <v/>
      </c>
      <c r="L576" s="34" t="str">
        <f aca="false">IF(B576="","",IF(MONTH(B576)=3,"X",""))</f>
        <v/>
      </c>
      <c r="M576" s="34" t="str">
        <f aca="false">IF(B576="","",IF(MONTH(B576)=4,"X",""))</f>
        <v/>
      </c>
      <c r="N576" s="34" t="str">
        <f aca="false">IF(B576="","",IF(MONTH(B576)=5,"X",""))</f>
        <v/>
      </c>
      <c r="O576" s="34" t="str">
        <f aca="false">IF(B576="","",IF(MONTH(B576)=6,"X",""))</f>
        <v/>
      </c>
      <c r="P576" s="34" t="str">
        <f aca="false">IF(B576="","",IF(MONTH(B576)=7,"X",""))</f>
        <v/>
      </c>
      <c r="Q576" s="34" t="str">
        <f aca="false">IF(B576="","",IF(MONTH(B576)=8,"X",""))</f>
        <v/>
      </c>
      <c r="R576" s="34" t="str">
        <f aca="false">IF(B576="","",IF(MONTH(B576)=9,"X",""))</f>
        <v/>
      </c>
      <c r="S576" s="34" t="str">
        <f aca="false">IF(B576="","",IF(MONTH(B576)=10,"X",""))</f>
        <v/>
      </c>
      <c r="T576" s="34" t="str">
        <f aca="false">IF(B576="","",IF(MONTH(B576)=11,"X",""))</f>
        <v/>
      </c>
      <c r="U576" s="34" t="str">
        <f aca="false">IF(B576="","",IF(MONTH(B576)=12,"X",""))</f>
        <v/>
      </c>
      <c r="V576" s="24" t="str">
        <f aca="false">IF(E576="","",COUNTIF($E$5:$E$1000,E576))</f>
        <v/>
      </c>
      <c r="W576" s="35" t="str">
        <f aca="false">IF(E576="","",_xlfn.TEXTJOIN(" + ",TRUE(),IF(COUNTIFS($E$5:$E$1000,E576,$C$5:$C$1000,"Auditoría Interna")&gt;0,"Interna",""),IF(COUNTIFS($E$5:$E$1000,E576,$C$5:$C$1000,"Auditoría Externa")&gt;0,"Externa",""),IF(COUNTIFS($E$5:$E$1000,E576,$C$5:$C$1000,"SSF")&gt;0,"SSF",""),IF(COUNTIFS($E$5:$E$1000,E576,$C$5:$C$1000,"Comité de Supervisión")&gt;0,"Comité Sup.",""),IF(COUNTIFS($E$5:$E$1000,E576,$C$5:$C$1000,"Consejo de Administración")&gt;0,"Consejo",""),IF(COUNTIFS($E$5:$E$1000,E576,$C$5:$C$1000,"Otros")&gt;0,"Otros","")))</f>
        <v/>
      </c>
      <c r="X576" s="24" t="str">
        <f aca="false">IF(E576="","",COUNTIFS($E$5:$E$1000,E576,$AB$5:$AB$1000,AB576,$C$5:$C$1000,"&lt;&gt;"&amp;C576))</f>
        <v/>
      </c>
      <c r="Y576" s="33"/>
      <c r="Z576" s="31"/>
      <c r="AA576" s="33"/>
      <c r="AB576" s="37" t="str">
        <f aca="false">IF(B576="","",YEAR(B576)*100+MONTH(B576))</f>
        <v/>
      </c>
      <c r="AC576" s="37" t="str">
        <f aca="false">IF(AND(E576&lt;&gt;"",E576=Cruce!$C$5),COUNTIF($E$5:E576,E576),"")</f>
        <v/>
      </c>
      <c r="AD576" s="37" t="str">
        <f aca="false">IF(E576="","",C576&amp;"|"&amp;Y576&amp;"|"&amp;IF(B576="","s/f",TEXT(B576,"yyyymmdd")))</f>
        <v/>
      </c>
      <c r="AE576" s="37" t="n">
        <f aca="false">IF(E576="",0,IF(COUNTIFS($E$5:E576,E576,$AD$5:AD576,AD576)=1,1,0))</f>
        <v>0</v>
      </c>
    </row>
    <row r="577" customFormat="false" ht="15" hidden="false" customHeight="true" outlineLevel="0" collapsed="false">
      <c r="A577" s="31"/>
      <c r="B577" s="30"/>
      <c r="C577" s="31"/>
      <c r="D577" s="31"/>
      <c r="E577" s="32"/>
      <c r="F577" s="32"/>
      <c r="G577" s="33"/>
      <c r="H577" s="31"/>
      <c r="I577" s="24" t="str">
        <f aca="false">IF(B577="","",YEAR(B577))</f>
        <v/>
      </c>
      <c r="J577" s="34" t="str">
        <f aca="false">IF(B577="","",IF(MONTH(B577)=1,"X",""))</f>
        <v/>
      </c>
      <c r="K577" s="34" t="str">
        <f aca="false">IF(B577="","",IF(MONTH(B577)=2,"X",""))</f>
        <v/>
      </c>
      <c r="L577" s="34" t="str">
        <f aca="false">IF(B577="","",IF(MONTH(B577)=3,"X",""))</f>
        <v/>
      </c>
      <c r="M577" s="34" t="str">
        <f aca="false">IF(B577="","",IF(MONTH(B577)=4,"X",""))</f>
        <v/>
      </c>
      <c r="N577" s="34" t="str">
        <f aca="false">IF(B577="","",IF(MONTH(B577)=5,"X",""))</f>
        <v/>
      </c>
      <c r="O577" s="34" t="str">
        <f aca="false">IF(B577="","",IF(MONTH(B577)=6,"X",""))</f>
        <v/>
      </c>
      <c r="P577" s="34" t="str">
        <f aca="false">IF(B577="","",IF(MONTH(B577)=7,"X",""))</f>
        <v/>
      </c>
      <c r="Q577" s="34" t="str">
        <f aca="false">IF(B577="","",IF(MONTH(B577)=8,"X",""))</f>
        <v/>
      </c>
      <c r="R577" s="34" t="str">
        <f aca="false">IF(B577="","",IF(MONTH(B577)=9,"X",""))</f>
        <v/>
      </c>
      <c r="S577" s="34" t="str">
        <f aca="false">IF(B577="","",IF(MONTH(B577)=10,"X",""))</f>
        <v/>
      </c>
      <c r="T577" s="34" t="str">
        <f aca="false">IF(B577="","",IF(MONTH(B577)=11,"X",""))</f>
        <v/>
      </c>
      <c r="U577" s="34" t="str">
        <f aca="false">IF(B577="","",IF(MONTH(B577)=12,"X",""))</f>
        <v/>
      </c>
      <c r="V577" s="24" t="str">
        <f aca="false">IF(E577="","",COUNTIF($E$5:$E$1000,E577))</f>
        <v/>
      </c>
      <c r="W577" s="35" t="str">
        <f aca="false">IF(E577="","",_xlfn.TEXTJOIN(" + ",TRUE(),IF(COUNTIFS($E$5:$E$1000,E577,$C$5:$C$1000,"Auditoría Interna")&gt;0,"Interna",""),IF(COUNTIFS($E$5:$E$1000,E577,$C$5:$C$1000,"Auditoría Externa")&gt;0,"Externa",""),IF(COUNTIFS($E$5:$E$1000,E577,$C$5:$C$1000,"SSF")&gt;0,"SSF",""),IF(COUNTIFS($E$5:$E$1000,E577,$C$5:$C$1000,"Comité de Supervisión")&gt;0,"Comité Sup.",""),IF(COUNTIFS($E$5:$E$1000,E577,$C$5:$C$1000,"Consejo de Administración")&gt;0,"Consejo",""),IF(COUNTIFS($E$5:$E$1000,E577,$C$5:$C$1000,"Otros")&gt;0,"Otros","")))</f>
        <v/>
      </c>
      <c r="X577" s="24" t="str">
        <f aca="false">IF(E577="","",COUNTIFS($E$5:$E$1000,E577,$AB$5:$AB$1000,AB577,$C$5:$C$1000,"&lt;&gt;"&amp;C577))</f>
        <v/>
      </c>
      <c r="Y577" s="33"/>
      <c r="Z577" s="31"/>
      <c r="AA577" s="33"/>
      <c r="AB577" s="37" t="str">
        <f aca="false">IF(B577="","",YEAR(B577)*100+MONTH(B577))</f>
        <v/>
      </c>
      <c r="AC577" s="37" t="str">
        <f aca="false">IF(AND(E577&lt;&gt;"",E577=Cruce!$C$5),COUNTIF($E$5:E577,E577),"")</f>
        <v/>
      </c>
      <c r="AD577" s="37" t="str">
        <f aca="false">IF(E577="","",C577&amp;"|"&amp;Y577&amp;"|"&amp;IF(B577="","s/f",TEXT(B577,"yyyymmdd")))</f>
        <v/>
      </c>
      <c r="AE577" s="37" t="n">
        <f aca="false">IF(E577="",0,IF(COUNTIFS($E$5:E577,E577,$AD$5:AD577,AD577)=1,1,0))</f>
        <v>0</v>
      </c>
    </row>
    <row r="578" customFormat="false" ht="15" hidden="false" customHeight="true" outlineLevel="0" collapsed="false">
      <c r="A578" s="31"/>
      <c r="B578" s="30"/>
      <c r="C578" s="31"/>
      <c r="D578" s="31"/>
      <c r="E578" s="32"/>
      <c r="F578" s="32"/>
      <c r="G578" s="33"/>
      <c r="H578" s="31"/>
      <c r="I578" s="24" t="str">
        <f aca="false">IF(B578="","",YEAR(B578))</f>
        <v/>
      </c>
      <c r="J578" s="34" t="str">
        <f aca="false">IF(B578="","",IF(MONTH(B578)=1,"X",""))</f>
        <v/>
      </c>
      <c r="K578" s="34" t="str">
        <f aca="false">IF(B578="","",IF(MONTH(B578)=2,"X",""))</f>
        <v/>
      </c>
      <c r="L578" s="34" t="str">
        <f aca="false">IF(B578="","",IF(MONTH(B578)=3,"X",""))</f>
        <v/>
      </c>
      <c r="M578" s="34" t="str">
        <f aca="false">IF(B578="","",IF(MONTH(B578)=4,"X",""))</f>
        <v/>
      </c>
      <c r="N578" s="34" t="str">
        <f aca="false">IF(B578="","",IF(MONTH(B578)=5,"X",""))</f>
        <v/>
      </c>
      <c r="O578" s="34" t="str">
        <f aca="false">IF(B578="","",IF(MONTH(B578)=6,"X",""))</f>
        <v/>
      </c>
      <c r="P578" s="34" t="str">
        <f aca="false">IF(B578="","",IF(MONTH(B578)=7,"X",""))</f>
        <v/>
      </c>
      <c r="Q578" s="34" t="str">
        <f aca="false">IF(B578="","",IF(MONTH(B578)=8,"X",""))</f>
        <v/>
      </c>
      <c r="R578" s="34" t="str">
        <f aca="false">IF(B578="","",IF(MONTH(B578)=9,"X",""))</f>
        <v/>
      </c>
      <c r="S578" s="34" t="str">
        <f aca="false">IF(B578="","",IF(MONTH(B578)=10,"X",""))</f>
        <v/>
      </c>
      <c r="T578" s="34" t="str">
        <f aca="false">IF(B578="","",IF(MONTH(B578)=11,"X",""))</f>
        <v/>
      </c>
      <c r="U578" s="34" t="str">
        <f aca="false">IF(B578="","",IF(MONTH(B578)=12,"X",""))</f>
        <v/>
      </c>
      <c r="V578" s="24" t="str">
        <f aca="false">IF(E578="","",COUNTIF($E$5:$E$1000,E578))</f>
        <v/>
      </c>
      <c r="W578" s="35" t="str">
        <f aca="false">IF(E578="","",_xlfn.TEXTJOIN(" + ",TRUE(),IF(COUNTIFS($E$5:$E$1000,E578,$C$5:$C$1000,"Auditoría Interna")&gt;0,"Interna",""),IF(COUNTIFS($E$5:$E$1000,E578,$C$5:$C$1000,"Auditoría Externa")&gt;0,"Externa",""),IF(COUNTIFS($E$5:$E$1000,E578,$C$5:$C$1000,"SSF")&gt;0,"SSF",""),IF(COUNTIFS($E$5:$E$1000,E578,$C$5:$C$1000,"Comité de Supervisión")&gt;0,"Comité Sup.",""),IF(COUNTIFS($E$5:$E$1000,E578,$C$5:$C$1000,"Consejo de Administración")&gt;0,"Consejo",""),IF(COUNTIFS($E$5:$E$1000,E578,$C$5:$C$1000,"Otros")&gt;0,"Otros","")))</f>
        <v/>
      </c>
      <c r="X578" s="24" t="str">
        <f aca="false">IF(E578="","",COUNTIFS($E$5:$E$1000,E578,$AB$5:$AB$1000,AB578,$C$5:$C$1000,"&lt;&gt;"&amp;C578))</f>
        <v/>
      </c>
      <c r="Y578" s="33"/>
      <c r="Z578" s="31"/>
      <c r="AA578" s="33"/>
      <c r="AB578" s="37" t="str">
        <f aca="false">IF(B578="","",YEAR(B578)*100+MONTH(B578))</f>
        <v/>
      </c>
      <c r="AC578" s="37" t="str">
        <f aca="false">IF(AND(E578&lt;&gt;"",E578=Cruce!$C$5),COUNTIF($E$5:E578,E578),"")</f>
        <v/>
      </c>
      <c r="AD578" s="37" t="str">
        <f aca="false">IF(E578="","",C578&amp;"|"&amp;Y578&amp;"|"&amp;IF(B578="","s/f",TEXT(B578,"yyyymmdd")))</f>
        <v/>
      </c>
      <c r="AE578" s="37" t="n">
        <f aca="false">IF(E578="",0,IF(COUNTIFS($E$5:E578,E578,$AD$5:AD578,AD578)=1,1,0))</f>
        <v>0</v>
      </c>
    </row>
    <row r="579" customFormat="false" ht="15" hidden="false" customHeight="true" outlineLevel="0" collapsed="false">
      <c r="A579" s="31"/>
      <c r="B579" s="30"/>
      <c r="C579" s="31"/>
      <c r="D579" s="31"/>
      <c r="E579" s="32"/>
      <c r="F579" s="32"/>
      <c r="G579" s="33"/>
      <c r="H579" s="31"/>
      <c r="I579" s="24" t="str">
        <f aca="false">IF(B579="","",YEAR(B579))</f>
        <v/>
      </c>
      <c r="J579" s="34" t="str">
        <f aca="false">IF(B579="","",IF(MONTH(B579)=1,"X",""))</f>
        <v/>
      </c>
      <c r="K579" s="34" t="str">
        <f aca="false">IF(B579="","",IF(MONTH(B579)=2,"X",""))</f>
        <v/>
      </c>
      <c r="L579" s="34" t="str">
        <f aca="false">IF(B579="","",IF(MONTH(B579)=3,"X",""))</f>
        <v/>
      </c>
      <c r="M579" s="34" t="str">
        <f aca="false">IF(B579="","",IF(MONTH(B579)=4,"X",""))</f>
        <v/>
      </c>
      <c r="N579" s="34" t="str">
        <f aca="false">IF(B579="","",IF(MONTH(B579)=5,"X",""))</f>
        <v/>
      </c>
      <c r="O579" s="34" t="str">
        <f aca="false">IF(B579="","",IF(MONTH(B579)=6,"X",""))</f>
        <v/>
      </c>
      <c r="P579" s="34" t="str">
        <f aca="false">IF(B579="","",IF(MONTH(B579)=7,"X",""))</f>
        <v/>
      </c>
      <c r="Q579" s="34" t="str">
        <f aca="false">IF(B579="","",IF(MONTH(B579)=8,"X",""))</f>
        <v/>
      </c>
      <c r="R579" s="34" t="str">
        <f aca="false">IF(B579="","",IF(MONTH(B579)=9,"X",""))</f>
        <v/>
      </c>
      <c r="S579" s="34" t="str">
        <f aca="false">IF(B579="","",IF(MONTH(B579)=10,"X",""))</f>
        <v/>
      </c>
      <c r="T579" s="34" t="str">
        <f aca="false">IF(B579="","",IF(MONTH(B579)=11,"X",""))</f>
        <v/>
      </c>
      <c r="U579" s="34" t="str">
        <f aca="false">IF(B579="","",IF(MONTH(B579)=12,"X",""))</f>
        <v/>
      </c>
      <c r="V579" s="24" t="str">
        <f aca="false">IF(E579="","",COUNTIF($E$5:$E$1000,E579))</f>
        <v/>
      </c>
      <c r="W579" s="35" t="str">
        <f aca="false">IF(E579="","",_xlfn.TEXTJOIN(" + ",TRUE(),IF(COUNTIFS($E$5:$E$1000,E579,$C$5:$C$1000,"Auditoría Interna")&gt;0,"Interna",""),IF(COUNTIFS($E$5:$E$1000,E579,$C$5:$C$1000,"Auditoría Externa")&gt;0,"Externa",""),IF(COUNTIFS($E$5:$E$1000,E579,$C$5:$C$1000,"SSF")&gt;0,"SSF",""),IF(COUNTIFS($E$5:$E$1000,E579,$C$5:$C$1000,"Comité de Supervisión")&gt;0,"Comité Sup.",""),IF(COUNTIFS($E$5:$E$1000,E579,$C$5:$C$1000,"Consejo de Administración")&gt;0,"Consejo",""),IF(COUNTIFS($E$5:$E$1000,E579,$C$5:$C$1000,"Otros")&gt;0,"Otros","")))</f>
        <v/>
      </c>
      <c r="X579" s="24" t="str">
        <f aca="false">IF(E579="","",COUNTIFS($E$5:$E$1000,E579,$AB$5:$AB$1000,AB579,$C$5:$C$1000,"&lt;&gt;"&amp;C579))</f>
        <v/>
      </c>
      <c r="Y579" s="33"/>
      <c r="Z579" s="31"/>
      <c r="AA579" s="33"/>
      <c r="AB579" s="37" t="str">
        <f aca="false">IF(B579="","",YEAR(B579)*100+MONTH(B579))</f>
        <v/>
      </c>
      <c r="AC579" s="37" t="str">
        <f aca="false">IF(AND(E579&lt;&gt;"",E579=Cruce!$C$5),COUNTIF($E$5:E579,E579),"")</f>
        <v/>
      </c>
      <c r="AD579" s="37" t="str">
        <f aca="false">IF(E579="","",C579&amp;"|"&amp;Y579&amp;"|"&amp;IF(B579="","s/f",TEXT(B579,"yyyymmdd")))</f>
        <v/>
      </c>
      <c r="AE579" s="37" t="n">
        <f aca="false">IF(E579="",0,IF(COUNTIFS($E$5:E579,E579,$AD$5:AD579,AD579)=1,1,0))</f>
        <v>0</v>
      </c>
    </row>
    <row r="580" customFormat="false" ht="15" hidden="false" customHeight="true" outlineLevel="0" collapsed="false">
      <c r="A580" s="31"/>
      <c r="B580" s="30"/>
      <c r="C580" s="31"/>
      <c r="D580" s="31"/>
      <c r="E580" s="32"/>
      <c r="F580" s="32"/>
      <c r="G580" s="33"/>
      <c r="H580" s="31"/>
      <c r="I580" s="24" t="str">
        <f aca="false">IF(B580="","",YEAR(B580))</f>
        <v/>
      </c>
      <c r="J580" s="34" t="str">
        <f aca="false">IF(B580="","",IF(MONTH(B580)=1,"X",""))</f>
        <v/>
      </c>
      <c r="K580" s="34" t="str">
        <f aca="false">IF(B580="","",IF(MONTH(B580)=2,"X",""))</f>
        <v/>
      </c>
      <c r="L580" s="34" t="str">
        <f aca="false">IF(B580="","",IF(MONTH(B580)=3,"X",""))</f>
        <v/>
      </c>
      <c r="M580" s="34" t="str">
        <f aca="false">IF(B580="","",IF(MONTH(B580)=4,"X",""))</f>
        <v/>
      </c>
      <c r="N580" s="34" t="str">
        <f aca="false">IF(B580="","",IF(MONTH(B580)=5,"X",""))</f>
        <v/>
      </c>
      <c r="O580" s="34" t="str">
        <f aca="false">IF(B580="","",IF(MONTH(B580)=6,"X",""))</f>
        <v/>
      </c>
      <c r="P580" s="34" t="str">
        <f aca="false">IF(B580="","",IF(MONTH(B580)=7,"X",""))</f>
        <v/>
      </c>
      <c r="Q580" s="34" t="str">
        <f aca="false">IF(B580="","",IF(MONTH(B580)=8,"X",""))</f>
        <v/>
      </c>
      <c r="R580" s="34" t="str">
        <f aca="false">IF(B580="","",IF(MONTH(B580)=9,"X",""))</f>
        <v/>
      </c>
      <c r="S580" s="34" t="str">
        <f aca="false">IF(B580="","",IF(MONTH(B580)=10,"X",""))</f>
        <v/>
      </c>
      <c r="T580" s="34" t="str">
        <f aca="false">IF(B580="","",IF(MONTH(B580)=11,"X",""))</f>
        <v/>
      </c>
      <c r="U580" s="34" t="str">
        <f aca="false">IF(B580="","",IF(MONTH(B580)=12,"X",""))</f>
        <v/>
      </c>
      <c r="V580" s="24" t="str">
        <f aca="false">IF(E580="","",COUNTIF($E$5:$E$1000,E580))</f>
        <v/>
      </c>
      <c r="W580" s="35" t="str">
        <f aca="false">IF(E580="","",_xlfn.TEXTJOIN(" + ",TRUE(),IF(COUNTIFS($E$5:$E$1000,E580,$C$5:$C$1000,"Auditoría Interna")&gt;0,"Interna",""),IF(COUNTIFS($E$5:$E$1000,E580,$C$5:$C$1000,"Auditoría Externa")&gt;0,"Externa",""),IF(COUNTIFS($E$5:$E$1000,E580,$C$5:$C$1000,"SSF")&gt;0,"SSF",""),IF(COUNTIFS($E$5:$E$1000,E580,$C$5:$C$1000,"Comité de Supervisión")&gt;0,"Comité Sup.",""),IF(COUNTIFS($E$5:$E$1000,E580,$C$5:$C$1000,"Consejo de Administración")&gt;0,"Consejo",""),IF(COUNTIFS($E$5:$E$1000,E580,$C$5:$C$1000,"Otros")&gt;0,"Otros","")))</f>
        <v/>
      </c>
      <c r="X580" s="24" t="str">
        <f aca="false">IF(E580="","",COUNTIFS($E$5:$E$1000,E580,$AB$5:$AB$1000,AB580,$C$5:$C$1000,"&lt;&gt;"&amp;C580))</f>
        <v/>
      </c>
      <c r="Y580" s="33"/>
      <c r="Z580" s="31"/>
      <c r="AA580" s="33"/>
      <c r="AB580" s="37" t="str">
        <f aca="false">IF(B580="","",YEAR(B580)*100+MONTH(B580))</f>
        <v/>
      </c>
      <c r="AC580" s="37" t="str">
        <f aca="false">IF(AND(E580&lt;&gt;"",E580=Cruce!$C$5),COUNTIF($E$5:E580,E580),"")</f>
        <v/>
      </c>
      <c r="AD580" s="37" t="str">
        <f aca="false">IF(E580="","",C580&amp;"|"&amp;Y580&amp;"|"&amp;IF(B580="","s/f",TEXT(B580,"yyyymmdd")))</f>
        <v/>
      </c>
      <c r="AE580" s="37" t="n">
        <f aca="false">IF(E580="",0,IF(COUNTIFS($E$5:E580,E580,$AD$5:AD580,AD580)=1,1,0))</f>
        <v>0</v>
      </c>
    </row>
    <row r="581" customFormat="false" ht="15" hidden="false" customHeight="true" outlineLevel="0" collapsed="false">
      <c r="A581" s="31"/>
      <c r="B581" s="30"/>
      <c r="C581" s="31"/>
      <c r="D581" s="31"/>
      <c r="E581" s="32"/>
      <c r="F581" s="32"/>
      <c r="G581" s="33"/>
      <c r="H581" s="31"/>
      <c r="I581" s="24" t="str">
        <f aca="false">IF(B581="","",YEAR(B581))</f>
        <v/>
      </c>
      <c r="J581" s="34" t="str">
        <f aca="false">IF(B581="","",IF(MONTH(B581)=1,"X",""))</f>
        <v/>
      </c>
      <c r="K581" s="34" t="str">
        <f aca="false">IF(B581="","",IF(MONTH(B581)=2,"X",""))</f>
        <v/>
      </c>
      <c r="L581" s="34" t="str">
        <f aca="false">IF(B581="","",IF(MONTH(B581)=3,"X",""))</f>
        <v/>
      </c>
      <c r="M581" s="34" t="str">
        <f aca="false">IF(B581="","",IF(MONTH(B581)=4,"X",""))</f>
        <v/>
      </c>
      <c r="N581" s="34" t="str">
        <f aca="false">IF(B581="","",IF(MONTH(B581)=5,"X",""))</f>
        <v/>
      </c>
      <c r="O581" s="34" t="str">
        <f aca="false">IF(B581="","",IF(MONTH(B581)=6,"X",""))</f>
        <v/>
      </c>
      <c r="P581" s="34" t="str">
        <f aca="false">IF(B581="","",IF(MONTH(B581)=7,"X",""))</f>
        <v/>
      </c>
      <c r="Q581" s="34" t="str">
        <f aca="false">IF(B581="","",IF(MONTH(B581)=8,"X",""))</f>
        <v/>
      </c>
      <c r="R581" s="34" t="str">
        <f aca="false">IF(B581="","",IF(MONTH(B581)=9,"X",""))</f>
        <v/>
      </c>
      <c r="S581" s="34" t="str">
        <f aca="false">IF(B581="","",IF(MONTH(B581)=10,"X",""))</f>
        <v/>
      </c>
      <c r="T581" s="34" t="str">
        <f aca="false">IF(B581="","",IF(MONTH(B581)=11,"X",""))</f>
        <v/>
      </c>
      <c r="U581" s="34" t="str">
        <f aca="false">IF(B581="","",IF(MONTH(B581)=12,"X",""))</f>
        <v/>
      </c>
      <c r="V581" s="24" t="str">
        <f aca="false">IF(E581="","",COUNTIF($E$5:$E$1000,E581))</f>
        <v/>
      </c>
      <c r="W581" s="35" t="str">
        <f aca="false">IF(E581="","",_xlfn.TEXTJOIN(" + ",TRUE(),IF(COUNTIFS($E$5:$E$1000,E581,$C$5:$C$1000,"Auditoría Interna")&gt;0,"Interna",""),IF(COUNTIFS($E$5:$E$1000,E581,$C$5:$C$1000,"Auditoría Externa")&gt;0,"Externa",""),IF(COUNTIFS($E$5:$E$1000,E581,$C$5:$C$1000,"SSF")&gt;0,"SSF",""),IF(COUNTIFS($E$5:$E$1000,E581,$C$5:$C$1000,"Comité de Supervisión")&gt;0,"Comité Sup.",""),IF(COUNTIFS($E$5:$E$1000,E581,$C$5:$C$1000,"Consejo de Administración")&gt;0,"Consejo",""),IF(COUNTIFS($E$5:$E$1000,E581,$C$5:$C$1000,"Otros")&gt;0,"Otros","")))</f>
        <v/>
      </c>
      <c r="X581" s="24" t="str">
        <f aca="false">IF(E581="","",COUNTIFS($E$5:$E$1000,E581,$AB$5:$AB$1000,AB581,$C$5:$C$1000,"&lt;&gt;"&amp;C581))</f>
        <v/>
      </c>
      <c r="Y581" s="33"/>
      <c r="Z581" s="31"/>
      <c r="AA581" s="33"/>
      <c r="AB581" s="37" t="str">
        <f aca="false">IF(B581="","",YEAR(B581)*100+MONTH(B581))</f>
        <v/>
      </c>
      <c r="AC581" s="37" t="str">
        <f aca="false">IF(AND(E581&lt;&gt;"",E581=Cruce!$C$5),COUNTIF($E$5:E581,E581),"")</f>
        <v/>
      </c>
      <c r="AD581" s="37" t="str">
        <f aca="false">IF(E581="","",C581&amp;"|"&amp;Y581&amp;"|"&amp;IF(B581="","s/f",TEXT(B581,"yyyymmdd")))</f>
        <v/>
      </c>
      <c r="AE581" s="37" t="n">
        <f aca="false">IF(E581="",0,IF(COUNTIFS($E$5:E581,E581,$AD$5:AD581,AD581)=1,1,0))</f>
        <v>0</v>
      </c>
    </row>
    <row r="582" customFormat="false" ht="15" hidden="false" customHeight="true" outlineLevel="0" collapsed="false">
      <c r="A582" s="31"/>
      <c r="B582" s="30"/>
      <c r="C582" s="31"/>
      <c r="D582" s="31"/>
      <c r="E582" s="32"/>
      <c r="F582" s="32"/>
      <c r="G582" s="33"/>
      <c r="H582" s="31"/>
      <c r="I582" s="24" t="str">
        <f aca="false">IF(B582="","",YEAR(B582))</f>
        <v/>
      </c>
      <c r="J582" s="34" t="str">
        <f aca="false">IF(B582="","",IF(MONTH(B582)=1,"X",""))</f>
        <v/>
      </c>
      <c r="K582" s="34" t="str">
        <f aca="false">IF(B582="","",IF(MONTH(B582)=2,"X",""))</f>
        <v/>
      </c>
      <c r="L582" s="34" t="str">
        <f aca="false">IF(B582="","",IF(MONTH(B582)=3,"X",""))</f>
        <v/>
      </c>
      <c r="M582" s="34" t="str">
        <f aca="false">IF(B582="","",IF(MONTH(B582)=4,"X",""))</f>
        <v/>
      </c>
      <c r="N582" s="34" t="str">
        <f aca="false">IF(B582="","",IF(MONTH(B582)=5,"X",""))</f>
        <v/>
      </c>
      <c r="O582" s="34" t="str">
        <f aca="false">IF(B582="","",IF(MONTH(B582)=6,"X",""))</f>
        <v/>
      </c>
      <c r="P582" s="34" t="str">
        <f aca="false">IF(B582="","",IF(MONTH(B582)=7,"X",""))</f>
        <v/>
      </c>
      <c r="Q582" s="34" t="str">
        <f aca="false">IF(B582="","",IF(MONTH(B582)=8,"X",""))</f>
        <v/>
      </c>
      <c r="R582" s="34" t="str">
        <f aca="false">IF(B582="","",IF(MONTH(B582)=9,"X",""))</f>
        <v/>
      </c>
      <c r="S582" s="34" t="str">
        <f aca="false">IF(B582="","",IF(MONTH(B582)=10,"X",""))</f>
        <v/>
      </c>
      <c r="T582" s="34" t="str">
        <f aca="false">IF(B582="","",IF(MONTH(B582)=11,"X",""))</f>
        <v/>
      </c>
      <c r="U582" s="34" t="str">
        <f aca="false">IF(B582="","",IF(MONTH(B582)=12,"X",""))</f>
        <v/>
      </c>
      <c r="V582" s="24" t="str">
        <f aca="false">IF(E582="","",COUNTIF($E$5:$E$1000,E582))</f>
        <v/>
      </c>
      <c r="W582" s="35" t="str">
        <f aca="false">IF(E582="","",_xlfn.TEXTJOIN(" + ",TRUE(),IF(COUNTIFS($E$5:$E$1000,E582,$C$5:$C$1000,"Auditoría Interna")&gt;0,"Interna",""),IF(COUNTIFS($E$5:$E$1000,E582,$C$5:$C$1000,"Auditoría Externa")&gt;0,"Externa",""),IF(COUNTIFS($E$5:$E$1000,E582,$C$5:$C$1000,"SSF")&gt;0,"SSF",""),IF(COUNTIFS($E$5:$E$1000,E582,$C$5:$C$1000,"Comité de Supervisión")&gt;0,"Comité Sup.",""),IF(COUNTIFS($E$5:$E$1000,E582,$C$5:$C$1000,"Consejo de Administración")&gt;0,"Consejo",""),IF(COUNTIFS($E$5:$E$1000,E582,$C$5:$C$1000,"Otros")&gt;0,"Otros","")))</f>
        <v/>
      </c>
      <c r="X582" s="24" t="str">
        <f aca="false">IF(E582="","",COUNTIFS($E$5:$E$1000,E582,$AB$5:$AB$1000,AB582,$C$5:$C$1000,"&lt;&gt;"&amp;C582))</f>
        <v/>
      </c>
      <c r="Y582" s="33"/>
      <c r="Z582" s="31"/>
      <c r="AA582" s="33"/>
      <c r="AB582" s="37" t="str">
        <f aca="false">IF(B582="","",YEAR(B582)*100+MONTH(B582))</f>
        <v/>
      </c>
      <c r="AC582" s="37" t="str">
        <f aca="false">IF(AND(E582&lt;&gt;"",E582=Cruce!$C$5),COUNTIF($E$5:E582,E582),"")</f>
        <v/>
      </c>
      <c r="AD582" s="37" t="str">
        <f aca="false">IF(E582="","",C582&amp;"|"&amp;Y582&amp;"|"&amp;IF(B582="","s/f",TEXT(B582,"yyyymmdd")))</f>
        <v/>
      </c>
      <c r="AE582" s="37" t="n">
        <f aca="false">IF(E582="",0,IF(COUNTIFS($E$5:E582,E582,$AD$5:AD582,AD582)=1,1,0))</f>
        <v>0</v>
      </c>
    </row>
    <row r="583" customFormat="false" ht="15" hidden="false" customHeight="true" outlineLevel="0" collapsed="false">
      <c r="A583" s="31"/>
      <c r="B583" s="30"/>
      <c r="C583" s="31"/>
      <c r="D583" s="31"/>
      <c r="E583" s="32"/>
      <c r="F583" s="32"/>
      <c r="G583" s="33"/>
      <c r="H583" s="31"/>
      <c r="I583" s="24" t="str">
        <f aca="false">IF(B583="","",YEAR(B583))</f>
        <v/>
      </c>
      <c r="J583" s="34" t="str">
        <f aca="false">IF(B583="","",IF(MONTH(B583)=1,"X",""))</f>
        <v/>
      </c>
      <c r="K583" s="34" t="str">
        <f aca="false">IF(B583="","",IF(MONTH(B583)=2,"X",""))</f>
        <v/>
      </c>
      <c r="L583" s="34" t="str">
        <f aca="false">IF(B583="","",IF(MONTH(B583)=3,"X",""))</f>
        <v/>
      </c>
      <c r="M583" s="34" t="str">
        <f aca="false">IF(B583="","",IF(MONTH(B583)=4,"X",""))</f>
        <v/>
      </c>
      <c r="N583" s="34" t="str">
        <f aca="false">IF(B583="","",IF(MONTH(B583)=5,"X",""))</f>
        <v/>
      </c>
      <c r="O583" s="34" t="str">
        <f aca="false">IF(B583="","",IF(MONTH(B583)=6,"X",""))</f>
        <v/>
      </c>
      <c r="P583" s="34" t="str">
        <f aca="false">IF(B583="","",IF(MONTH(B583)=7,"X",""))</f>
        <v/>
      </c>
      <c r="Q583" s="34" t="str">
        <f aca="false">IF(B583="","",IF(MONTH(B583)=8,"X",""))</f>
        <v/>
      </c>
      <c r="R583" s="34" t="str">
        <f aca="false">IF(B583="","",IF(MONTH(B583)=9,"X",""))</f>
        <v/>
      </c>
      <c r="S583" s="34" t="str">
        <f aca="false">IF(B583="","",IF(MONTH(B583)=10,"X",""))</f>
        <v/>
      </c>
      <c r="T583" s="34" t="str">
        <f aca="false">IF(B583="","",IF(MONTH(B583)=11,"X",""))</f>
        <v/>
      </c>
      <c r="U583" s="34" t="str">
        <f aca="false">IF(B583="","",IF(MONTH(B583)=12,"X",""))</f>
        <v/>
      </c>
      <c r="V583" s="24" t="str">
        <f aca="false">IF(E583="","",COUNTIF($E$5:$E$1000,E583))</f>
        <v/>
      </c>
      <c r="W583" s="35" t="str">
        <f aca="false">IF(E583="","",_xlfn.TEXTJOIN(" + ",TRUE(),IF(COUNTIFS($E$5:$E$1000,E583,$C$5:$C$1000,"Auditoría Interna")&gt;0,"Interna",""),IF(COUNTIFS($E$5:$E$1000,E583,$C$5:$C$1000,"Auditoría Externa")&gt;0,"Externa",""),IF(COUNTIFS($E$5:$E$1000,E583,$C$5:$C$1000,"SSF")&gt;0,"SSF",""),IF(COUNTIFS($E$5:$E$1000,E583,$C$5:$C$1000,"Comité de Supervisión")&gt;0,"Comité Sup.",""),IF(COUNTIFS($E$5:$E$1000,E583,$C$5:$C$1000,"Consejo de Administración")&gt;0,"Consejo",""),IF(COUNTIFS($E$5:$E$1000,E583,$C$5:$C$1000,"Otros")&gt;0,"Otros","")))</f>
        <v/>
      </c>
      <c r="X583" s="24" t="str">
        <f aca="false">IF(E583="","",COUNTIFS($E$5:$E$1000,E583,$AB$5:$AB$1000,AB583,$C$5:$C$1000,"&lt;&gt;"&amp;C583))</f>
        <v/>
      </c>
      <c r="Y583" s="33"/>
      <c r="Z583" s="31"/>
      <c r="AA583" s="33"/>
      <c r="AB583" s="37" t="str">
        <f aca="false">IF(B583="","",YEAR(B583)*100+MONTH(B583))</f>
        <v/>
      </c>
      <c r="AC583" s="37" t="str">
        <f aca="false">IF(AND(E583&lt;&gt;"",E583=Cruce!$C$5),COUNTIF($E$5:E583,E583),"")</f>
        <v/>
      </c>
      <c r="AD583" s="37" t="str">
        <f aca="false">IF(E583="","",C583&amp;"|"&amp;Y583&amp;"|"&amp;IF(B583="","s/f",TEXT(B583,"yyyymmdd")))</f>
        <v/>
      </c>
      <c r="AE583" s="37" t="n">
        <f aca="false">IF(E583="",0,IF(COUNTIFS($E$5:E583,E583,$AD$5:AD583,AD583)=1,1,0))</f>
        <v>0</v>
      </c>
    </row>
    <row r="584" customFormat="false" ht="15" hidden="false" customHeight="true" outlineLevel="0" collapsed="false">
      <c r="A584" s="31"/>
      <c r="B584" s="30"/>
      <c r="C584" s="31"/>
      <c r="D584" s="31"/>
      <c r="E584" s="32"/>
      <c r="F584" s="32"/>
      <c r="G584" s="33"/>
      <c r="H584" s="31"/>
      <c r="I584" s="24" t="str">
        <f aca="false">IF(B584="","",YEAR(B584))</f>
        <v/>
      </c>
      <c r="J584" s="34" t="str">
        <f aca="false">IF(B584="","",IF(MONTH(B584)=1,"X",""))</f>
        <v/>
      </c>
      <c r="K584" s="34" t="str">
        <f aca="false">IF(B584="","",IF(MONTH(B584)=2,"X",""))</f>
        <v/>
      </c>
      <c r="L584" s="34" t="str">
        <f aca="false">IF(B584="","",IF(MONTH(B584)=3,"X",""))</f>
        <v/>
      </c>
      <c r="M584" s="34" t="str">
        <f aca="false">IF(B584="","",IF(MONTH(B584)=4,"X",""))</f>
        <v/>
      </c>
      <c r="N584" s="34" t="str">
        <f aca="false">IF(B584="","",IF(MONTH(B584)=5,"X",""))</f>
        <v/>
      </c>
      <c r="O584" s="34" t="str">
        <f aca="false">IF(B584="","",IF(MONTH(B584)=6,"X",""))</f>
        <v/>
      </c>
      <c r="P584" s="34" t="str">
        <f aca="false">IF(B584="","",IF(MONTH(B584)=7,"X",""))</f>
        <v/>
      </c>
      <c r="Q584" s="34" t="str">
        <f aca="false">IF(B584="","",IF(MONTH(B584)=8,"X",""))</f>
        <v/>
      </c>
      <c r="R584" s="34" t="str">
        <f aca="false">IF(B584="","",IF(MONTH(B584)=9,"X",""))</f>
        <v/>
      </c>
      <c r="S584" s="34" t="str">
        <f aca="false">IF(B584="","",IF(MONTH(B584)=10,"X",""))</f>
        <v/>
      </c>
      <c r="T584" s="34" t="str">
        <f aca="false">IF(B584="","",IF(MONTH(B584)=11,"X",""))</f>
        <v/>
      </c>
      <c r="U584" s="34" t="str">
        <f aca="false">IF(B584="","",IF(MONTH(B584)=12,"X",""))</f>
        <v/>
      </c>
      <c r="V584" s="24" t="str">
        <f aca="false">IF(E584="","",COUNTIF($E$5:$E$1000,E584))</f>
        <v/>
      </c>
      <c r="W584" s="35" t="str">
        <f aca="false">IF(E584="","",_xlfn.TEXTJOIN(" + ",TRUE(),IF(COUNTIFS($E$5:$E$1000,E584,$C$5:$C$1000,"Auditoría Interna")&gt;0,"Interna",""),IF(COUNTIFS($E$5:$E$1000,E584,$C$5:$C$1000,"Auditoría Externa")&gt;0,"Externa",""),IF(COUNTIFS($E$5:$E$1000,E584,$C$5:$C$1000,"SSF")&gt;0,"SSF",""),IF(COUNTIFS($E$5:$E$1000,E584,$C$5:$C$1000,"Comité de Supervisión")&gt;0,"Comité Sup.",""),IF(COUNTIFS($E$5:$E$1000,E584,$C$5:$C$1000,"Consejo de Administración")&gt;0,"Consejo",""),IF(COUNTIFS($E$5:$E$1000,E584,$C$5:$C$1000,"Otros")&gt;0,"Otros","")))</f>
        <v/>
      </c>
      <c r="X584" s="24" t="str">
        <f aca="false">IF(E584="","",COUNTIFS($E$5:$E$1000,E584,$AB$5:$AB$1000,AB584,$C$5:$C$1000,"&lt;&gt;"&amp;C584))</f>
        <v/>
      </c>
      <c r="Y584" s="33"/>
      <c r="Z584" s="31"/>
      <c r="AA584" s="33"/>
      <c r="AB584" s="37" t="str">
        <f aca="false">IF(B584="","",YEAR(B584)*100+MONTH(B584))</f>
        <v/>
      </c>
      <c r="AC584" s="37" t="str">
        <f aca="false">IF(AND(E584&lt;&gt;"",E584=Cruce!$C$5),COUNTIF($E$5:E584,E584),"")</f>
        <v/>
      </c>
      <c r="AD584" s="37" t="str">
        <f aca="false">IF(E584="","",C584&amp;"|"&amp;Y584&amp;"|"&amp;IF(B584="","s/f",TEXT(B584,"yyyymmdd")))</f>
        <v/>
      </c>
      <c r="AE584" s="37" t="n">
        <f aca="false">IF(E584="",0,IF(COUNTIFS($E$5:E584,E584,$AD$5:AD584,AD584)=1,1,0))</f>
        <v>0</v>
      </c>
    </row>
    <row r="585" customFormat="false" ht="15" hidden="false" customHeight="true" outlineLevel="0" collapsed="false">
      <c r="A585" s="31"/>
      <c r="B585" s="30"/>
      <c r="C585" s="31"/>
      <c r="D585" s="31"/>
      <c r="E585" s="32"/>
      <c r="F585" s="32"/>
      <c r="G585" s="33"/>
      <c r="H585" s="31"/>
      <c r="I585" s="24" t="str">
        <f aca="false">IF(B585="","",YEAR(B585))</f>
        <v/>
      </c>
      <c r="J585" s="34" t="str">
        <f aca="false">IF(B585="","",IF(MONTH(B585)=1,"X",""))</f>
        <v/>
      </c>
      <c r="K585" s="34" t="str">
        <f aca="false">IF(B585="","",IF(MONTH(B585)=2,"X",""))</f>
        <v/>
      </c>
      <c r="L585" s="34" t="str">
        <f aca="false">IF(B585="","",IF(MONTH(B585)=3,"X",""))</f>
        <v/>
      </c>
      <c r="M585" s="34" t="str">
        <f aca="false">IF(B585="","",IF(MONTH(B585)=4,"X",""))</f>
        <v/>
      </c>
      <c r="N585" s="34" t="str">
        <f aca="false">IF(B585="","",IF(MONTH(B585)=5,"X",""))</f>
        <v/>
      </c>
      <c r="O585" s="34" t="str">
        <f aca="false">IF(B585="","",IF(MONTH(B585)=6,"X",""))</f>
        <v/>
      </c>
      <c r="P585" s="34" t="str">
        <f aca="false">IF(B585="","",IF(MONTH(B585)=7,"X",""))</f>
        <v/>
      </c>
      <c r="Q585" s="34" t="str">
        <f aca="false">IF(B585="","",IF(MONTH(B585)=8,"X",""))</f>
        <v/>
      </c>
      <c r="R585" s="34" t="str">
        <f aca="false">IF(B585="","",IF(MONTH(B585)=9,"X",""))</f>
        <v/>
      </c>
      <c r="S585" s="34" t="str">
        <f aca="false">IF(B585="","",IF(MONTH(B585)=10,"X",""))</f>
        <v/>
      </c>
      <c r="T585" s="34" t="str">
        <f aca="false">IF(B585="","",IF(MONTH(B585)=11,"X",""))</f>
        <v/>
      </c>
      <c r="U585" s="34" t="str">
        <f aca="false">IF(B585="","",IF(MONTH(B585)=12,"X",""))</f>
        <v/>
      </c>
      <c r="V585" s="24" t="str">
        <f aca="false">IF(E585="","",COUNTIF($E$5:$E$1000,E585))</f>
        <v/>
      </c>
      <c r="W585" s="35" t="str">
        <f aca="false">IF(E585="","",_xlfn.TEXTJOIN(" + ",TRUE(),IF(COUNTIFS($E$5:$E$1000,E585,$C$5:$C$1000,"Auditoría Interna")&gt;0,"Interna",""),IF(COUNTIFS($E$5:$E$1000,E585,$C$5:$C$1000,"Auditoría Externa")&gt;0,"Externa",""),IF(COUNTIFS($E$5:$E$1000,E585,$C$5:$C$1000,"SSF")&gt;0,"SSF",""),IF(COUNTIFS($E$5:$E$1000,E585,$C$5:$C$1000,"Comité de Supervisión")&gt;0,"Comité Sup.",""),IF(COUNTIFS($E$5:$E$1000,E585,$C$5:$C$1000,"Consejo de Administración")&gt;0,"Consejo",""),IF(COUNTIFS($E$5:$E$1000,E585,$C$5:$C$1000,"Otros")&gt;0,"Otros","")))</f>
        <v/>
      </c>
      <c r="X585" s="24" t="str">
        <f aca="false">IF(E585="","",COUNTIFS($E$5:$E$1000,E585,$AB$5:$AB$1000,AB585,$C$5:$C$1000,"&lt;&gt;"&amp;C585))</f>
        <v/>
      </c>
      <c r="Y585" s="33"/>
      <c r="Z585" s="31"/>
      <c r="AA585" s="33"/>
      <c r="AB585" s="37" t="str">
        <f aca="false">IF(B585="","",YEAR(B585)*100+MONTH(B585))</f>
        <v/>
      </c>
      <c r="AC585" s="37" t="str">
        <f aca="false">IF(AND(E585&lt;&gt;"",E585=Cruce!$C$5),COUNTIF($E$5:E585,E585),"")</f>
        <v/>
      </c>
      <c r="AD585" s="37" t="str">
        <f aca="false">IF(E585="","",C585&amp;"|"&amp;Y585&amp;"|"&amp;IF(B585="","s/f",TEXT(B585,"yyyymmdd")))</f>
        <v/>
      </c>
      <c r="AE585" s="37" t="n">
        <f aca="false">IF(E585="",0,IF(COUNTIFS($E$5:E585,E585,$AD$5:AD585,AD585)=1,1,0))</f>
        <v>0</v>
      </c>
    </row>
    <row r="586" customFormat="false" ht="15" hidden="false" customHeight="true" outlineLevel="0" collapsed="false">
      <c r="A586" s="31"/>
      <c r="B586" s="30"/>
      <c r="C586" s="31"/>
      <c r="D586" s="31"/>
      <c r="E586" s="32"/>
      <c r="F586" s="32"/>
      <c r="G586" s="33"/>
      <c r="H586" s="31"/>
      <c r="I586" s="24" t="str">
        <f aca="false">IF(B586="","",YEAR(B586))</f>
        <v/>
      </c>
      <c r="J586" s="34" t="str">
        <f aca="false">IF(B586="","",IF(MONTH(B586)=1,"X",""))</f>
        <v/>
      </c>
      <c r="K586" s="34" t="str">
        <f aca="false">IF(B586="","",IF(MONTH(B586)=2,"X",""))</f>
        <v/>
      </c>
      <c r="L586" s="34" t="str">
        <f aca="false">IF(B586="","",IF(MONTH(B586)=3,"X",""))</f>
        <v/>
      </c>
      <c r="M586" s="34" t="str">
        <f aca="false">IF(B586="","",IF(MONTH(B586)=4,"X",""))</f>
        <v/>
      </c>
      <c r="N586" s="34" t="str">
        <f aca="false">IF(B586="","",IF(MONTH(B586)=5,"X",""))</f>
        <v/>
      </c>
      <c r="O586" s="34" t="str">
        <f aca="false">IF(B586="","",IF(MONTH(B586)=6,"X",""))</f>
        <v/>
      </c>
      <c r="P586" s="34" t="str">
        <f aca="false">IF(B586="","",IF(MONTH(B586)=7,"X",""))</f>
        <v/>
      </c>
      <c r="Q586" s="34" t="str">
        <f aca="false">IF(B586="","",IF(MONTH(B586)=8,"X",""))</f>
        <v/>
      </c>
      <c r="R586" s="34" t="str">
        <f aca="false">IF(B586="","",IF(MONTH(B586)=9,"X",""))</f>
        <v/>
      </c>
      <c r="S586" s="34" t="str">
        <f aca="false">IF(B586="","",IF(MONTH(B586)=10,"X",""))</f>
        <v/>
      </c>
      <c r="T586" s="34" t="str">
        <f aca="false">IF(B586="","",IF(MONTH(B586)=11,"X",""))</f>
        <v/>
      </c>
      <c r="U586" s="34" t="str">
        <f aca="false">IF(B586="","",IF(MONTH(B586)=12,"X",""))</f>
        <v/>
      </c>
      <c r="V586" s="24" t="str">
        <f aca="false">IF(E586="","",COUNTIF($E$5:$E$1000,E586))</f>
        <v/>
      </c>
      <c r="W586" s="35" t="str">
        <f aca="false">IF(E586="","",_xlfn.TEXTJOIN(" + ",TRUE(),IF(COUNTIFS($E$5:$E$1000,E586,$C$5:$C$1000,"Auditoría Interna")&gt;0,"Interna",""),IF(COUNTIFS($E$5:$E$1000,E586,$C$5:$C$1000,"Auditoría Externa")&gt;0,"Externa",""),IF(COUNTIFS($E$5:$E$1000,E586,$C$5:$C$1000,"SSF")&gt;0,"SSF",""),IF(COUNTIFS($E$5:$E$1000,E586,$C$5:$C$1000,"Comité de Supervisión")&gt;0,"Comité Sup.",""),IF(COUNTIFS($E$5:$E$1000,E586,$C$5:$C$1000,"Consejo de Administración")&gt;0,"Consejo",""),IF(COUNTIFS($E$5:$E$1000,E586,$C$5:$C$1000,"Otros")&gt;0,"Otros","")))</f>
        <v/>
      </c>
      <c r="X586" s="24" t="str">
        <f aca="false">IF(E586="","",COUNTIFS($E$5:$E$1000,E586,$AB$5:$AB$1000,AB586,$C$5:$C$1000,"&lt;&gt;"&amp;C586))</f>
        <v/>
      </c>
      <c r="Y586" s="33"/>
      <c r="Z586" s="31"/>
      <c r="AA586" s="33"/>
      <c r="AB586" s="37" t="str">
        <f aca="false">IF(B586="","",YEAR(B586)*100+MONTH(B586))</f>
        <v/>
      </c>
      <c r="AC586" s="37" t="str">
        <f aca="false">IF(AND(E586&lt;&gt;"",E586=Cruce!$C$5),COUNTIF($E$5:E586,E586),"")</f>
        <v/>
      </c>
      <c r="AD586" s="37" t="str">
        <f aca="false">IF(E586="","",C586&amp;"|"&amp;Y586&amp;"|"&amp;IF(B586="","s/f",TEXT(B586,"yyyymmdd")))</f>
        <v/>
      </c>
      <c r="AE586" s="37" t="n">
        <f aca="false">IF(E586="",0,IF(COUNTIFS($E$5:E586,E586,$AD$5:AD586,AD586)=1,1,0))</f>
        <v>0</v>
      </c>
    </row>
    <row r="587" customFormat="false" ht="15" hidden="false" customHeight="true" outlineLevel="0" collapsed="false">
      <c r="A587" s="31"/>
      <c r="B587" s="30"/>
      <c r="C587" s="31"/>
      <c r="D587" s="31"/>
      <c r="E587" s="32"/>
      <c r="F587" s="32"/>
      <c r="G587" s="33"/>
      <c r="H587" s="31"/>
      <c r="I587" s="24" t="str">
        <f aca="false">IF(B587="","",YEAR(B587))</f>
        <v/>
      </c>
      <c r="J587" s="34" t="str">
        <f aca="false">IF(B587="","",IF(MONTH(B587)=1,"X",""))</f>
        <v/>
      </c>
      <c r="K587" s="34" t="str">
        <f aca="false">IF(B587="","",IF(MONTH(B587)=2,"X",""))</f>
        <v/>
      </c>
      <c r="L587" s="34" t="str">
        <f aca="false">IF(B587="","",IF(MONTH(B587)=3,"X",""))</f>
        <v/>
      </c>
      <c r="M587" s="34" t="str">
        <f aca="false">IF(B587="","",IF(MONTH(B587)=4,"X",""))</f>
        <v/>
      </c>
      <c r="N587" s="34" t="str">
        <f aca="false">IF(B587="","",IF(MONTH(B587)=5,"X",""))</f>
        <v/>
      </c>
      <c r="O587" s="34" t="str">
        <f aca="false">IF(B587="","",IF(MONTH(B587)=6,"X",""))</f>
        <v/>
      </c>
      <c r="P587" s="34" t="str">
        <f aca="false">IF(B587="","",IF(MONTH(B587)=7,"X",""))</f>
        <v/>
      </c>
      <c r="Q587" s="34" t="str">
        <f aca="false">IF(B587="","",IF(MONTH(B587)=8,"X",""))</f>
        <v/>
      </c>
      <c r="R587" s="34" t="str">
        <f aca="false">IF(B587="","",IF(MONTH(B587)=9,"X",""))</f>
        <v/>
      </c>
      <c r="S587" s="34" t="str">
        <f aca="false">IF(B587="","",IF(MONTH(B587)=10,"X",""))</f>
        <v/>
      </c>
      <c r="T587" s="34" t="str">
        <f aca="false">IF(B587="","",IF(MONTH(B587)=11,"X",""))</f>
        <v/>
      </c>
      <c r="U587" s="34" t="str">
        <f aca="false">IF(B587="","",IF(MONTH(B587)=12,"X",""))</f>
        <v/>
      </c>
      <c r="V587" s="24" t="str">
        <f aca="false">IF(E587="","",COUNTIF($E$5:$E$1000,E587))</f>
        <v/>
      </c>
      <c r="W587" s="35" t="str">
        <f aca="false">IF(E587="","",_xlfn.TEXTJOIN(" + ",TRUE(),IF(COUNTIFS($E$5:$E$1000,E587,$C$5:$C$1000,"Auditoría Interna")&gt;0,"Interna",""),IF(COUNTIFS($E$5:$E$1000,E587,$C$5:$C$1000,"Auditoría Externa")&gt;0,"Externa",""),IF(COUNTIFS($E$5:$E$1000,E587,$C$5:$C$1000,"SSF")&gt;0,"SSF",""),IF(COUNTIFS($E$5:$E$1000,E587,$C$5:$C$1000,"Comité de Supervisión")&gt;0,"Comité Sup.",""),IF(COUNTIFS($E$5:$E$1000,E587,$C$5:$C$1000,"Consejo de Administración")&gt;0,"Consejo",""),IF(COUNTIFS($E$5:$E$1000,E587,$C$5:$C$1000,"Otros")&gt;0,"Otros","")))</f>
        <v/>
      </c>
      <c r="X587" s="24" t="str">
        <f aca="false">IF(E587="","",COUNTIFS($E$5:$E$1000,E587,$AB$5:$AB$1000,AB587,$C$5:$C$1000,"&lt;&gt;"&amp;C587))</f>
        <v/>
      </c>
      <c r="Y587" s="33"/>
      <c r="Z587" s="31"/>
      <c r="AA587" s="33"/>
      <c r="AB587" s="37" t="str">
        <f aca="false">IF(B587="","",YEAR(B587)*100+MONTH(B587))</f>
        <v/>
      </c>
      <c r="AC587" s="37" t="str">
        <f aca="false">IF(AND(E587&lt;&gt;"",E587=Cruce!$C$5),COUNTIF($E$5:E587,E587),"")</f>
        <v/>
      </c>
      <c r="AD587" s="37" t="str">
        <f aca="false">IF(E587="","",C587&amp;"|"&amp;Y587&amp;"|"&amp;IF(B587="","s/f",TEXT(B587,"yyyymmdd")))</f>
        <v/>
      </c>
      <c r="AE587" s="37" t="n">
        <f aca="false">IF(E587="",0,IF(COUNTIFS($E$5:E587,E587,$AD$5:AD587,AD587)=1,1,0))</f>
        <v>0</v>
      </c>
    </row>
    <row r="588" customFormat="false" ht="15" hidden="false" customHeight="true" outlineLevel="0" collapsed="false">
      <c r="A588" s="31"/>
      <c r="B588" s="30"/>
      <c r="C588" s="31"/>
      <c r="D588" s="31"/>
      <c r="E588" s="32"/>
      <c r="F588" s="32"/>
      <c r="G588" s="33"/>
      <c r="H588" s="31"/>
      <c r="I588" s="24" t="str">
        <f aca="false">IF(B588="","",YEAR(B588))</f>
        <v/>
      </c>
      <c r="J588" s="34" t="str">
        <f aca="false">IF(B588="","",IF(MONTH(B588)=1,"X",""))</f>
        <v/>
      </c>
      <c r="K588" s="34" t="str">
        <f aca="false">IF(B588="","",IF(MONTH(B588)=2,"X",""))</f>
        <v/>
      </c>
      <c r="L588" s="34" t="str">
        <f aca="false">IF(B588="","",IF(MONTH(B588)=3,"X",""))</f>
        <v/>
      </c>
      <c r="M588" s="34" t="str">
        <f aca="false">IF(B588="","",IF(MONTH(B588)=4,"X",""))</f>
        <v/>
      </c>
      <c r="N588" s="34" t="str">
        <f aca="false">IF(B588="","",IF(MONTH(B588)=5,"X",""))</f>
        <v/>
      </c>
      <c r="O588" s="34" t="str">
        <f aca="false">IF(B588="","",IF(MONTH(B588)=6,"X",""))</f>
        <v/>
      </c>
      <c r="P588" s="34" t="str">
        <f aca="false">IF(B588="","",IF(MONTH(B588)=7,"X",""))</f>
        <v/>
      </c>
      <c r="Q588" s="34" t="str">
        <f aca="false">IF(B588="","",IF(MONTH(B588)=8,"X",""))</f>
        <v/>
      </c>
      <c r="R588" s="34" t="str">
        <f aca="false">IF(B588="","",IF(MONTH(B588)=9,"X",""))</f>
        <v/>
      </c>
      <c r="S588" s="34" t="str">
        <f aca="false">IF(B588="","",IF(MONTH(B588)=10,"X",""))</f>
        <v/>
      </c>
      <c r="T588" s="34" t="str">
        <f aca="false">IF(B588="","",IF(MONTH(B588)=11,"X",""))</f>
        <v/>
      </c>
      <c r="U588" s="34" t="str">
        <f aca="false">IF(B588="","",IF(MONTH(B588)=12,"X",""))</f>
        <v/>
      </c>
      <c r="V588" s="24" t="str">
        <f aca="false">IF(E588="","",COUNTIF($E$5:$E$1000,E588))</f>
        <v/>
      </c>
      <c r="W588" s="35" t="str">
        <f aca="false">IF(E588="","",_xlfn.TEXTJOIN(" + ",TRUE(),IF(COUNTIFS($E$5:$E$1000,E588,$C$5:$C$1000,"Auditoría Interna")&gt;0,"Interna",""),IF(COUNTIFS($E$5:$E$1000,E588,$C$5:$C$1000,"Auditoría Externa")&gt;0,"Externa",""),IF(COUNTIFS($E$5:$E$1000,E588,$C$5:$C$1000,"SSF")&gt;0,"SSF",""),IF(COUNTIFS($E$5:$E$1000,E588,$C$5:$C$1000,"Comité de Supervisión")&gt;0,"Comité Sup.",""),IF(COUNTIFS($E$5:$E$1000,E588,$C$5:$C$1000,"Consejo de Administración")&gt;0,"Consejo",""),IF(COUNTIFS($E$5:$E$1000,E588,$C$5:$C$1000,"Otros")&gt;0,"Otros","")))</f>
        <v/>
      </c>
      <c r="X588" s="24" t="str">
        <f aca="false">IF(E588="","",COUNTIFS($E$5:$E$1000,E588,$AB$5:$AB$1000,AB588,$C$5:$C$1000,"&lt;&gt;"&amp;C588))</f>
        <v/>
      </c>
      <c r="Y588" s="33"/>
      <c r="Z588" s="31"/>
      <c r="AA588" s="33"/>
      <c r="AB588" s="37" t="str">
        <f aca="false">IF(B588="","",YEAR(B588)*100+MONTH(B588))</f>
        <v/>
      </c>
      <c r="AC588" s="37" t="str">
        <f aca="false">IF(AND(E588&lt;&gt;"",E588=Cruce!$C$5),COUNTIF($E$5:E588,E588),"")</f>
        <v/>
      </c>
      <c r="AD588" s="37" t="str">
        <f aca="false">IF(E588="","",C588&amp;"|"&amp;Y588&amp;"|"&amp;IF(B588="","s/f",TEXT(B588,"yyyymmdd")))</f>
        <v/>
      </c>
      <c r="AE588" s="37" t="n">
        <f aca="false">IF(E588="",0,IF(COUNTIFS($E$5:E588,E588,$AD$5:AD588,AD588)=1,1,0))</f>
        <v>0</v>
      </c>
    </row>
    <row r="589" customFormat="false" ht="15" hidden="false" customHeight="true" outlineLevel="0" collapsed="false">
      <c r="A589" s="31"/>
      <c r="B589" s="30"/>
      <c r="C589" s="31"/>
      <c r="D589" s="31"/>
      <c r="E589" s="32"/>
      <c r="F589" s="32"/>
      <c r="G589" s="33"/>
      <c r="H589" s="31"/>
      <c r="I589" s="24" t="str">
        <f aca="false">IF(B589="","",YEAR(B589))</f>
        <v/>
      </c>
      <c r="J589" s="34" t="str">
        <f aca="false">IF(B589="","",IF(MONTH(B589)=1,"X",""))</f>
        <v/>
      </c>
      <c r="K589" s="34" t="str">
        <f aca="false">IF(B589="","",IF(MONTH(B589)=2,"X",""))</f>
        <v/>
      </c>
      <c r="L589" s="34" t="str">
        <f aca="false">IF(B589="","",IF(MONTH(B589)=3,"X",""))</f>
        <v/>
      </c>
      <c r="M589" s="34" t="str">
        <f aca="false">IF(B589="","",IF(MONTH(B589)=4,"X",""))</f>
        <v/>
      </c>
      <c r="N589" s="34" t="str">
        <f aca="false">IF(B589="","",IF(MONTH(B589)=5,"X",""))</f>
        <v/>
      </c>
      <c r="O589" s="34" t="str">
        <f aca="false">IF(B589="","",IF(MONTH(B589)=6,"X",""))</f>
        <v/>
      </c>
      <c r="P589" s="34" t="str">
        <f aca="false">IF(B589="","",IF(MONTH(B589)=7,"X",""))</f>
        <v/>
      </c>
      <c r="Q589" s="34" t="str">
        <f aca="false">IF(B589="","",IF(MONTH(B589)=8,"X",""))</f>
        <v/>
      </c>
      <c r="R589" s="34" t="str">
        <f aca="false">IF(B589="","",IF(MONTH(B589)=9,"X",""))</f>
        <v/>
      </c>
      <c r="S589" s="34" t="str">
        <f aca="false">IF(B589="","",IF(MONTH(B589)=10,"X",""))</f>
        <v/>
      </c>
      <c r="T589" s="34" t="str">
        <f aca="false">IF(B589="","",IF(MONTH(B589)=11,"X",""))</f>
        <v/>
      </c>
      <c r="U589" s="34" t="str">
        <f aca="false">IF(B589="","",IF(MONTH(B589)=12,"X",""))</f>
        <v/>
      </c>
      <c r="V589" s="24" t="str">
        <f aca="false">IF(E589="","",COUNTIF($E$5:$E$1000,E589))</f>
        <v/>
      </c>
      <c r="W589" s="35" t="str">
        <f aca="false">IF(E589="","",_xlfn.TEXTJOIN(" + ",TRUE(),IF(COUNTIFS($E$5:$E$1000,E589,$C$5:$C$1000,"Auditoría Interna")&gt;0,"Interna",""),IF(COUNTIFS($E$5:$E$1000,E589,$C$5:$C$1000,"Auditoría Externa")&gt;0,"Externa",""),IF(COUNTIFS($E$5:$E$1000,E589,$C$5:$C$1000,"SSF")&gt;0,"SSF",""),IF(COUNTIFS($E$5:$E$1000,E589,$C$5:$C$1000,"Comité de Supervisión")&gt;0,"Comité Sup.",""),IF(COUNTIFS($E$5:$E$1000,E589,$C$5:$C$1000,"Consejo de Administración")&gt;0,"Consejo",""),IF(COUNTIFS($E$5:$E$1000,E589,$C$5:$C$1000,"Otros")&gt;0,"Otros","")))</f>
        <v/>
      </c>
      <c r="X589" s="24" t="str">
        <f aca="false">IF(E589="","",COUNTIFS($E$5:$E$1000,E589,$AB$5:$AB$1000,AB589,$C$5:$C$1000,"&lt;&gt;"&amp;C589))</f>
        <v/>
      </c>
      <c r="Y589" s="33"/>
      <c r="Z589" s="31"/>
      <c r="AA589" s="33"/>
      <c r="AB589" s="37" t="str">
        <f aca="false">IF(B589="","",YEAR(B589)*100+MONTH(B589))</f>
        <v/>
      </c>
      <c r="AC589" s="37" t="str">
        <f aca="false">IF(AND(E589&lt;&gt;"",E589=Cruce!$C$5),COUNTIF($E$5:E589,E589),"")</f>
        <v/>
      </c>
      <c r="AD589" s="37" t="str">
        <f aca="false">IF(E589="","",C589&amp;"|"&amp;Y589&amp;"|"&amp;IF(B589="","s/f",TEXT(B589,"yyyymmdd")))</f>
        <v/>
      </c>
      <c r="AE589" s="37" t="n">
        <f aca="false">IF(E589="",0,IF(COUNTIFS($E$5:E589,E589,$AD$5:AD589,AD589)=1,1,0))</f>
        <v>0</v>
      </c>
    </row>
    <row r="590" customFormat="false" ht="15" hidden="false" customHeight="true" outlineLevel="0" collapsed="false">
      <c r="A590" s="31"/>
      <c r="B590" s="30"/>
      <c r="C590" s="31"/>
      <c r="D590" s="31"/>
      <c r="E590" s="32"/>
      <c r="F590" s="32"/>
      <c r="G590" s="33"/>
      <c r="H590" s="31"/>
      <c r="I590" s="24" t="str">
        <f aca="false">IF(B590="","",YEAR(B590))</f>
        <v/>
      </c>
      <c r="J590" s="34" t="str">
        <f aca="false">IF(B590="","",IF(MONTH(B590)=1,"X",""))</f>
        <v/>
      </c>
      <c r="K590" s="34" t="str">
        <f aca="false">IF(B590="","",IF(MONTH(B590)=2,"X",""))</f>
        <v/>
      </c>
      <c r="L590" s="34" t="str">
        <f aca="false">IF(B590="","",IF(MONTH(B590)=3,"X",""))</f>
        <v/>
      </c>
      <c r="M590" s="34" t="str">
        <f aca="false">IF(B590="","",IF(MONTH(B590)=4,"X",""))</f>
        <v/>
      </c>
      <c r="N590" s="34" t="str">
        <f aca="false">IF(B590="","",IF(MONTH(B590)=5,"X",""))</f>
        <v/>
      </c>
      <c r="O590" s="34" t="str">
        <f aca="false">IF(B590="","",IF(MONTH(B590)=6,"X",""))</f>
        <v/>
      </c>
      <c r="P590" s="34" t="str">
        <f aca="false">IF(B590="","",IF(MONTH(B590)=7,"X",""))</f>
        <v/>
      </c>
      <c r="Q590" s="34" t="str">
        <f aca="false">IF(B590="","",IF(MONTH(B590)=8,"X",""))</f>
        <v/>
      </c>
      <c r="R590" s="34" t="str">
        <f aca="false">IF(B590="","",IF(MONTH(B590)=9,"X",""))</f>
        <v/>
      </c>
      <c r="S590" s="34" t="str">
        <f aca="false">IF(B590="","",IF(MONTH(B590)=10,"X",""))</f>
        <v/>
      </c>
      <c r="T590" s="34" t="str">
        <f aca="false">IF(B590="","",IF(MONTH(B590)=11,"X",""))</f>
        <v/>
      </c>
      <c r="U590" s="34" t="str">
        <f aca="false">IF(B590="","",IF(MONTH(B590)=12,"X",""))</f>
        <v/>
      </c>
      <c r="V590" s="24" t="str">
        <f aca="false">IF(E590="","",COUNTIF($E$5:$E$1000,E590))</f>
        <v/>
      </c>
      <c r="W590" s="35" t="str">
        <f aca="false">IF(E590="","",_xlfn.TEXTJOIN(" + ",TRUE(),IF(COUNTIFS($E$5:$E$1000,E590,$C$5:$C$1000,"Auditoría Interna")&gt;0,"Interna",""),IF(COUNTIFS($E$5:$E$1000,E590,$C$5:$C$1000,"Auditoría Externa")&gt;0,"Externa",""),IF(COUNTIFS($E$5:$E$1000,E590,$C$5:$C$1000,"SSF")&gt;0,"SSF",""),IF(COUNTIFS($E$5:$E$1000,E590,$C$5:$C$1000,"Comité de Supervisión")&gt;0,"Comité Sup.",""),IF(COUNTIFS($E$5:$E$1000,E590,$C$5:$C$1000,"Consejo de Administración")&gt;0,"Consejo",""),IF(COUNTIFS($E$5:$E$1000,E590,$C$5:$C$1000,"Otros")&gt;0,"Otros","")))</f>
        <v/>
      </c>
      <c r="X590" s="24" t="str">
        <f aca="false">IF(E590="","",COUNTIFS($E$5:$E$1000,E590,$AB$5:$AB$1000,AB590,$C$5:$C$1000,"&lt;&gt;"&amp;C590))</f>
        <v/>
      </c>
      <c r="Y590" s="33"/>
      <c r="Z590" s="31"/>
      <c r="AA590" s="33"/>
      <c r="AB590" s="37" t="str">
        <f aca="false">IF(B590="","",YEAR(B590)*100+MONTH(B590))</f>
        <v/>
      </c>
      <c r="AC590" s="37" t="str">
        <f aca="false">IF(AND(E590&lt;&gt;"",E590=Cruce!$C$5),COUNTIF($E$5:E590,E590),"")</f>
        <v/>
      </c>
      <c r="AD590" s="37" t="str">
        <f aca="false">IF(E590="","",C590&amp;"|"&amp;Y590&amp;"|"&amp;IF(B590="","s/f",TEXT(B590,"yyyymmdd")))</f>
        <v/>
      </c>
      <c r="AE590" s="37" t="n">
        <f aca="false">IF(E590="",0,IF(COUNTIFS($E$5:E590,E590,$AD$5:AD590,AD590)=1,1,0))</f>
        <v>0</v>
      </c>
    </row>
    <row r="591" customFormat="false" ht="15" hidden="false" customHeight="true" outlineLevel="0" collapsed="false">
      <c r="A591" s="31"/>
      <c r="B591" s="30"/>
      <c r="C591" s="31"/>
      <c r="D591" s="31"/>
      <c r="E591" s="32"/>
      <c r="F591" s="32"/>
      <c r="G591" s="33"/>
      <c r="H591" s="31"/>
      <c r="I591" s="24" t="str">
        <f aca="false">IF(B591="","",YEAR(B591))</f>
        <v/>
      </c>
      <c r="J591" s="34" t="str">
        <f aca="false">IF(B591="","",IF(MONTH(B591)=1,"X",""))</f>
        <v/>
      </c>
      <c r="K591" s="34" t="str">
        <f aca="false">IF(B591="","",IF(MONTH(B591)=2,"X",""))</f>
        <v/>
      </c>
      <c r="L591" s="34" t="str">
        <f aca="false">IF(B591="","",IF(MONTH(B591)=3,"X",""))</f>
        <v/>
      </c>
      <c r="M591" s="34" t="str">
        <f aca="false">IF(B591="","",IF(MONTH(B591)=4,"X",""))</f>
        <v/>
      </c>
      <c r="N591" s="34" t="str">
        <f aca="false">IF(B591="","",IF(MONTH(B591)=5,"X",""))</f>
        <v/>
      </c>
      <c r="O591" s="34" t="str">
        <f aca="false">IF(B591="","",IF(MONTH(B591)=6,"X",""))</f>
        <v/>
      </c>
      <c r="P591" s="34" t="str">
        <f aca="false">IF(B591="","",IF(MONTH(B591)=7,"X",""))</f>
        <v/>
      </c>
      <c r="Q591" s="34" t="str">
        <f aca="false">IF(B591="","",IF(MONTH(B591)=8,"X",""))</f>
        <v/>
      </c>
      <c r="R591" s="34" t="str">
        <f aca="false">IF(B591="","",IF(MONTH(B591)=9,"X",""))</f>
        <v/>
      </c>
      <c r="S591" s="34" t="str">
        <f aca="false">IF(B591="","",IF(MONTH(B591)=10,"X",""))</f>
        <v/>
      </c>
      <c r="T591" s="34" t="str">
        <f aca="false">IF(B591="","",IF(MONTH(B591)=11,"X",""))</f>
        <v/>
      </c>
      <c r="U591" s="34" t="str">
        <f aca="false">IF(B591="","",IF(MONTH(B591)=12,"X",""))</f>
        <v/>
      </c>
      <c r="V591" s="24" t="str">
        <f aca="false">IF(E591="","",COUNTIF($E$5:$E$1000,E591))</f>
        <v/>
      </c>
      <c r="W591" s="35" t="str">
        <f aca="false">IF(E591="","",_xlfn.TEXTJOIN(" + ",TRUE(),IF(COUNTIFS($E$5:$E$1000,E591,$C$5:$C$1000,"Auditoría Interna")&gt;0,"Interna",""),IF(COUNTIFS($E$5:$E$1000,E591,$C$5:$C$1000,"Auditoría Externa")&gt;0,"Externa",""),IF(COUNTIFS($E$5:$E$1000,E591,$C$5:$C$1000,"SSF")&gt;0,"SSF",""),IF(COUNTIFS($E$5:$E$1000,E591,$C$5:$C$1000,"Comité de Supervisión")&gt;0,"Comité Sup.",""),IF(COUNTIFS($E$5:$E$1000,E591,$C$5:$C$1000,"Consejo de Administración")&gt;0,"Consejo",""),IF(COUNTIFS($E$5:$E$1000,E591,$C$5:$C$1000,"Otros")&gt;0,"Otros","")))</f>
        <v/>
      </c>
      <c r="X591" s="24" t="str">
        <f aca="false">IF(E591="","",COUNTIFS($E$5:$E$1000,E591,$AB$5:$AB$1000,AB591,$C$5:$C$1000,"&lt;&gt;"&amp;C591))</f>
        <v/>
      </c>
      <c r="Y591" s="33"/>
      <c r="Z591" s="31"/>
      <c r="AA591" s="33"/>
      <c r="AB591" s="37" t="str">
        <f aca="false">IF(B591="","",YEAR(B591)*100+MONTH(B591))</f>
        <v/>
      </c>
      <c r="AC591" s="37" t="str">
        <f aca="false">IF(AND(E591&lt;&gt;"",E591=Cruce!$C$5),COUNTIF($E$5:E591,E591),"")</f>
        <v/>
      </c>
      <c r="AD591" s="37" t="str">
        <f aca="false">IF(E591="","",C591&amp;"|"&amp;Y591&amp;"|"&amp;IF(B591="","s/f",TEXT(B591,"yyyymmdd")))</f>
        <v/>
      </c>
      <c r="AE591" s="37" t="n">
        <f aca="false">IF(E591="",0,IF(COUNTIFS($E$5:E591,E591,$AD$5:AD591,AD591)=1,1,0))</f>
        <v>0</v>
      </c>
    </row>
    <row r="592" customFormat="false" ht="15" hidden="false" customHeight="true" outlineLevel="0" collapsed="false">
      <c r="A592" s="31"/>
      <c r="B592" s="30"/>
      <c r="C592" s="31"/>
      <c r="D592" s="31"/>
      <c r="E592" s="32"/>
      <c r="F592" s="32"/>
      <c r="G592" s="33"/>
      <c r="H592" s="31"/>
      <c r="I592" s="24" t="str">
        <f aca="false">IF(B592="","",YEAR(B592))</f>
        <v/>
      </c>
      <c r="J592" s="34" t="str">
        <f aca="false">IF(B592="","",IF(MONTH(B592)=1,"X",""))</f>
        <v/>
      </c>
      <c r="K592" s="34" t="str">
        <f aca="false">IF(B592="","",IF(MONTH(B592)=2,"X",""))</f>
        <v/>
      </c>
      <c r="L592" s="34" t="str">
        <f aca="false">IF(B592="","",IF(MONTH(B592)=3,"X",""))</f>
        <v/>
      </c>
      <c r="M592" s="34" t="str">
        <f aca="false">IF(B592="","",IF(MONTH(B592)=4,"X",""))</f>
        <v/>
      </c>
      <c r="N592" s="34" t="str">
        <f aca="false">IF(B592="","",IF(MONTH(B592)=5,"X",""))</f>
        <v/>
      </c>
      <c r="O592" s="34" t="str">
        <f aca="false">IF(B592="","",IF(MONTH(B592)=6,"X",""))</f>
        <v/>
      </c>
      <c r="P592" s="34" t="str">
        <f aca="false">IF(B592="","",IF(MONTH(B592)=7,"X",""))</f>
        <v/>
      </c>
      <c r="Q592" s="34" t="str">
        <f aca="false">IF(B592="","",IF(MONTH(B592)=8,"X",""))</f>
        <v/>
      </c>
      <c r="R592" s="34" t="str">
        <f aca="false">IF(B592="","",IF(MONTH(B592)=9,"X",""))</f>
        <v/>
      </c>
      <c r="S592" s="34" t="str">
        <f aca="false">IF(B592="","",IF(MONTH(B592)=10,"X",""))</f>
        <v/>
      </c>
      <c r="T592" s="34" t="str">
        <f aca="false">IF(B592="","",IF(MONTH(B592)=11,"X",""))</f>
        <v/>
      </c>
      <c r="U592" s="34" t="str">
        <f aca="false">IF(B592="","",IF(MONTH(B592)=12,"X",""))</f>
        <v/>
      </c>
      <c r="V592" s="24" t="str">
        <f aca="false">IF(E592="","",COUNTIF($E$5:$E$1000,E592))</f>
        <v/>
      </c>
      <c r="W592" s="35" t="str">
        <f aca="false">IF(E592="","",_xlfn.TEXTJOIN(" + ",TRUE(),IF(COUNTIFS($E$5:$E$1000,E592,$C$5:$C$1000,"Auditoría Interna")&gt;0,"Interna",""),IF(COUNTIFS($E$5:$E$1000,E592,$C$5:$C$1000,"Auditoría Externa")&gt;0,"Externa",""),IF(COUNTIFS($E$5:$E$1000,E592,$C$5:$C$1000,"SSF")&gt;0,"SSF",""),IF(COUNTIFS($E$5:$E$1000,E592,$C$5:$C$1000,"Comité de Supervisión")&gt;0,"Comité Sup.",""),IF(COUNTIFS($E$5:$E$1000,E592,$C$5:$C$1000,"Consejo de Administración")&gt;0,"Consejo",""),IF(COUNTIFS($E$5:$E$1000,E592,$C$5:$C$1000,"Otros")&gt;0,"Otros","")))</f>
        <v/>
      </c>
      <c r="X592" s="24" t="str">
        <f aca="false">IF(E592="","",COUNTIFS($E$5:$E$1000,E592,$AB$5:$AB$1000,AB592,$C$5:$C$1000,"&lt;&gt;"&amp;C592))</f>
        <v/>
      </c>
      <c r="Y592" s="33"/>
      <c r="Z592" s="31"/>
      <c r="AA592" s="33"/>
      <c r="AB592" s="37" t="str">
        <f aca="false">IF(B592="","",YEAR(B592)*100+MONTH(B592))</f>
        <v/>
      </c>
      <c r="AC592" s="37" t="str">
        <f aca="false">IF(AND(E592&lt;&gt;"",E592=Cruce!$C$5),COUNTIF($E$5:E592,E592),"")</f>
        <v/>
      </c>
      <c r="AD592" s="37" t="str">
        <f aca="false">IF(E592="","",C592&amp;"|"&amp;Y592&amp;"|"&amp;IF(B592="","s/f",TEXT(B592,"yyyymmdd")))</f>
        <v/>
      </c>
      <c r="AE592" s="37" t="n">
        <f aca="false">IF(E592="",0,IF(COUNTIFS($E$5:E592,E592,$AD$5:AD592,AD592)=1,1,0))</f>
        <v>0</v>
      </c>
    </row>
    <row r="593" customFormat="false" ht="15" hidden="false" customHeight="true" outlineLevel="0" collapsed="false">
      <c r="A593" s="31"/>
      <c r="B593" s="30"/>
      <c r="C593" s="31"/>
      <c r="D593" s="31"/>
      <c r="E593" s="32"/>
      <c r="F593" s="32"/>
      <c r="G593" s="33"/>
      <c r="H593" s="31"/>
      <c r="I593" s="24" t="str">
        <f aca="false">IF(B593="","",YEAR(B593))</f>
        <v/>
      </c>
      <c r="J593" s="34" t="str">
        <f aca="false">IF(B593="","",IF(MONTH(B593)=1,"X",""))</f>
        <v/>
      </c>
      <c r="K593" s="34" t="str">
        <f aca="false">IF(B593="","",IF(MONTH(B593)=2,"X",""))</f>
        <v/>
      </c>
      <c r="L593" s="34" t="str">
        <f aca="false">IF(B593="","",IF(MONTH(B593)=3,"X",""))</f>
        <v/>
      </c>
      <c r="M593" s="34" t="str">
        <f aca="false">IF(B593="","",IF(MONTH(B593)=4,"X",""))</f>
        <v/>
      </c>
      <c r="N593" s="34" t="str">
        <f aca="false">IF(B593="","",IF(MONTH(B593)=5,"X",""))</f>
        <v/>
      </c>
      <c r="O593" s="34" t="str">
        <f aca="false">IF(B593="","",IF(MONTH(B593)=6,"X",""))</f>
        <v/>
      </c>
      <c r="P593" s="34" t="str">
        <f aca="false">IF(B593="","",IF(MONTH(B593)=7,"X",""))</f>
        <v/>
      </c>
      <c r="Q593" s="34" t="str">
        <f aca="false">IF(B593="","",IF(MONTH(B593)=8,"X",""))</f>
        <v/>
      </c>
      <c r="R593" s="34" t="str">
        <f aca="false">IF(B593="","",IF(MONTH(B593)=9,"X",""))</f>
        <v/>
      </c>
      <c r="S593" s="34" t="str">
        <f aca="false">IF(B593="","",IF(MONTH(B593)=10,"X",""))</f>
        <v/>
      </c>
      <c r="T593" s="34" t="str">
        <f aca="false">IF(B593="","",IF(MONTH(B593)=11,"X",""))</f>
        <v/>
      </c>
      <c r="U593" s="34" t="str">
        <f aca="false">IF(B593="","",IF(MONTH(B593)=12,"X",""))</f>
        <v/>
      </c>
      <c r="V593" s="24" t="str">
        <f aca="false">IF(E593="","",COUNTIF($E$5:$E$1000,E593))</f>
        <v/>
      </c>
      <c r="W593" s="35" t="str">
        <f aca="false">IF(E593="","",_xlfn.TEXTJOIN(" + ",TRUE(),IF(COUNTIFS($E$5:$E$1000,E593,$C$5:$C$1000,"Auditoría Interna")&gt;0,"Interna",""),IF(COUNTIFS($E$5:$E$1000,E593,$C$5:$C$1000,"Auditoría Externa")&gt;0,"Externa",""),IF(COUNTIFS($E$5:$E$1000,E593,$C$5:$C$1000,"SSF")&gt;0,"SSF",""),IF(COUNTIFS($E$5:$E$1000,E593,$C$5:$C$1000,"Comité de Supervisión")&gt;0,"Comité Sup.",""),IF(COUNTIFS($E$5:$E$1000,E593,$C$5:$C$1000,"Consejo de Administración")&gt;0,"Consejo",""),IF(COUNTIFS($E$5:$E$1000,E593,$C$5:$C$1000,"Otros")&gt;0,"Otros","")))</f>
        <v/>
      </c>
      <c r="X593" s="24" t="str">
        <f aca="false">IF(E593="","",COUNTIFS($E$5:$E$1000,E593,$AB$5:$AB$1000,AB593,$C$5:$C$1000,"&lt;&gt;"&amp;C593))</f>
        <v/>
      </c>
      <c r="Y593" s="33"/>
      <c r="Z593" s="31"/>
      <c r="AA593" s="33"/>
      <c r="AB593" s="37" t="str">
        <f aca="false">IF(B593="","",YEAR(B593)*100+MONTH(B593))</f>
        <v/>
      </c>
      <c r="AC593" s="37" t="str">
        <f aca="false">IF(AND(E593&lt;&gt;"",E593=Cruce!$C$5),COUNTIF($E$5:E593,E593),"")</f>
        <v/>
      </c>
      <c r="AD593" s="37" t="str">
        <f aca="false">IF(E593="","",C593&amp;"|"&amp;Y593&amp;"|"&amp;IF(B593="","s/f",TEXT(B593,"yyyymmdd")))</f>
        <v/>
      </c>
      <c r="AE593" s="37" t="n">
        <f aca="false">IF(E593="",0,IF(COUNTIFS($E$5:E593,E593,$AD$5:AD593,AD593)=1,1,0))</f>
        <v>0</v>
      </c>
    </row>
    <row r="594" customFormat="false" ht="15" hidden="false" customHeight="true" outlineLevel="0" collapsed="false">
      <c r="A594" s="31"/>
      <c r="B594" s="30"/>
      <c r="C594" s="31"/>
      <c r="D594" s="31"/>
      <c r="E594" s="32"/>
      <c r="F594" s="32"/>
      <c r="G594" s="33"/>
      <c r="H594" s="31"/>
      <c r="I594" s="24" t="str">
        <f aca="false">IF(B594="","",YEAR(B594))</f>
        <v/>
      </c>
      <c r="J594" s="34" t="str">
        <f aca="false">IF(B594="","",IF(MONTH(B594)=1,"X",""))</f>
        <v/>
      </c>
      <c r="K594" s="34" t="str">
        <f aca="false">IF(B594="","",IF(MONTH(B594)=2,"X",""))</f>
        <v/>
      </c>
      <c r="L594" s="34" t="str">
        <f aca="false">IF(B594="","",IF(MONTH(B594)=3,"X",""))</f>
        <v/>
      </c>
      <c r="M594" s="34" t="str">
        <f aca="false">IF(B594="","",IF(MONTH(B594)=4,"X",""))</f>
        <v/>
      </c>
      <c r="N594" s="34" t="str">
        <f aca="false">IF(B594="","",IF(MONTH(B594)=5,"X",""))</f>
        <v/>
      </c>
      <c r="O594" s="34" t="str">
        <f aca="false">IF(B594="","",IF(MONTH(B594)=6,"X",""))</f>
        <v/>
      </c>
      <c r="P594" s="34" t="str">
        <f aca="false">IF(B594="","",IF(MONTH(B594)=7,"X",""))</f>
        <v/>
      </c>
      <c r="Q594" s="34" t="str">
        <f aca="false">IF(B594="","",IF(MONTH(B594)=8,"X",""))</f>
        <v/>
      </c>
      <c r="R594" s="34" t="str">
        <f aca="false">IF(B594="","",IF(MONTH(B594)=9,"X",""))</f>
        <v/>
      </c>
      <c r="S594" s="34" t="str">
        <f aca="false">IF(B594="","",IF(MONTH(B594)=10,"X",""))</f>
        <v/>
      </c>
      <c r="T594" s="34" t="str">
        <f aca="false">IF(B594="","",IF(MONTH(B594)=11,"X",""))</f>
        <v/>
      </c>
      <c r="U594" s="34" t="str">
        <f aca="false">IF(B594="","",IF(MONTH(B594)=12,"X",""))</f>
        <v/>
      </c>
      <c r="V594" s="24" t="str">
        <f aca="false">IF(E594="","",COUNTIF($E$5:$E$1000,E594))</f>
        <v/>
      </c>
      <c r="W594" s="35" t="str">
        <f aca="false">IF(E594="","",_xlfn.TEXTJOIN(" + ",TRUE(),IF(COUNTIFS($E$5:$E$1000,E594,$C$5:$C$1000,"Auditoría Interna")&gt;0,"Interna",""),IF(COUNTIFS($E$5:$E$1000,E594,$C$5:$C$1000,"Auditoría Externa")&gt;0,"Externa",""),IF(COUNTIFS($E$5:$E$1000,E594,$C$5:$C$1000,"SSF")&gt;0,"SSF",""),IF(COUNTIFS($E$5:$E$1000,E594,$C$5:$C$1000,"Comité de Supervisión")&gt;0,"Comité Sup.",""),IF(COUNTIFS($E$5:$E$1000,E594,$C$5:$C$1000,"Consejo de Administración")&gt;0,"Consejo",""),IF(COUNTIFS($E$5:$E$1000,E594,$C$5:$C$1000,"Otros")&gt;0,"Otros","")))</f>
        <v/>
      </c>
      <c r="X594" s="24" t="str">
        <f aca="false">IF(E594="","",COUNTIFS($E$5:$E$1000,E594,$AB$5:$AB$1000,AB594,$C$5:$C$1000,"&lt;&gt;"&amp;C594))</f>
        <v/>
      </c>
      <c r="Y594" s="33"/>
      <c r="Z594" s="31"/>
      <c r="AA594" s="33"/>
      <c r="AB594" s="37" t="str">
        <f aca="false">IF(B594="","",YEAR(B594)*100+MONTH(B594))</f>
        <v/>
      </c>
      <c r="AC594" s="37" t="str">
        <f aca="false">IF(AND(E594&lt;&gt;"",E594=Cruce!$C$5),COUNTIF($E$5:E594,E594),"")</f>
        <v/>
      </c>
      <c r="AD594" s="37" t="str">
        <f aca="false">IF(E594="","",C594&amp;"|"&amp;Y594&amp;"|"&amp;IF(B594="","s/f",TEXT(B594,"yyyymmdd")))</f>
        <v/>
      </c>
      <c r="AE594" s="37" t="n">
        <f aca="false">IF(E594="",0,IF(COUNTIFS($E$5:E594,E594,$AD$5:AD594,AD594)=1,1,0))</f>
        <v>0</v>
      </c>
    </row>
    <row r="595" customFormat="false" ht="15" hidden="false" customHeight="true" outlineLevel="0" collapsed="false">
      <c r="A595" s="31"/>
      <c r="B595" s="30"/>
      <c r="C595" s="31"/>
      <c r="D595" s="31"/>
      <c r="E595" s="32"/>
      <c r="F595" s="32"/>
      <c r="G595" s="33"/>
      <c r="H595" s="31"/>
      <c r="I595" s="24" t="str">
        <f aca="false">IF(B595="","",YEAR(B595))</f>
        <v/>
      </c>
      <c r="J595" s="34" t="str">
        <f aca="false">IF(B595="","",IF(MONTH(B595)=1,"X",""))</f>
        <v/>
      </c>
      <c r="K595" s="34" t="str">
        <f aca="false">IF(B595="","",IF(MONTH(B595)=2,"X",""))</f>
        <v/>
      </c>
      <c r="L595" s="34" t="str">
        <f aca="false">IF(B595="","",IF(MONTH(B595)=3,"X",""))</f>
        <v/>
      </c>
      <c r="M595" s="34" t="str">
        <f aca="false">IF(B595="","",IF(MONTH(B595)=4,"X",""))</f>
        <v/>
      </c>
      <c r="N595" s="34" t="str">
        <f aca="false">IF(B595="","",IF(MONTH(B595)=5,"X",""))</f>
        <v/>
      </c>
      <c r="O595" s="34" t="str">
        <f aca="false">IF(B595="","",IF(MONTH(B595)=6,"X",""))</f>
        <v/>
      </c>
      <c r="P595" s="34" t="str">
        <f aca="false">IF(B595="","",IF(MONTH(B595)=7,"X",""))</f>
        <v/>
      </c>
      <c r="Q595" s="34" t="str">
        <f aca="false">IF(B595="","",IF(MONTH(B595)=8,"X",""))</f>
        <v/>
      </c>
      <c r="R595" s="34" t="str">
        <f aca="false">IF(B595="","",IF(MONTH(B595)=9,"X",""))</f>
        <v/>
      </c>
      <c r="S595" s="34" t="str">
        <f aca="false">IF(B595="","",IF(MONTH(B595)=10,"X",""))</f>
        <v/>
      </c>
      <c r="T595" s="34" t="str">
        <f aca="false">IF(B595="","",IF(MONTH(B595)=11,"X",""))</f>
        <v/>
      </c>
      <c r="U595" s="34" t="str">
        <f aca="false">IF(B595="","",IF(MONTH(B595)=12,"X",""))</f>
        <v/>
      </c>
      <c r="V595" s="24" t="str">
        <f aca="false">IF(E595="","",COUNTIF($E$5:$E$1000,E595))</f>
        <v/>
      </c>
      <c r="W595" s="35" t="str">
        <f aca="false">IF(E595="","",_xlfn.TEXTJOIN(" + ",TRUE(),IF(COUNTIFS($E$5:$E$1000,E595,$C$5:$C$1000,"Auditoría Interna")&gt;0,"Interna",""),IF(COUNTIFS($E$5:$E$1000,E595,$C$5:$C$1000,"Auditoría Externa")&gt;0,"Externa",""),IF(COUNTIFS($E$5:$E$1000,E595,$C$5:$C$1000,"SSF")&gt;0,"SSF",""),IF(COUNTIFS($E$5:$E$1000,E595,$C$5:$C$1000,"Comité de Supervisión")&gt;0,"Comité Sup.",""),IF(COUNTIFS($E$5:$E$1000,E595,$C$5:$C$1000,"Consejo de Administración")&gt;0,"Consejo",""),IF(COUNTIFS($E$5:$E$1000,E595,$C$5:$C$1000,"Otros")&gt;0,"Otros","")))</f>
        <v/>
      </c>
      <c r="X595" s="24" t="str">
        <f aca="false">IF(E595="","",COUNTIFS($E$5:$E$1000,E595,$AB$5:$AB$1000,AB595,$C$5:$C$1000,"&lt;&gt;"&amp;C595))</f>
        <v/>
      </c>
      <c r="Y595" s="33"/>
      <c r="Z595" s="31"/>
      <c r="AA595" s="33"/>
      <c r="AB595" s="37" t="str">
        <f aca="false">IF(B595="","",YEAR(B595)*100+MONTH(B595))</f>
        <v/>
      </c>
      <c r="AC595" s="37" t="str">
        <f aca="false">IF(AND(E595&lt;&gt;"",E595=Cruce!$C$5),COUNTIF($E$5:E595,E595),"")</f>
        <v/>
      </c>
      <c r="AD595" s="37" t="str">
        <f aca="false">IF(E595="","",C595&amp;"|"&amp;Y595&amp;"|"&amp;IF(B595="","s/f",TEXT(B595,"yyyymmdd")))</f>
        <v/>
      </c>
      <c r="AE595" s="37" t="n">
        <f aca="false">IF(E595="",0,IF(COUNTIFS($E$5:E595,E595,$AD$5:AD595,AD595)=1,1,0))</f>
        <v>0</v>
      </c>
    </row>
    <row r="596" customFormat="false" ht="15" hidden="false" customHeight="true" outlineLevel="0" collapsed="false">
      <c r="A596" s="31"/>
      <c r="B596" s="30"/>
      <c r="C596" s="31"/>
      <c r="D596" s="31"/>
      <c r="E596" s="32"/>
      <c r="F596" s="32"/>
      <c r="G596" s="33"/>
      <c r="H596" s="31"/>
      <c r="I596" s="24" t="str">
        <f aca="false">IF(B596="","",YEAR(B596))</f>
        <v/>
      </c>
      <c r="J596" s="34" t="str">
        <f aca="false">IF(B596="","",IF(MONTH(B596)=1,"X",""))</f>
        <v/>
      </c>
      <c r="K596" s="34" t="str">
        <f aca="false">IF(B596="","",IF(MONTH(B596)=2,"X",""))</f>
        <v/>
      </c>
      <c r="L596" s="34" t="str">
        <f aca="false">IF(B596="","",IF(MONTH(B596)=3,"X",""))</f>
        <v/>
      </c>
      <c r="M596" s="34" t="str">
        <f aca="false">IF(B596="","",IF(MONTH(B596)=4,"X",""))</f>
        <v/>
      </c>
      <c r="N596" s="34" t="str">
        <f aca="false">IF(B596="","",IF(MONTH(B596)=5,"X",""))</f>
        <v/>
      </c>
      <c r="O596" s="34" t="str">
        <f aca="false">IF(B596="","",IF(MONTH(B596)=6,"X",""))</f>
        <v/>
      </c>
      <c r="P596" s="34" t="str">
        <f aca="false">IF(B596="","",IF(MONTH(B596)=7,"X",""))</f>
        <v/>
      </c>
      <c r="Q596" s="34" t="str">
        <f aca="false">IF(B596="","",IF(MONTH(B596)=8,"X",""))</f>
        <v/>
      </c>
      <c r="R596" s="34" t="str">
        <f aca="false">IF(B596="","",IF(MONTH(B596)=9,"X",""))</f>
        <v/>
      </c>
      <c r="S596" s="34" t="str">
        <f aca="false">IF(B596="","",IF(MONTH(B596)=10,"X",""))</f>
        <v/>
      </c>
      <c r="T596" s="34" t="str">
        <f aca="false">IF(B596="","",IF(MONTH(B596)=11,"X",""))</f>
        <v/>
      </c>
      <c r="U596" s="34" t="str">
        <f aca="false">IF(B596="","",IF(MONTH(B596)=12,"X",""))</f>
        <v/>
      </c>
      <c r="V596" s="24" t="str">
        <f aca="false">IF(E596="","",COUNTIF($E$5:$E$1000,E596))</f>
        <v/>
      </c>
      <c r="W596" s="35" t="str">
        <f aca="false">IF(E596="","",_xlfn.TEXTJOIN(" + ",TRUE(),IF(COUNTIFS($E$5:$E$1000,E596,$C$5:$C$1000,"Auditoría Interna")&gt;0,"Interna",""),IF(COUNTIFS($E$5:$E$1000,E596,$C$5:$C$1000,"Auditoría Externa")&gt;0,"Externa",""),IF(COUNTIFS($E$5:$E$1000,E596,$C$5:$C$1000,"SSF")&gt;0,"SSF",""),IF(COUNTIFS($E$5:$E$1000,E596,$C$5:$C$1000,"Comité de Supervisión")&gt;0,"Comité Sup.",""),IF(COUNTIFS($E$5:$E$1000,E596,$C$5:$C$1000,"Consejo de Administración")&gt;0,"Consejo",""),IF(COUNTIFS($E$5:$E$1000,E596,$C$5:$C$1000,"Otros")&gt;0,"Otros","")))</f>
        <v/>
      </c>
      <c r="X596" s="24" t="str">
        <f aca="false">IF(E596="","",COUNTIFS($E$5:$E$1000,E596,$AB$5:$AB$1000,AB596,$C$5:$C$1000,"&lt;&gt;"&amp;C596))</f>
        <v/>
      </c>
      <c r="Y596" s="33"/>
      <c r="Z596" s="31"/>
      <c r="AA596" s="33"/>
      <c r="AB596" s="37" t="str">
        <f aca="false">IF(B596="","",YEAR(B596)*100+MONTH(B596))</f>
        <v/>
      </c>
      <c r="AC596" s="37" t="str">
        <f aca="false">IF(AND(E596&lt;&gt;"",E596=Cruce!$C$5),COUNTIF($E$5:E596,E596),"")</f>
        <v/>
      </c>
      <c r="AD596" s="37" t="str">
        <f aca="false">IF(E596="","",C596&amp;"|"&amp;Y596&amp;"|"&amp;IF(B596="","s/f",TEXT(B596,"yyyymmdd")))</f>
        <v/>
      </c>
      <c r="AE596" s="37" t="n">
        <f aca="false">IF(E596="",0,IF(COUNTIFS($E$5:E596,E596,$AD$5:AD596,AD596)=1,1,0))</f>
        <v>0</v>
      </c>
    </row>
    <row r="597" customFormat="false" ht="15" hidden="false" customHeight="true" outlineLevel="0" collapsed="false">
      <c r="A597" s="31"/>
      <c r="B597" s="30"/>
      <c r="C597" s="31"/>
      <c r="D597" s="31"/>
      <c r="E597" s="32"/>
      <c r="F597" s="32"/>
      <c r="G597" s="33"/>
      <c r="H597" s="31"/>
      <c r="I597" s="24" t="str">
        <f aca="false">IF(B597="","",YEAR(B597))</f>
        <v/>
      </c>
      <c r="J597" s="34" t="str">
        <f aca="false">IF(B597="","",IF(MONTH(B597)=1,"X",""))</f>
        <v/>
      </c>
      <c r="K597" s="34" t="str">
        <f aca="false">IF(B597="","",IF(MONTH(B597)=2,"X",""))</f>
        <v/>
      </c>
      <c r="L597" s="34" t="str">
        <f aca="false">IF(B597="","",IF(MONTH(B597)=3,"X",""))</f>
        <v/>
      </c>
      <c r="M597" s="34" t="str">
        <f aca="false">IF(B597="","",IF(MONTH(B597)=4,"X",""))</f>
        <v/>
      </c>
      <c r="N597" s="34" t="str">
        <f aca="false">IF(B597="","",IF(MONTH(B597)=5,"X",""))</f>
        <v/>
      </c>
      <c r="O597" s="34" t="str">
        <f aca="false">IF(B597="","",IF(MONTH(B597)=6,"X",""))</f>
        <v/>
      </c>
      <c r="P597" s="34" t="str">
        <f aca="false">IF(B597="","",IF(MONTH(B597)=7,"X",""))</f>
        <v/>
      </c>
      <c r="Q597" s="34" t="str">
        <f aca="false">IF(B597="","",IF(MONTH(B597)=8,"X",""))</f>
        <v/>
      </c>
      <c r="R597" s="34" t="str">
        <f aca="false">IF(B597="","",IF(MONTH(B597)=9,"X",""))</f>
        <v/>
      </c>
      <c r="S597" s="34" t="str">
        <f aca="false">IF(B597="","",IF(MONTH(B597)=10,"X",""))</f>
        <v/>
      </c>
      <c r="T597" s="34" t="str">
        <f aca="false">IF(B597="","",IF(MONTH(B597)=11,"X",""))</f>
        <v/>
      </c>
      <c r="U597" s="34" t="str">
        <f aca="false">IF(B597="","",IF(MONTH(B597)=12,"X",""))</f>
        <v/>
      </c>
      <c r="V597" s="24" t="str">
        <f aca="false">IF(E597="","",COUNTIF($E$5:$E$1000,E597))</f>
        <v/>
      </c>
      <c r="W597" s="35" t="str">
        <f aca="false">IF(E597="","",_xlfn.TEXTJOIN(" + ",TRUE(),IF(COUNTIFS($E$5:$E$1000,E597,$C$5:$C$1000,"Auditoría Interna")&gt;0,"Interna",""),IF(COUNTIFS($E$5:$E$1000,E597,$C$5:$C$1000,"Auditoría Externa")&gt;0,"Externa",""),IF(COUNTIFS($E$5:$E$1000,E597,$C$5:$C$1000,"SSF")&gt;0,"SSF",""),IF(COUNTIFS($E$5:$E$1000,E597,$C$5:$C$1000,"Comité de Supervisión")&gt;0,"Comité Sup.",""),IF(COUNTIFS($E$5:$E$1000,E597,$C$5:$C$1000,"Consejo de Administración")&gt;0,"Consejo",""),IF(COUNTIFS($E$5:$E$1000,E597,$C$5:$C$1000,"Otros")&gt;0,"Otros","")))</f>
        <v/>
      </c>
      <c r="X597" s="24" t="str">
        <f aca="false">IF(E597="","",COUNTIFS($E$5:$E$1000,E597,$AB$5:$AB$1000,AB597,$C$5:$C$1000,"&lt;&gt;"&amp;C597))</f>
        <v/>
      </c>
      <c r="Y597" s="33"/>
      <c r="Z597" s="31"/>
      <c r="AA597" s="33"/>
      <c r="AB597" s="37" t="str">
        <f aca="false">IF(B597="","",YEAR(B597)*100+MONTH(B597))</f>
        <v/>
      </c>
      <c r="AC597" s="37" t="str">
        <f aca="false">IF(AND(E597&lt;&gt;"",E597=Cruce!$C$5),COUNTIF($E$5:E597,E597),"")</f>
        <v/>
      </c>
      <c r="AD597" s="37" t="str">
        <f aca="false">IF(E597="","",C597&amp;"|"&amp;Y597&amp;"|"&amp;IF(B597="","s/f",TEXT(B597,"yyyymmdd")))</f>
        <v/>
      </c>
      <c r="AE597" s="37" t="n">
        <f aca="false">IF(E597="",0,IF(COUNTIFS($E$5:E597,E597,$AD$5:AD597,AD597)=1,1,0))</f>
        <v>0</v>
      </c>
    </row>
    <row r="598" customFormat="false" ht="15" hidden="false" customHeight="true" outlineLevel="0" collapsed="false">
      <c r="A598" s="31"/>
      <c r="B598" s="30"/>
      <c r="C598" s="31"/>
      <c r="D598" s="31"/>
      <c r="E598" s="32"/>
      <c r="F598" s="32"/>
      <c r="G598" s="33"/>
      <c r="H598" s="31"/>
      <c r="I598" s="24" t="str">
        <f aca="false">IF(B598="","",YEAR(B598))</f>
        <v/>
      </c>
      <c r="J598" s="34" t="str">
        <f aca="false">IF(B598="","",IF(MONTH(B598)=1,"X",""))</f>
        <v/>
      </c>
      <c r="K598" s="34" t="str">
        <f aca="false">IF(B598="","",IF(MONTH(B598)=2,"X",""))</f>
        <v/>
      </c>
      <c r="L598" s="34" t="str">
        <f aca="false">IF(B598="","",IF(MONTH(B598)=3,"X",""))</f>
        <v/>
      </c>
      <c r="M598" s="34" t="str">
        <f aca="false">IF(B598="","",IF(MONTH(B598)=4,"X",""))</f>
        <v/>
      </c>
      <c r="N598" s="34" t="str">
        <f aca="false">IF(B598="","",IF(MONTH(B598)=5,"X",""))</f>
        <v/>
      </c>
      <c r="O598" s="34" t="str">
        <f aca="false">IF(B598="","",IF(MONTH(B598)=6,"X",""))</f>
        <v/>
      </c>
      <c r="P598" s="34" t="str">
        <f aca="false">IF(B598="","",IF(MONTH(B598)=7,"X",""))</f>
        <v/>
      </c>
      <c r="Q598" s="34" t="str">
        <f aca="false">IF(B598="","",IF(MONTH(B598)=8,"X",""))</f>
        <v/>
      </c>
      <c r="R598" s="34" t="str">
        <f aca="false">IF(B598="","",IF(MONTH(B598)=9,"X",""))</f>
        <v/>
      </c>
      <c r="S598" s="34" t="str">
        <f aca="false">IF(B598="","",IF(MONTH(B598)=10,"X",""))</f>
        <v/>
      </c>
      <c r="T598" s="34" t="str">
        <f aca="false">IF(B598="","",IF(MONTH(B598)=11,"X",""))</f>
        <v/>
      </c>
      <c r="U598" s="34" t="str">
        <f aca="false">IF(B598="","",IF(MONTH(B598)=12,"X",""))</f>
        <v/>
      </c>
      <c r="V598" s="24" t="str">
        <f aca="false">IF(E598="","",COUNTIF($E$5:$E$1000,E598))</f>
        <v/>
      </c>
      <c r="W598" s="35" t="str">
        <f aca="false">IF(E598="","",_xlfn.TEXTJOIN(" + ",TRUE(),IF(COUNTIFS($E$5:$E$1000,E598,$C$5:$C$1000,"Auditoría Interna")&gt;0,"Interna",""),IF(COUNTIFS($E$5:$E$1000,E598,$C$5:$C$1000,"Auditoría Externa")&gt;0,"Externa",""),IF(COUNTIFS($E$5:$E$1000,E598,$C$5:$C$1000,"SSF")&gt;0,"SSF",""),IF(COUNTIFS($E$5:$E$1000,E598,$C$5:$C$1000,"Comité de Supervisión")&gt;0,"Comité Sup.",""),IF(COUNTIFS($E$5:$E$1000,E598,$C$5:$C$1000,"Consejo de Administración")&gt;0,"Consejo",""),IF(COUNTIFS($E$5:$E$1000,E598,$C$5:$C$1000,"Otros")&gt;0,"Otros","")))</f>
        <v/>
      </c>
      <c r="X598" s="24" t="str">
        <f aca="false">IF(E598="","",COUNTIFS($E$5:$E$1000,E598,$AB$5:$AB$1000,AB598,$C$5:$C$1000,"&lt;&gt;"&amp;C598))</f>
        <v/>
      </c>
      <c r="Y598" s="33"/>
      <c r="Z598" s="31"/>
      <c r="AA598" s="33"/>
      <c r="AB598" s="37" t="str">
        <f aca="false">IF(B598="","",YEAR(B598)*100+MONTH(B598))</f>
        <v/>
      </c>
      <c r="AC598" s="37" t="str">
        <f aca="false">IF(AND(E598&lt;&gt;"",E598=Cruce!$C$5),COUNTIF($E$5:E598,E598),"")</f>
        <v/>
      </c>
      <c r="AD598" s="37" t="str">
        <f aca="false">IF(E598="","",C598&amp;"|"&amp;Y598&amp;"|"&amp;IF(B598="","s/f",TEXT(B598,"yyyymmdd")))</f>
        <v/>
      </c>
      <c r="AE598" s="37" t="n">
        <f aca="false">IF(E598="",0,IF(COUNTIFS($E$5:E598,E598,$AD$5:AD598,AD598)=1,1,0))</f>
        <v>0</v>
      </c>
    </row>
    <row r="599" customFormat="false" ht="15" hidden="false" customHeight="true" outlineLevel="0" collapsed="false">
      <c r="A599" s="31"/>
      <c r="B599" s="30"/>
      <c r="C599" s="31"/>
      <c r="D599" s="31"/>
      <c r="E599" s="32"/>
      <c r="F599" s="32"/>
      <c r="G599" s="33"/>
      <c r="H599" s="31"/>
      <c r="I599" s="24" t="str">
        <f aca="false">IF(B599="","",YEAR(B599))</f>
        <v/>
      </c>
      <c r="J599" s="34" t="str">
        <f aca="false">IF(B599="","",IF(MONTH(B599)=1,"X",""))</f>
        <v/>
      </c>
      <c r="K599" s="34" t="str">
        <f aca="false">IF(B599="","",IF(MONTH(B599)=2,"X",""))</f>
        <v/>
      </c>
      <c r="L599" s="34" t="str">
        <f aca="false">IF(B599="","",IF(MONTH(B599)=3,"X",""))</f>
        <v/>
      </c>
      <c r="M599" s="34" t="str">
        <f aca="false">IF(B599="","",IF(MONTH(B599)=4,"X",""))</f>
        <v/>
      </c>
      <c r="N599" s="34" t="str">
        <f aca="false">IF(B599="","",IF(MONTH(B599)=5,"X",""))</f>
        <v/>
      </c>
      <c r="O599" s="34" t="str">
        <f aca="false">IF(B599="","",IF(MONTH(B599)=6,"X",""))</f>
        <v/>
      </c>
      <c r="P599" s="34" t="str">
        <f aca="false">IF(B599="","",IF(MONTH(B599)=7,"X",""))</f>
        <v/>
      </c>
      <c r="Q599" s="34" t="str">
        <f aca="false">IF(B599="","",IF(MONTH(B599)=8,"X",""))</f>
        <v/>
      </c>
      <c r="R599" s="34" t="str">
        <f aca="false">IF(B599="","",IF(MONTH(B599)=9,"X",""))</f>
        <v/>
      </c>
      <c r="S599" s="34" t="str">
        <f aca="false">IF(B599="","",IF(MONTH(B599)=10,"X",""))</f>
        <v/>
      </c>
      <c r="T599" s="34" t="str">
        <f aca="false">IF(B599="","",IF(MONTH(B599)=11,"X",""))</f>
        <v/>
      </c>
      <c r="U599" s="34" t="str">
        <f aca="false">IF(B599="","",IF(MONTH(B599)=12,"X",""))</f>
        <v/>
      </c>
      <c r="V599" s="24" t="str">
        <f aca="false">IF(E599="","",COUNTIF($E$5:$E$1000,E599))</f>
        <v/>
      </c>
      <c r="W599" s="35" t="str">
        <f aca="false">IF(E599="","",_xlfn.TEXTJOIN(" + ",TRUE(),IF(COUNTIFS($E$5:$E$1000,E599,$C$5:$C$1000,"Auditoría Interna")&gt;0,"Interna",""),IF(COUNTIFS($E$5:$E$1000,E599,$C$5:$C$1000,"Auditoría Externa")&gt;0,"Externa",""),IF(COUNTIFS($E$5:$E$1000,E599,$C$5:$C$1000,"SSF")&gt;0,"SSF",""),IF(COUNTIFS($E$5:$E$1000,E599,$C$5:$C$1000,"Comité de Supervisión")&gt;0,"Comité Sup.",""),IF(COUNTIFS($E$5:$E$1000,E599,$C$5:$C$1000,"Consejo de Administración")&gt;0,"Consejo",""),IF(COUNTIFS($E$5:$E$1000,E599,$C$5:$C$1000,"Otros")&gt;0,"Otros","")))</f>
        <v/>
      </c>
      <c r="X599" s="24" t="str">
        <f aca="false">IF(E599="","",COUNTIFS($E$5:$E$1000,E599,$AB$5:$AB$1000,AB599,$C$5:$C$1000,"&lt;&gt;"&amp;C599))</f>
        <v/>
      </c>
      <c r="Y599" s="33"/>
      <c r="Z599" s="31"/>
      <c r="AA599" s="33"/>
      <c r="AB599" s="37" t="str">
        <f aca="false">IF(B599="","",YEAR(B599)*100+MONTH(B599))</f>
        <v/>
      </c>
      <c r="AC599" s="37" t="str">
        <f aca="false">IF(AND(E599&lt;&gt;"",E599=Cruce!$C$5),COUNTIF($E$5:E599,E599),"")</f>
        <v/>
      </c>
      <c r="AD599" s="37" t="str">
        <f aca="false">IF(E599="","",C599&amp;"|"&amp;Y599&amp;"|"&amp;IF(B599="","s/f",TEXT(B599,"yyyymmdd")))</f>
        <v/>
      </c>
      <c r="AE599" s="37" t="n">
        <f aca="false">IF(E599="",0,IF(COUNTIFS($E$5:E599,E599,$AD$5:AD599,AD599)=1,1,0))</f>
        <v>0</v>
      </c>
    </row>
    <row r="600" customFormat="false" ht="15" hidden="false" customHeight="true" outlineLevel="0" collapsed="false">
      <c r="A600" s="31"/>
      <c r="B600" s="30"/>
      <c r="C600" s="31"/>
      <c r="D600" s="31"/>
      <c r="E600" s="32"/>
      <c r="F600" s="32"/>
      <c r="G600" s="33"/>
      <c r="H600" s="31"/>
      <c r="I600" s="24" t="str">
        <f aca="false">IF(B600="","",YEAR(B600))</f>
        <v/>
      </c>
      <c r="J600" s="34" t="str">
        <f aca="false">IF(B600="","",IF(MONTH(B600)=1,"X",""))</f>
        <v/>
      </c>
      <c r="K600" s="34" t="str">
        <f aca="false">IF(B600="","",IF(MONTH(B600)=2,"X",""))</f>
        <v/>
      </c>
      <c r="L600" s="34" t="str">
        <f aca="false">IF(B600="","",IF(MONTH(B600)=3,"X",""))</f>
        <v/>
      </c>
      <c r="M600" s="34" t="str">
        <f aca="false">IF(B600="","",IF(MONTH(B600)=4,"X",""))</f>
        <v/>
      </c>
      <c r="N600" s="34" t="str">
        <f aca="false">IF(B600="","",IF(MONTH(B600)=5,"X",""))</f>
        <v/>
      </c>
      <c r="O600" s="34" t="str">
        <f aca="false">IF(B600="","",IF(MONTH(B600)=6,"X",""))</f>
        <v/>
      </c>
      <c r="P600" s="34" t="str">
        <f aca="false">IF(B600="","",IF(MONTH(B600)=7,"X",""))</f>
        <v/>
      </c>
      <c r="Q600" s="34" t="str">
        <f aca="false">IF(B600="","",IF(MONTH(B600)=8,"X",""))</f>
        <v/>
      </c>
      <c r="R600" s="34" t="str">
        <f aca="false">IF(B600="","",IF(MONTH(B600)=9,"X",""))</f>
        <v/>
      </c>
      <c r="S600" s="34" t="str">
        <f aca="false">IF(B600="","",IF(MONTH(B600)=10,"X",""))</f>
        <v/>
      </c>
      <c r="T600" s="34" t="str">
        <f aca="false">IF(B600="","",IF(MONTH(B600)=11,"X",""))</f>
        <v/>
      </c>
      <c r="U600" s="34" t="str">
        <f aca="false">IF(B600="","",IF(MONTH(B600)=12,"X",""))</f>
        <v/>
      </c>
      <c r="V600" s="24" t="str">
        <f aca="false">IF(E600="","",COUNTIF($E$5:$E$1000,E600))</f>
        <v/>
      </c>
      <c r="W600" s="35" t="str">
        <f aca="false">IF(E600="","",_xlfn.TEXTJOIN(" + ",TRUE(),IF(COUNTIFS($E$5:$E$1000,E600,$C$5:$C$1000,"Auditoría Interna")&gt;0,"Interna",""),IF(COUNTIFS($E$5:$E$1000,E600,$C$5:$C$1000,"Auditoría Externa")&gt;0,"Externa",""),IF(COUNTIFS($E$5:$E$1000,E600,$C$5:$C$1000,"SSF")&gt;0,"SSF",""),IF(COUNTIFS($E$5:$E$1000,E600,$C$5:$C$1000,"Comité de Supervisión")&gt;0,"Comité Sup.",""),IF(COUNTIFS($E$5:$E$1000,E600,$C$5:$C$1000,"Consejo de Administración")&gt;0,"Consejo",""),IF(COUNTIFS($E$5:$E$1000,E600,$C$5:$C$1000,"Otros")&gt;0,"Otros","")))</f>
        <v/>
      </c>
      <c r="X600" s="24" t="str">
        <f aca="false">IF(E600="","",COUNTIFS($E$5:$E$1000,E600,$AB$5:$AB$1000,AB600,$C$5:$C$1000,"&lt;&gt;"&amp;C600))</f>
        <v/>
      </c>
      <c r="Y600" s="33"/>
      <c r="Z600" s="31"/>
      <c r="AA600" s="33"/>
      <c r="AB600" s="37" t="str">
        <f aca="false">IF(B600="","",YEAR(B600)*100+MONTH(B600))</f>
        <v/>
      </c>
      <c r="AC600" s="37" t="str">
        <f aca="false">IF(AND(E600&lt;&gt;"",E600=Cruce!$C$5),COUNTIF($E$5:E600,E600),"")</f>
        <v/>
      </c>
      <c r="AD600" s="37" t="str">
        <f aca="false">IF(E600="","",C600&amp;"|"&amp;Y600&amp;"|"&amp;IF(B600="","s/f",TEXT(B600,"yyyymmdd")))</f>
        <v/>
      </c>
      <c r="AE600" s="37" t="n">
        <f aca="false">IF(E600="",0,IF(COUNTIFS($E$5:E600,E600,$AD$5:AD600,AD600)=1,1,0))</f>
        <v>0</v>
      </c>
    </row>
    <row r="601" customFormat="false" ht="15" hidden="false" customHeight="true" outlineLevel="0" collapsed="false">
      <c r="A601" s="31"/>
      <c r="B601" s="30"/>
      <c r="C601" s="31"/>
      <c r="D601" s="31"/>
      <c r="E601" s="32"/>
      <c r="F601" s="32"/>
      <c r="G601" s="33"/>
      <c r="H601" s="31"/>
      <c r="I601" s="24" t="str">
        <f aca="false">IF(B601="","",YEAR(B601))</f>
        <v/>
      </c>
      <c r="J601" s="34" t="str">
        <f aca="false">IF(B601="","",IF(MONTH(B601)=1,"X",""))</f>
        <v/>
      </c>
      <c r="K601" s="34" t="str">
        <f aca="false">IF(B601="","",IF(MONTH(B601)=2,"X",""))</f>
        <v/>
      </c>
      <c r="L601" s="34" t="str">
        <f aca="false">IF(B601="","",IF(MONTH(B601)=3,"X",""))</f>
        <v/>
      </c>
      <c r="M601" s="34" t="str">
        <f aca="false">IF(B601="","",IF(MONTH(B601)=4,"X",""))</f>
        <v/>
      </c>
      <c r="N601" s="34" t="str">
        <f aca="false">IF(B601="","",IF(MONTH(B601)=5,"X",""))</f>
        <v/>
      </c>
      <c r="O601" s="34" t="str">
        <f aca="false">IF(B601="","",IF(MONTH(B601)=6,"X",""))</f>
        <v/>
      </c>
      <c r="P601" s="34" t="str">
        <f aca="false">IF(B601="","",IF(MONTH(B601)=7,"X",""))</f>
        <v/>
      </c>
      <c r="Q601" s="34" t="str">
        <f aca="false">IF(B601="","",IF(MONTH(B601)=8,"X",""))</f>
        <v/>
      </c>
      <c r="R601" s="34" t="str">
        <f aca="false">IF(B601="","",IF(MONTH(B601)=9,"X",""))</f>
        <v/>
      </c>
      <c r="S601" s="34" t="str">
        <f aca="false">IF(B601="","",IF(MONTH(B601)=10,"X",""))</f>
        <v/>
      </c>
      <c r="T601" s="34" t="str">
        <f aca="false">IF(B601="","",IF(MONTH(B601)=11,"X",""))</f>
        <v/>
      </c>
      <c r="U601" s="34" t="str">
        <f aca="false">IF(B601="","",IF(MONTH(B601)=12,"X",""))</f>
        <v/>
      </c>
      <c r="V601" s="24" t="str">
        <f aca="false">IF(E601="","",COUNTIF($E$5:$E$1000,E601))</f>
        <v/>
      </c>
      <c r="W601" s="35" t="str">
        <f aca="false">IF(E601="","",_xlfn.TEXTJOIN(" + ",TRUE(),IF(COUNTIFS($E$5:$E$1000,E601,$C$5:$C$1000,"Auditoría Interna")&gt;0,"Interna",""),IF(COUNTIFS($E$5:$E$1000,E601,$C$5:$C$1000,"Auditoría Externa")&gt;0,"Externa",""),IF(COUNTIFS($E$5:$E$1000,E601,$C$5:$C$1000,"SSF")&gt;0,"SSF",""),IF(COUNTIFS($E$5:$E$1000,E601,$C$5:$C$1000,"Comité de Supervisión")&gt;0,"Comité Sup.",""),IF(COUNTIFS($E$5:$E$1000,E601,$C$5:$C$1000,"Consejo de Administración")&gt;0,"Consejo",""),IF(COUNTIFS($E$5:$E$1000,E601,$C$5:$C$1000,"Otros")&gt;0,"Otros","")))</f>
        <v/>
      </c>
      <c r="X601" s="24" t="str">
        <f aca="false">IF(E601="","",COUNTIFS($E$5:$E$1000,E601,$AB$5:$AB$1000,AB601,$C$5:$C$1000,"&lt;&gt;"&amp;C601))</f>
        <v/>
      </c>
      <c r="Y601" s="33"/>
      <c r="Z601" s="31"/>
      <c r="AA601" s="33"/>
      <c r="AB601" s="37" t="str">
        <f aca="false">IF(B601="","",YEAR(B601)*100+MONTH(B601))</f>
        <v/>
      </c>
      <c r="AC601" s="37" t="str">
        <f aca="false">IF(AND(E601&lt;&gt;"",E601=Cruce!$C$5),COUNTIF($E$5:E601,E601),"")</f>
        <v/>
      </c>
      <c r="AD601" s="37" t="str">
        <f aca="false">IF(E601="","",C601&amp;"|"&amp;Y601&amp;"|"&amp;IF(B601="","s/f",TEXT(B601,"yyyymmdd")))</f>
        <v/>
      </c>
      <c r="AE601" s="37" t="n">
        <f aca="false">IF(E601="",0,IF(COUNTIFS($E$5:E601,E601,$AD$5:AD601,AD601)=1,1,0))</f>
        <v>0</v>
      </c>
    </row>
    <row r="602" customFormat="false" ht="15" hidden="false" customHeight="true" outlineLevel="0" collapsed="false">
      <c r="A602" s="31"/>
      <c r="B602" s="30"/>
      <c r="C602" s="31"/>
      <c r="D602" s="31"/>
      <c r="E602" s="32"/>
      <c r="F602" s="32"/>
      <c r="G602" s="33"/>
      <c r="H602" s="31"/>
      <c r="I602" s="24" t="str">
        <f aca="false">IF(B602="","",YEAR(B602))</f>
        <v/>
      </c>
      <c r="J602" s="34" t="str">
        <f aca="false">IF(B602="","",IF(MONTH(B602)=1,"X",""))</f>
        <v/>
      </c>
      <c r="K602" s="34" t="str">
        <f aca="false">IF(B602="","",IF(MONTH(B602)=2,"X",""))</f>
        <v/>
      </c>
      <c r="L602" s="34" t="str">
        <f aca="false">IF(B602="","",IF(MONTH(B602)=3,"X",""))</f>
        <v/>
      </c>
      <c r="M602" s="34" t="str">
        <f aca="false">IF(B602="","",IF(MONTH(B602)=4,"X",""))</f>
        <v/>
      </c>
      <c r="N602" s="34" t="str">
        <f aca="false">IF(B602="","",IF(MONTH(B602)=5,"X",""))</f>
        <v/>
      </c>
      <c r="O602" s="34" t="str">
        <f aca="false">IF(B602="","",IF(MONTH(B602)=6,"X",""))</f>
        <v/>
      </c>
      <c r="P602" s="34" t="str">
        <f aca="false">IF(B602="","",IF(MONTH(B602)=7,"X",""))</f>
        <v/>
      </c>
      <c r="Q602" s="34" t="str">
        <f aca="false">IF(B602="","",IF(MONTH(B602)=8,"X",""))</f>
        <v/>
      </c>
      <c r="R602" s="34" t="str">
        <f aca="false">IF(B602="","",IF(MONTH(B602)=9,"X",""))</f>
        <v/>
      </c>
      <c r="S602" s="34" t="str">
        <f aca="false">IF(B602="","",IF(MONTH(B602)=10,"X",""))</f>
        <v/>
      </c>
      <c r="T602" s="34" t="str">
        <f aca="false">IF(B602="","",IF(MONTH(B602)=11,"X",""))</f>
        <v/>
      </c>
      <c r="U602" s="34" t="str">
        <f aca="false">IF(B602="","",IF(MONTH(B602)=12,"X",""))</f>
        <v/>
      </c>
      <c r="V602" s="24" t="str">
        <f aca="false">IF(E602="","",COUNTIF($E$5:$E$1000,E602))</f>
        <v/>
      </c>
      <c r="W602" s="35" t="str">
        <f aca="false">IF(E602="","",_xlfn.TEXTJOIN(" + ",TRUE(),IF(COUNTIFS($E$5:$E$1000,E602,$C$5:$C$1000,"Auditoría Interna")&gt;0,"Interna",""),IF(COUNTIFS($E$5:$E$1000,E602,$C$5:$C$1000,"Auditoría Externa")&gt;0,"Externa",""),IF(COUNTIFS($E$5:$E$1000,E602,$C$5:$C$1000,"SSF")&gt;0,"SSF",""),IF(COUNTIFS($E$5:$E$1000,E602,$C$5:$C$1000,"Comité de Supervisión")&gt;0,"Comité Sup.",""),IF(COUNTIFS($E$5:$E$1000,E602,$C$5:$C$1000,"Consejo de Administración")&gt;0,"Consejo",""),IF(COUNTIFS($E$5:$E$1000,E602,$C$5:$C$1000,"Otros")&gt;0,"Otros","")))</f>
        <v/>
      </c>
      <c r="X602" s="24" t="str">
        <f aca="false">IF(E602="","",COUNTIFS($E$5:$E$1000,E602,$AB$5:$AB$1000,AB602,$C$5:$C$1000,"&lt;&gt;"&amp;C602))</f>
        <v/>
      </c>
      <c r="Y602" s="33"/>
      <c r="Z602" s="31"/>
      <c r="AA602" s="33"/>
      <c r="AB602" s="37" t="str">
        <f aca="false">IF(B602="","",YEAR(B602)*100+MONTH(B602))</f>
        <v/>
      </c>
      <c r="AC602" s="37" t="str">
        <f aca="false">IF(AND(E602&lt;&gt;"",E602=Cruce!$C$5),COUNTIF($E$5:E602,E602),"")</f>
        <v/>
      </c>
      <c r="AD602" s="37" t="str">
        <f aca="false">IF(E602="","",C602&amp;"|"&amp;Y602&amp;"|"&amp;IF(B602="","s/f",TEXT(B602,"yyyymmdd")))</f>
        <v/>
      </c>
      <c r="AE602" s="37" t="n">
        <f aca="false">IF(E602="",0,IF(COUNTIFS($E$5:E602,E602,$AD$5:AD602,AD602)=1,1,0))</f>
        <v>0</v>
      </c>
    </row>
    <row r="603" customFormat="false" ht="15" hidden="false" customHeight="true" outlineLevel="0" collapsed="false">
      <c r="A603" s="31"/>
      <c r="B603" s="30"/>
      <c r="C603" s="31"/>
      <c r="D603" s="31"/>
      <c r="E603" s="32"/>
      <c r="F603" s="32"/>
      <c r="G603" s="33"/>
      <c r="H603" s="31"/>
      <c r="I603" s="24" t="str">
        <f aca="false">IF(B603="","",YEAR(B603))</f>
        <v/>
      </c>
      <c r="J603" s="34" t="str">
        <f aca="false">IF(B603="","",IF(MONTH(B603)=1,"X",""))</f>
        <v/>
      </c>
      <c r="K603" s="34" t="str">
        <f aca="false">IF(B603="","",IF(MONTH(B603)=2,"X",""))</f>
        <v/>
      </c>
      <c r="L603" s="34" t="str">
        <f aca="false">IF(B603="","",IF(MONTH(B603)=3,"X",""))</f>
        <v/>
      </c>
      <c r="M603" s="34" t="str">
        <f aca="false">IF(B603="","",IF(MONTH(B603)=4,"X",""))</f>
        <v/>
      </c>
      <c r="N603" s="34" t="str">
        <f aca="false">IF(B603="","",IF(MONTH(B603)=5,"X",""))</f>
        <v/>
      </c>
      <c r="O603" s="34" t="str">
        <f aca="false">IF(B603="","",IF(MONTH(B603)=6,"X",""))</f>
        <v/>
      </c>
      <c r="P603" s="34" t="str">
        <f aca="false">IF(B603="","",IF(MONTH(B603)=7,"X",""))</f>
        <v/>
      </c>
      <c r="Q603" s="34" t="str">
        <f aca="false">IF(B603="","",IF(MONTH(B603)=8,"X",""))</f>
        <v/>
      </c>
      <c r="R603" s="34" t="str">
        <f aca="false">IF(B603="","",IF(MONTH(B603)=9,"X",""))</f>
        <v/>
      </c>
      <c r="S603" s="34" t="str">
        <f aca="false">IF(B603="","",IF(MONTH(B603)=10,"X",""))</f>
        <v/>
      </c>
      <c r="T603" s="34" t="str">
        <f aca="false">IF(B603="","",IF(MONTH(B603)=11,"X",""))</f>
        <v/>
      </c>
      <c r="U603" s="34" t="str">
        <f aca="false">IF(B603="","",IF(MONTH(B603)=12,"X",""))</f>
        <v/>
      </c>
      <c r="V603" s="24" t="str">
        <f aca="false">IF(E603="","",COUNTIF($E$5:$E$1000,E603))</f>
        <v/>
      </c>
      <c r="W603" s="35" t="str">
        <f aca="false">IF(E603="","",_xlfn.TEXTJOIN(" + ",TRUE(),IF(COUNTIFS($E$5:$E$1000,E603,$C$5:$C$1000,"Auditoría Interna")&gt;0,"Interna",""),IF(COUNTIFS($E$5:$E$1000,E603,$C$5:$C$1000,"Auditoría Externa")&gt;0,"Externa",""),IF(COUNTIFS($E$5:$E$1000,E603,$C$5:$C$1000,"SSF")&gt;0,"SSF",""),IF(COUNTIFS($E$5:$E$1000,E603,$C$5:$C$1000,"Comité de Supervisión")&gt;0,"Comité Sup.",""),IF(COUNTIFS($E$5:$E$1000,E603,$C$5:$C$1000,"Consejo de Administración")&gt;0,"Consejo",""),IF(COUNTIFS($E$5:$E$1000,E603,$C$5:$C$1000,"Otros")&gt;0,"Otros","")))</f>
        <v/>
      </c>
      <c r="X603" s="24" t="str">
        <f aca="false">IF(E603="","",COUNTIFS($E$5:$E$1000,E603,$AB$5:$AB$1000,AB603,$C$5:$C$1000,"&lt;&gt;"&amp;C603))</f>
        <v/>
      </c>
      <c r="Y603" s="33"/>
      <c r="Z603" s="31"/>
      <c r="AA603" s="33"/>
      <c r="AB603" s="37" t="str">
        <f aca="false">IF(B603="","",YEAR(B603)*100+MONTH(B603))</f>
        <v/>
      </c>
      <c r="AC603" s="37" t="str">
        <f aca="false">IF(AND(E603&lt;&gt;"",E603=Cruce!$C$5),COUNTIF($E$5:E603,E603),"")</f>
        <v/>
      </c>
      <c r="AD603" s="37" t="str">
        <f aca="false">IF(E603="","",C603&amp;"|"&amp;Y603&amp;"|"&amp;IF(B603="","s/f",TEXT(B603,"yyyymmdd")))</f>
        <v/>
      </c>
      <c r="AE603" s="37" t="n">
        <f aca="false">IF(E603="",0,IF(COUNTIFS($E$5:E603,E603,$AD$5:AD603,AD603)=1,1,0))</f>
        <v>0</v>
      </c>
    </row>
    <row r="604" customFormat="false" ht="15" hidden="false" customHeight="true" outlineLevel="0" collapsed="false">
      <c r="A604" s="31"/>
      <c r="B604" s="30"/>
      <c r="C604" s="31"/>
      <c r="D604" s="31"/>
      <c r="E604" s="32"/>
      <c r="F604" s="32"/>
      <c r="G604" s="33"/>
      <c r="H604" s="31"/>
      <c r="I604" s="24" t="str">
        <f aca="false">IF(B604="","",YEAR(B604))</f>
        <v/>
      </c>
      <c r="J604" s="34" t="str">
        <f aca="false">IF(B604="","",IF(MONTH(B604)=1,"X",""))</f>
        <v/>
      </c>
      <c r="K604" s="34" t="str">
        <f aca="false">IF(B604="","",IF(MONTH(B604)=2,"X",""))</f>
        <v/>
      </c>
      <c r="L604" s="34" t="str">
        <f aca="false">IF(B604="","",IF(MONTH(B604)=3,"X",""))</f>
        <v/>
      </c>
      <c r="M604" s="34" t="str">
        <f aca="false">IF(B604="","",IF(MONTH(B604)=4,"X",""))</f>
        <v/>
      </c>
      <c r="N604" s="34" t="str">
        <f aca="false">IF(B604="","",IF(MONTH(B604)=5,"X",""))</f>
        <v/>
      </c>
      <c r="O604" s="34" t="str">
        <f aca="false">IF(B604="","",IF(MONTH(B604)=6,"X",""))</f>
        <v/>
      </c>
      <c r="P604" s="34" t="str">
        <f aca="false">IF(B604="","",IF(MONTH(B604)=7,"X",""))</f>
        <v/>
      </c>
      <c r="Q604" s="34" t="str">
        <f aca="false">IF(B604="","",IF(MONTH(B604)=8,"X",""))</f>
        <v/>
      </c>
      <c r="R604" s="34" t="str">
        <f aca="false">IF(B604="","",IF(MONTH(B604)=9,"X",""))</f>
        <v/>
      </c>
      <c r="S604" s="34" t="str">
        <f aca="false">IF(B604="","",IF(MONTH(B604)=10,"X",""))</f>
        <v/>
      </c>
      <c r="T604" s="34" t="str">
        <f aca="false">IF(B604="","",IF(MONTH(B604)=11,"X",""))</f>
        <v/>
      </c>
      <c r="U604" s="34" t="str">
        <f aca="false">IF(B604="","",IF(MONTH(B604)=12,"X",""))</f>
        <v/>
      </c>
      <c r="V604" s="24" t="str">
        <f aca="false">IF(E604="","",COUNTIF($E$5:$E$1000,E604))</f>
        <v/>
      </c>
      <c r="W604" s="35" t="str">
        <f aca="false">IF(E604="","",_xlfn.TEXTJOIN(" + ",TRUE(),IF(COUNTIFS($E$5:$E$1000,E604,$C$5:$C$1000,"Auditoría Interna")&gt;0,"Interna",""),IF(COUNTIFS($E$5:$E$1000,E604,$C$5:$C$1000,"Auditoría Externa")&gt;0,"Externa",""),IF(COUNTIFS($E$5:$E$1000,E604,$C$5:$C$1000,"SSF")&gt;0,"SSF",""),IF(COUNTIFS($E$5:$E$1000,E604,$C$5:$C$1000,"Comité de Supervisión")&gt;0,"Comité Sup.",""),IF(COUNTIFS($E$5:$E$1000,E604,$C$5:$C$1000,"Consejo de Administración")&gt;0,"Consejo",""),IF(COUNTIFS($E$5:$E$1000,E604,$C$5:$C$1000,"Otros")&gt;0,"Otros","")))</f>
        <v/>
      </c>
      <c r="X604" s="24" t="str">
        <f aca="false">IF(E604="","",COUNTIFS($E$5:$E$1000,E604,$AB$5:$AB$1000,AB604,$C$5:$C$1000,"&lt;&gt;"&amp;C604))</f>
        <v/>
      </c>
      <c r="Y604" s="33"/>
      <c r="Z604" s="31"/>
      <c r="AA604" s="33"/>
      <c r="AB604" s="37" t="str">
        <f aca="false">IF(B604="","",YEAR(B604)*100+MONTH(B604))</f>
        <v/>
      </c>
      <c r="AC604" s="37" t="str">
        <f aca="false">IF(AND(E604&lt;&gt;"",E604=Cruce!$C$5),COUNTIF($E$5:E604,E604),"")</f>
        <v/>
      </c>
      <c r="AD604" s="37" t="str">
        <f aca="false">IF(E604="","",C604&amp;"|"&amp;Y604&amp;"|"&amp;IF(B604="","s/f",TEXT(B604,"yyyymmdd")))</f>
        <v/>
      </c>
      <c r="AE604" s="37" t="n">
        <f aca="false">IF(E604="",0,IF(COUNTIFS($E$5:E604,E604,$AD$5:AD604,AD604)=1,1,0))</f>
        <v>0</v>
      </c>
    </row>
    <row r="605" customFormat="false" ht="15" hidden="false" customHeight="true" outlineLevel="0" collapsed="false">
      <c r="A605" s="31"/>
      <c r="B605" s="30"/>
      <c r="C605" s="31"/>
      <c r="D605" s="31"/>
      <c r="E605" s="32"/>
      <c r="F605" s="32"/>
      <c r="G605" s="33"/>
      <c r="H605" s="31"/>
      <c r="I605" s="24" t="str">
        <f aca="false">IF(B605="","",YEAR(B605))</f>
        <v/>
      </c>
      <c r="J605" s="34" t="str">
        <f aca="false">IF(B605="","",IF(MONTH(B605)=1,"X",""))</f>
        <v/>
      </c>
      <c r="K605" s="34" t="str">
        <f aca="false">IF(B605="","",IF(MONTH(B605)=2,"X",""))</f>
        <v/>
      </c>
      <c r="L605" s="34" t="str">
        <f aca="false">IF(B605="","",IF(MONTH(B605)=3,"X",""))</f>
        <v/>
      </c>
      <c r="M605" s="34" t="str">
        <f aca="false">IF(B605="","",IF(MONTH(B605)=4,"X",""))</f>
        <v/>
      </c>
      <c r="N605" s="34" t="str">
        <f aca="false">IF(B605="","",IF(MONTH(B605)=5,"X",""))</f>
        <v/>
      </c>
      <c r="O605" s="34" t="str">
        <f aca="false">IF(B605="","",IF(MONTH(B605)=6,"X",""))</f>
        <v/>
      </c>
      <c r="P605" s="34" t="str">
        <f aca="false">IF(B605="","",IF(MONTH(B605)=7,"X",""))</f>
        <v/>
      </c>
      <c r="Q605" s="34" t="str">
        <f aca="false">IF(B605="","",IF(MONTH(B605)=8,"X",""))</f>
        <v/>
      </c>
      <c r="R605" s="34" t="str">
        <f aca="false">IF(B605="","",IF(MONTH(B605)=9,"X",""))</f>
        <v/>
      </c>
      <c r="S605" s="34" t="str">
        <f aca="false">IF(B605="","",IF(MONTH(B605)=10,"X",""))</f>
        <v/>
      </c>
      <c r="T605" s="34" t="str">
        <f aca="false">IF(B605="","",IF(MONTH(B605)=11,"X",""))</f>
        <v/>
      </c>
      <c r="U605" s="34" t="str">
        <f aca="false">IF(B605="","",IF(MONTH(B605)=12,"X",""))</f>
        <v/>
      </c>
      <c r="V605" s="24" t="str">
        <f aca="false">IF(E605="","",COUNTIF($E$5:$E$1000,E605))</f>
        <v/>
      </c>
      <c r="W605" s="35" t="str">
        <f aca="false">IF(E605="","",_xlfn.TEXTJOIN(" + ",TRUE(),IF(COUNTIFS($E$5:$E$1000,E605,$C$5:$C$1000,"Auditoría Interna")&gt;0,"Interna",""),IF(COUNTIFS($E$5:$E$1000,E605,$C$5:$C$1000,"Auditoría Externa")&gt;0,"Externa",""),IF(COUNTIFS($E$5:$E$1000,E605,$C$5:$C$1000,"SSF")&gt;0,"SSF",""),IF(COUNTIFS($E$5:$E$1000,E605,$C$5:$C$1000,"Comité de Supervisión")&gt;0,"Comité Sup.",""),IF(COUNTIFS($E$5:$E$1000,E605,$C$5:$C$1000,"Consejo de Administración")&gt;0,"Consejo",""),IF(COUNTIFS($E$5:$E$1000,E605,$C$5:$C$1000,"Otros")&gt;0,"Otros","")))</f>
        <v/>
      </c>
      <c r="X605" s="24" t="str">
        <f aca="false">IF(E605="","",COUNTIFS($E$5:$E$1000,E605,$AB$5:$AB$1000,AB605,$C$5:$C$1000,"&lt;&gt;"&amp;C605))</f>
        <v/>
      </c>
      <c r="Y605" s="33"/>
      <c r="Z605" s="31"/>
      <c r="AA605" s="33"/>
      <c r="AB605" s="37" t="str">
        <f aca="false">IF(B605="","",YEAR(B605)*100+MONTH(B605))</f>
        <v/>
      </c>
      <c r="AC605" s="37" t="str">
        <f aca="false">IF(AND(E605&lt;&gt;"",E605=Cruce!$C$5),COUNTIF($E$5:E605,E605),"")</f>
        <v/>
      </c>
      <c r="AD605" s="37" t="str">
        <f aca="false">IF(E605="","",C605&amp;"|"&amp;Y605&amp;"|"&amp;IF(B605="","s/f",TEXT(B605,"yyyymmdd")))</f>
        <v/>
      </c>
      <c r="AE605" s="37" t="n">
        <f aca="false">IF(E605="",0,IF(COUNTIFS($E$5:E605,E605,$AD$5:AD605,AD605)=1,1,0))</f>
        <v>0</v>
      </c>
    </row>
    <row r="606" customFormat="false" ht="15" hidden="false" customHeight="true" outlineLevel="0" collapsed="false">
      <c r="A606" s="31"/>
      <c r="B606" s="30"/>
      <c r="C606" s="31"/>
      <c r="D606" s="31"/>
      <c r="E606" s="32"/>
      <c r="F606" s="32"/>
      <c r="G606" s="33"/>
      <c r="H606" s="31"/>
      <c r="I606" s="24" t="str">
        <f aca="false">IF(B606="","",YEAR(B606))</f>
        <v/>
      </c>
      <c r="J606" s="34" t="str">
        <f aca="false">IF(B606="","",IF(MONTH(B606)=1,"X",""))</f>
        <v/>
      </c>
      <c r="K606" s="34" t="str">
        <f aca="false">IF(B606="","",IF(MONTH(B606)=2,"X",""))</f>
        <v/>
      </c>
      <c r="L606" s="34" t="str">
        <f aca="false">IF(B606="","",IF(MONTH(B606)=3,"X",""))</f>
        <v/>
      </c>
      <c r="M606" s="34" t="str">
        <f aca="false">IF(B606="","",IF(MONTH(B606)=4,"X",""))</f>
        <v/>
      </c>
      <c r="N606" s="34" t="str">
        <f aca="false">IF(B606="","",IF(MONTH(B606)=5,"X",""))</f>
        <v/>
      </c>
      <c r="O606" s="34" t="str">
        <f aca="false">IF(B606="","",IF(MONTH(B606)=6,"X",""))</f>
        <v/>
      </c>
      <c r="P606" s="34" t="str">
        <f aca="false">IF(B606="","",IF(MONTH(B606)=7,"X",""))</f>
        <v/>
      </c>
      <c r="Q606" s="34" t="str">
        <f aca="false">IF(B606="","",IF(MONTH(B606)=8,"X",""))</f>
        <v/>
      </c>
      <c r="R606" s="34" t="str">
        <f aca="false">IF(B606="","",IF(MONTH(B606)=9,"X",""))</f>
        <v/>
      </c>
      <c r="S606" s="34" t="str">
        <f aca="false">IF(B606="","",IF(MONTH(B606)=10,"X",""))</f>
        <v/>
      </c>
      <c r="T606" s="34" t="str">
        <f aca="false">IF(B606="","",IF(MONTH(B606)=11,"X",""))</f>
        <v/>
      </c>
      <c r="U606" s="34" t="str">
        <f aca="false">IF(B606="","",IF(MONTH(B606)=12,"X",""))</f>
        <v/>
      </c>
      <c r="V606" s="24" t="str">
        <f aca="false">IF(E606="","",COUNTIF($E$5:$E$1000,E606))</f>
        <v/>
      </c>
      <c r="W606" s="35" t="str">
        <f aca="false">IF(E606="","",_xlfn.TEXTJOIN(" + ",TRUE(),IF(COUNTIFS($E$5:$E$1000,E606,$C$5:$C$1000,"Auditoría Interna")&gt;0,"Interna",""),IF(COUNTIFS($E$5:$E$1000,E606,$C$5:$C$1000,"Auditoría Externa")&gt;0,"Externa",""),IF(COUNTIFS($E$5:$E$1000,E606,$C$5:$C$1000,"SSF")&gt;0,"SSF",""),IF(COUNTIFS($E$5:$E$1000,E606,$C$5:$C$1000,"Comité de Supervisión")&gt;0,"Comité Sup.",""),IF(COUNTIFS($E$5:$E$1000,E606,$C$5:$C$1000,"Consejo de Administración")&gt;0,"Consejo",""),IF(COUNTIFS($E$5:$E$1000,E606,$C$5:$C$1000,"Otros")&gt;0,"Otros","")))</f>
        <v/>
      </c>
      <c r="X606" s="24" t="str">
        <f aca="false">IF(E606="","",COUNTIFS($E$5:$E$1000,E606,$AB$5:$AB$1000,AB606,$C$5:$C$1000,"&lt;&gt;"&amp;C606))</f>
        <v/>
      </c>
      <c r="Y606" s="33"/>
      <c r="Z606" s="31"/>
      <c r="AA606" s="33"/>
      <c r="AB606" s="37" t="str">
        <f aca="false">IF(B606="","",YEAR(B606)*100+MONTH(B606))</f>
        <v/>
      </c>
      <c r="AC606" s="37" t="str">
        <f aca="false">IF(AND(E606&lt;&gt;"",E606=Cruce!$C$5),COUNTIF($E$5:E606,E606),"")</f>
        <v/>
      </c>
      <c r="AD606" s="37" t="str">
        <f aca="false">IF(E606="","",C606&amp;"|"&amp;Y606&amp;"|"&amp;IF(B606="","s/f",TEXT(B606,"yyyymmdd")))</f>
        <v/>
      </c>
      <c r="AE606" s="37" t="n">
        <f aca="false">IF(E606="",0,IF(COUNTIFS($E$5:E606,E606,$AD$5:AD606,AD606)=1,1,0))</f>
        <v>0</v>
      </c>
    </row>
    <row r="607" customFormat="false" ht="15" hidden="false" customHeight="true" outlineLevel="0" collapsed="false">
      <c r="A607" s="31"/>
      <c r="B607" s="30"/>
      <c r="C607" s="31"/>
      <c r="D607" s="31"/>
      <c r="E607" s="32"/>
      <c r="F607" s="32"/>
      <c r="G607" s="33"/>
      <c r="H607" s="31"/>
      <c r="I607" s="24" t="str">
        <f aca="false">IF(B607="","",YEAR(B607))</f>
        <v/>
      </c>
      <c r="J607" s="34" t="str">
        <f aca="false">IF(B607="","",IF(MONTH(B607)=1,"X",""))</f>
        <v/>
      </c>
      <c r="K607" s="34" t="str">
        <f aca="false">IF(B607="","",IF(MONTH(B607)=2,"X",""))</f>
        <v/>
      </c>
      <c r="L607" s="34" t="str">
        <f aca="false">IF(B607="","",IF(MONTH(B607)=3,"X",""))</f>
        <v/>
      </c>
      <c r="M607" s="34" t="str">
        <f aca="false">IF(B607="","",IF(MONTH(B607)=4,"X",""))</f>
        <v/>
      </c>
      <c r="N607" s="34" t="str">
        <f aca="false">IF(B607="","",IF(MONTH(B607)=5,"X",""))</f>
        <v/>
      </c>
      <c r="O607" s="34" t="str">
        <f aca="false">IF(B607="","",IF(MONTH(B607)=6,"X",""))</f>
        <v/>
      </c>
      <c r="P607" s="34" t="str">
        <f aca="false">IF(B607="","",IF(MONTH(B607)=7,"X",""))</f>
        <v/>
      </c>
      <c r="Q607" s="34" t="str">
        <f aca="false">IF(B607="","",IF(MONTH(B607)=8,"X",""))</f>
        <v/>
      </c>
      <c r="R607" s="34" t="str">
        <f aca="false">IF(B607="","",IF(MONTH(B607)=9,"X",""))</f>
        <v/>
      </c>
      <c r="S607" s="34" t="str">
        <f aca="false">IF(B607="","",IF(MONTH(B607)=10,"X",""))</f>
        <v/>
      </c>
      <c r="T607" s="34" t="str">
        <f aca="false">IF(B607="","",IF(MONTH(B607)=11,"X",""))</f>
        <v/>
      </c>
      <c r="U607" s="34" t="str">
        <f aca="false">IF(B607="","",IF(MONTH(B607)=12,"X",""))</f>
        <v/>
      </c>
      <c r="V607" s="24" t="str">
        <f aca="false">IF(E607="","",COUNTIF($E$5:$E$1000,E607))</f>
        <v/>
      </c>
      <c r="W607" s="35" t="str">
        <f aca="false">IF(E607="","",_xlfn.TEXTJOIN(" + ",TRUE(),IF(COUNTIFS($E$5:$E$1000,E607,$C$5:$C$1000,"Auditoría Interna")&gt;0,"Interna",""),IF(COUNTIFS($E$5:$E$1000,E607,$C$5:$C$1000,"Auditoría Externa")&gt;0,"Externa",""),IF(COUNTIFS($E$5:$E$1000,E607,$C$5:$C$1000,"SSF")&gt;0,"SSF",""),IF(COUNTIFS($E$5:$E$1000,E607,$C$5:$C$1000,"Comité de Supervisión")&gt;0,"Comité Sup.",""),IF(COUNTIFS($E$5:$E$1000,E607,$C$5:$C$1000,"Consejo de Administración")&gt;0,"Consejo",""),IF(COUNTIFS($E$5:$E$1000,E607,$C$5:$C$1000,"Otros")&gt;0,"Otros","")))</f>
        <v/>
      </c>
      <c r="X607" s="24" t="str">
        <f aca="false">IF(E607="","",COUNTIFS($E$5:$E$1000,E607,$AB$5:$AB$1000,AB607,$C$5:$C$1000,"&lt;&gt;"&amp;C607))</f>
        <v/>
      </c>
      <c r="Y607" s="33"/>
      <c r="Z607" s="31"/>
      <c r="AA607" s="33"/>
      <c r="AB607" s="37" t="str">
        <f aca="false">IF(B607="","",YEAR(B607)*100+MONTH(B607))</f>
        <v/>
      </c>
      <c r="AC607" s="37" t="str">
        <f aca="false">IF(AND(E607&lt;&gt;"",E607=Cruce!$C$5),COUNTIF($E$5:E607,E607),"")</f>
        <v/>
      </c>
      <c r="AD607" s="37" t="str">
        <f aca="false">IF(E607="","",C607&amp;"|"&amp;Y607&amp;"|"&amp;IF(B607="","s/f",TEXT(B607,"yyyymmdd")))</f>
        <v/>
      </c>
      <c r="AE607" s="37" t="n">
        <f aca="false">IF(E607="",0,IF(COUNTIFS($E$5:E607,E607,$AD$5:AD607,AD607)=1,1,0))</f>
        <v>0</v>
      </c>
    </row>
    <row r="608" customFormat="false" ht="15" hidden="false" customHeight="true" outlineLevel="0" collapsed="false">
      <c r="A608" s="31"/>
      <c r="B608" s="30"/>
      <c r="C608" s="31"/>
      <c r="D608" s="31"/>
      <c r="E608" s="32"/>
      <c r="F608" s="32"/>
      <c r="G608" s="33"/>
      <c r="H608" s="31"/>
      <c r="I608" s="24" t="str">
        <f aca="false">IF(B608="","",YEAR(B608))</f>
        <v/>
      </c>
      <c r="J608" s="34" t="str">
        <f aca="false">IF(B608="","",IF(MONTH(B608)=1,"X",""))</f>
        <v/>
      </c>
      <c r="K608" s="34" t="str">
        <f aca="false">IF(B608="","",IF(MONTH(B608)=2,"X",""))</f>
        <v/>
      </c>
      <c r="L608" s="34" t="str">
        <f aca="false">IF(B608="","",IF(MONTH(B608)=3,"X",""))</f>
        <v/>
      </c>
      <c r="M608" s="34" t="str">
        <f aca="false">IF(B608="","",IF(MONTH(B608)=4,"X",""))</f>
        <v/>
      </c>
      <c r="N608" s="34" t="str">
        <f aca="false">IF(B608="","",IF(MONTH(B608)=5,"X",""))</f>
        <v/>
      </c>
      <c r="O608" s="34" t="str">
        <f aca="false">IF(B608="","",IF(MONTH(B608)=6,"X",""))</f>
        <v/>
      </c>
      <c r="P608" s="34" t="str">
        <f aca="false">IF(B608="","",IF(MONTH(B608)=7,"X",""))</f>
        <v/>
      </c>
      <c r="Q608" s="34" t="str">
        <f aca="false">IF(B608="","",IF(MONTH(B608)=8,"X",""))</f>
        <v/>
      </c>
      <c r="R608" s="34" t="str">
        <f aca="false">IF(B608="","",IF(MONTH(B608)=9,"X",""))</f>
        <v/>
      </c>
      <c r="S608" s="34" t="str">
        <f aca="false">IF(B608="","",IF(MONTH(B608)=10,"X",""))</f>
        <v/>
      </c>
      <c r="T608" s="34" t="str">
        <f aca="false">IF(B608="","",IF(MONTH(B608)=11,"X",""))</f>
        <v/>
      </c>
      <c r="U608" s="34" t="str">
        <f aca="false">IF(B608="","",IF(MONTH(B608)=12,"X",""))</f>
        <v/>
      </c>
      <c r="V608" s="24" t="str">
        <f aca="false">IF(E608="","",COUNTIF($E$5:$E$1000,E608))</f>
        <v/>
      </c>
      <c r="W608" s="35" t="str">
        <f aca="false">IF(E608="","",_xlfn.TEXTJOIN(" + ",TRUE(),IF(COUNTIFS($E$5:$E$1000,E608,$C$5:$C$1000,"Auditoría Interna")&gt;0,"Interna",""),IF(COUNTIFS($E$5:$E$1000,E608,$C$5:$C$1000,"Auditoría Externa")&gt;0,"Externa",""),IF(COUNTIFS($E$5:$E$1000,E608,$C$5:$C$1000,"SSF")&gt;0,"SSF",""),IF(COUNTIFS($E$5:$E$1000,E608,$C$5:$C$1000,"Comité de Supervisión")&gt;0,"Comité Sup.",""),IF(COUNTIFS($E$5:$E$1000,E608,$C$5:$C$1000,"Consejo de Administración")&gt;0,"Consejo",""),IF(COUNTIFS($E$5:$E$1000,E608,$C$5:$C$1000,"Otros")&gt;0,"Otros","")))</f>
        <v/>
      </c>
      <c r="X608" s="24" t="str">
        <f aca="false">IF(E608="","",COUNTIFS($E$5:$E$1000,E608,$AB$5:$AB$1000,AB608,$C$5:$C$1000,"&lt;&gt;"&amp;C608))</f>
        <v/>
      </c>
      <c r="Y608" s="33"/>
      <c r="Z608" s="31"/>
      <c r="AA608" s="33"/>
      <c r="AB608" s="37" t="str">
        <f aca="false">IF(B608="","",YEAR(B608)*100+MONTH(B608))</f>
        <v/>
      </c>
      <c r="AC608" s="37" t="str">
        <f aca="false">IF(AND(E608&lt;&gt;"",E608=Cruce!$C$5),COUNTIF($E$5:E608,E608),"")</f>
        <v/>
      </c>
      <c r="AD608" s="37" t="str">
        <f aca="false">IF(E608="","",C608&amp;"|"&amp;Y608&amp;"|"&amp;IF(B608="","s/f",TEXT(B608,"yyyymmdd")))</f>
        <v/>
      </c>
      <c r="AE608" s="37" t="n">
        <f aca="false">IF(E608="",0,IF(COUNTIFS($E$5:E608,E608,$AD$5:AD608,AD608)=1,1,0))</f>
        <v>0</v>
      </c>
    </row>
    <row r="609" customFormat="false" ht="15" hidden="false" customHeight="true" outlineLevel="0" collapsed="false">
      <c r="A609" s="31"/>
      <c r="B609" s="30"/>
      <c r="C609" s="31"/>
      <c r="D609" s="31"/>
      <c r="E609" s="32"/>
      <c r="F609" s="32"/>
      <c r="G609" s="33"/>
      <c r="H609" s="31"/>
      <c r="I609" s="24" t="str">
        <f aca="false">IF(B609="","",YEAR(B609))</f>
        <v/>
      </c>
      <c r="J609" s="34" t="str">
        <f aca="false">IF(B609="","",IF(MONTH(B609)=1,"X",""))</f>
        <v/>
      </c>
      <c r="K609" s="34" t="str">
        <f aca="false">IF(B609="","",IF(MONTH(B609)=2,"X",""))</f>
        <v/>
      </c>
      <c r="L609" s="34" t="str">
        <f aca="false">IF(B609="","",IF(MONTH(B609)=3,"X",""))</f>
        <v/>
      </c>
      <c r="M609" s="34" t="str">
        <f aca="false">IF(B609="","",IF(MONTH(B609)=4,"X",""))</f>
        <v/>
      </c>
      <c r="N609" s="34" t="str">
        <f aca="false">IF(B609="","",IF(MONTH(B609)=5,"X",""))</f>
        <v/>
      </c>
      <c r="O609" s="34" t="str">
        <f aca="false">IF(B609="","",IF(MONTH(B609)=6,"X",""))</f>
        <v/>
      </c>
      <c r="P609" s="34" t="str">
        <f aca="false">IF(B609="","",IF(MONTH(B609)=7,"X",""))</f>
        <v/>
      </c>
      <c r="Q609" s="34" t="str">
        <f aca="false">IF(B609="","",IF(MONTH(B609)=8,"X",""))</f>
        <v/>
      </c>
      <c r="R609" s="34" t="str">
        <f aca="false">IF(B609="","",IF(MONTH(B609)=9,"X",""))</f>
        <v/>
      </c>
      <c r="S609" s="34" t="str">
        <f aca="false">IF(B609="","",IF(MONTH(B609)=10,"X",""))</f>
        <v/>
      </c>
      <c r="T609" s="34" t="str">
        <f aca="false">IF(B609="","",IF(MONTH(B609)=11,"X",""))</f>
        <v/>
      </c>
      <c r="U609" s="34" t="str">
        <f aca="false">IF(B609="","",IF(MONTH(B609)=12,"X",""))</f>
        <v/>
      </c>
      <c r="V609" s="24" t="str">
        <f aca="false">IF(E609="","",COUNTIF($E$5:$E$1000,E609))</f>
        <v/>
      </c>
      <c r="W609" s="35" t="str">
        <f aca="false">IF(E609="","",_xlfn.TEXTJOIN(" + ",TRUE(),IF(COUNTIFS($E$5:$E$1000,E609,$C$5:$C$1000,"Auditoría Interna")&gt;0,"Interna",""),IF(COUNTIFS($E$5:$E$1000,E609,$C$5:$C$1000,"Auditoría Externa")&gt;0,"Externa",""),IF(COUNTIFS($E$5:$E$1000,E609,$C$5:$C$1000,"SSF")&gt;0,"SSF",""),IF(COUNTIFS($E$5:$E$1000,E609,$C$5:$C$1000,"Comité de Supervisión")&gt;0,"Comité Sup.",""),IF(COUNTIFS($E$5:$E$1000,E609,$C$5:$C$1000,"Consejo de Administración")&gt;0,"Consejo",""),IF(COUNTIFS($E$5:$E$1000,E609,$C$5:$C$1000,"Otros")&gt;0,"Otros","")))</f>
        <v/>
      </c>
      <c r="X609" s="24" t="str">
        <f aca="false">IF(E609="","",COUNTIFS($E$5:$E$1000,E609,$AB$5:$AB$1000,AB609,$C$5:$C$1000,"&lt;&gt;"&amp;C609))</f>
        <v/>
      </c>
      <c r="Y609" s="33"/>
      <c r="Z609" s="31"/>
      <c r="AA609" s="33"/>
      <c r="AB609" s="37" t="str">
        <f aca="false">IF(B609="","",YEAR(B609)*100+MONTH(B609))</f>
        <v/>
      </c>
      <c r="AC609" s="37" t="str">
        <f aca="false">IF(AND(E609&lt;&gt;"",E609=Cruce!$C$5),COUNTIF($E$5:E609,E609),"")</f>
        <v/>
      </c>
      <c r="AD609" s="37" t="str">
        <f aca="false">IF(E609="","",C609&amp;"|"&amp;Y609&amp;"|"&amp;IF(B609="","s/f",TEXT(B609,"yyyymmdd")))</f>
        <v/>
      </c>
      <c r="AE609" s="37" t="n">
        <f aca="false">IF(E609="",0,IF(COUNTIFS($E$5:E609,E609,$AD$5:AD609,AD609)=1,1,0))</f>
        <v>0</v>
      </c>
    </row>
    <row r="610" customFormat="false" ht="15" hidden="false" customHeight="true" outlineLevel="0" collapsed="false">
      <c r="A610" s="31"/>
      <c r="B610" s="30"/>
      <c r="C610" s="31"/>
      <c r="D610" s="31"/>
      <c r="E610" s="32"/>
      <c r="F610" s="32"/>
      <c r="G610" s="33"/>
      <c r="H610" s="31"/>
      <c r="I610" s="24" t="str">
        <f aca="false">IF(B610="","",YEAR(B610))</f>
        <v/>
      </c>
      <c r="J610" s="34" t="str">
        <f aca="false">IF(B610="","",IF(MONTH(B610)=1,"X",""))</f>
        <v/>
      </c>
      <c r="K610" s="34" t="str">
        <f aca="false">IF(B610="","",IF(MONTH(B610)=2,"X",""))</f>
        <v/>
      </c>
      <c r="L610" s="34" t="str">
        <f aca="false">IF(B610="","",IF(MONTH(B610)=3,"X",""))</f>
        <v/>
      </c>
      <c r="M610" s="34" t="str">
        <f aca="false">IF(B610="","",IF(MONTH(B610)=4,"X",""))</f>
        <v/>
      </c>
      <c r="N610" s="34" t="str">
        <f aca="false">IF(B610="","",IF(MONTH(B610)=5,"X",""))</f>
        <v/>
      </c>
      <c r="O610" s="34" t="str">
        <f aca="false">IF(B610="","",IF(MONTH(B610)=6,"X",""))</f>
        <v/>
      </c>
      <c r="P610" s="34" t="str">
        <f aca="false">IF(B610="","",IF(MONTH(B610)=7,"X",""))</f>
        <v/>
      </c>
      <c r="Q610" s="34" t="str">
        <f aca="false">IF(B610="","",IF(MONTH(B610)=8,"X",""))</f>
        <v/>
      </c>
      <c r="R610" s="34" t="str">
        <f aca="false">IF(B610="","",IF(MONTH(B610)=9,"X",""))</f>
        <v/>
      </c>
      <c r="S610" s="34" t="str">
        <f aca="false">IF(B610="","",IF(MONTH(B610)=10,"X",""))</f>
        <v/>
      </c>
      <c r="T610" s="34" t="str">
        <f aca="false">IF(B610="","",IF(MONTH(B610)=11,"X",""))</f>
        <v/>
      </c>
      <c r="U610" s="34" t="str">
        <f aca="false">IF(B610="","",IF(MONTH(B610)=12,"X",""))</f>
        <v/>
      </c>
      <c r="V610" s="24" t="str">
        <f aca="false">IF(E610="","",COUNTIF($E$5:$E$1000,E610))</f>
        <v/>
      </c>
      <c r="W610" s="35" t="str">
        <f aca="false">IF(E610="","",_xlfn.TEXTJOIN(" + ",TRUE(),IF(COUNTIFS($E$5:$E$1000,E610,$C$5:$C$1000,"Auditoría Interna")&gt;0,"Interna",""),IF(COUNTIFS($E$5:$E$1000,E610,$C$5:$C$1000,"Auditoría Externa")&gt;0,"Externa",""),IF(COUNTIFS($E$5:$E$1000,E610,$C$5:$C$1000,"SSF")&gt;0,"SSF",""),IF(COUNTIFS($E$5:$E$1000,E610,$C$5:$C$1000,"Comité de Supervisión")&gt;0,"Comité Sup.",""),IF(COUNTIFS($E$5:$E$1000,E610,$C$5:$C$1000,"Consejo de Administración")&gt;0,"Consejo",""),IF(COUNTIFS($E$5:$E$1000,E610,$C$5:$C$1000,"Otros")&gt;0,"Otros","")))</f>
        <v/>
      </c>
      <c r="X610" s="24" t="str">
        <f aca="false">IF(E610="","",COUNTIFS($E$5:$E$1000,E610,$AB$5:$AB$1000,AB610,$C$5:$C$1000,"&lt;&gt;"&amp;C610))</f>
        <v/>
      </c>
      <c r="Y610" s="33"/>
      <c r="Z610" s="31"/>
      <c r="AA610" s="33"/>
      <c r="AB610" s="37" t="str">
        <f aca="false">IF(B610="","",YEAR(B610)*100+MONTH(B610))</f>
        <v/>
      </c>
      <c r="AC610" s="37" t="str">
        <f aca="false">IF(AND(E610&lt;&gt;"",E610=Cruce!$C$5),COUNTIF($E$5:E610,E610),"")</f>
        <v/>
      </c>
      <c r="AD610" s="37" t="str">
        <f aca="false">IF(E610="","",C610&amp;"|"&amp;Y610&amp;"|"&amp;IF(B610="","s/f",TEXT(B610,"yyyymmdd")))</f>
        <v/>
      </c>
      <c r="AE610" s="37" t="n">
        <f aca="false">IF(E610="",0,IF(COUNTIFS($E$5:E610,E610,$AD$5:AD610,AD610)=1,1,0))</f>
        <v>0</v>
      </c>
    </row>
    <row r="611" customFormat="false" ht="15" hidden="false" customHeight="true" outlineLevel="0" collapsed="false">
      <c r="A611" s="31"/>
      <c r="B611" s="30"/>
      <c r="C611" s="31"/>
      <c r="D611" s="31"/>
      <c r="E611" s="32"/>
      <c r="F611" s="32"/>
      <c r="G611" s="33"/>
      <c r="H611" s="31"/>
      <c r="I611" s="24" t="str">
        <f aca="false">IF(B611="","",YEAR(B611))</f>
        <v/>
      </c>
      <c r="J611" s="34" t="str">
        <f aca="false">IF(B611="","",IF(MONTH(B611)=1,"X",""))</f>
        <v/>
      </c>
      <c r="K611" s="34" t="str">
        <f aca="false">IF(B611="","",IF(MONTH(B611)=2,"X",""))</f>
        <v/>
      </c>
      <c r="L611" s="34" t="str">
        <f aca="false">IF(B611="","",IF(MONTH(B611)=3,"X",""))</f>
        <v/>
      </c>
      <c r="M611" s="34" t="str">
        <f aca="false">IF(B611="","",IF(MONTH(B611)=4,"X",""))</f>
        <v/>
      </c>
      <c r="N611" s="34" t="str">
        <f aca="false">IF(B611="","",IF(MONTH(B611)=5,"X",""))</f>
        <v/>
      </c>
      <c r="O611" s="34" t="str">
        <f aca="false">IF(B611="","",IF(MONTH(B611)=6,"X",""))</f>
        <v/>
      </c>
      <c r="P611" s="34" t="str">
        <f aca="false">IF(B611="","",IF(MONTH(B611)=7,"X",""))</f>
        <v/>
      </c>
      <c r="Q611" s="34" t="str">
        <f aca="false">IF(B611="","",IF(MONTH(B611)=8,"X",""))</f>
        <v/>
      </c>
      <c r="R611" s="34" t="str">
        <f aca="false">IF(B611="","",IF(MONTH(B611)=9,"X",""))</f>
        <v/>
      </c>
      <c r="S611" s="34" t="str">
        <f aca="false">IF(B611="","",IF(MONTH(B611)=10,"X",""))</f>
        <v/>
      </c>
      <c r="T611" s="34" t="str">
        <f aca="false">IF(B611="","",IF(MONTH(B611)=11,"X",""))</f>
        <v/>
      </c>
      <c r="U611" s="34" t="str">
        <f aca="false">IF(B611="","",IF(MONTH(B611)=12,"X",""))</f>
        <v/>
      </c>
      <c r="V611" s="24" t="str">
        <f aca="false">IF(E611="","",COUNTIF($E$5:$E$1000,E611))</f>
        <v/>
      </c>
      <c r="W611" s="35" t="str">
        <f aca="false">IF(E611="","",_xlfn.TEXTJOIN(" + ",TRUE(),IF(COUNTIFS($E$5:$E$1000,E611,$C$5:$C$1000,"Auditoría Interna")&gt;0,"Interna",""),IF(COUNTIFS($E$5:$E$1000,E611,$C$5:$C$1000,"Auditoría Externa")&gt;0,"Externa",""),IF(COUNTIFS($E$5:$E$1000,E611,$C$5:$C$1000,"SSF")&gt;0,"SSF",""),IF(COUNTIFS($E$5:$E$1000,E611,$C$5:$C$1000,"Comité de Supervisión")&gt;0,"Comité Sup.",""),IF(COUNTIFS($E$5:$E$1000,E611,$C$5:$C$1000,"Consejo de Administración")&gt;0,"Consejo",""),IF(COUNTIFS($E$5:$E$1000,E611,$C$5:$C$1000,"Otros")&gt;0,"Otros","")))</f>
        <v/>
      </c>
      <c r="X611" s="24" t="str">
        <f aca="false">IF(E611="","",COUNTIFS($E$5:$E$1000,E611,$AB$5:$AB$1000,AB611,$C$5:$C$1000,"&lt;&gt;"&amp;C611))</f>
        <v/>
      </c>
      <c r="Y611" s="33"/>
      <c r="Z611" s="31"/>
      <c r="AA611" s="33"/>
      <c r="AB611" s="37" t="str">
        <f aca="false">IF(B611="","",YEAR(B611)*100+MONTH(B611))</f>
        <v/>
      </c>
      <c r="AC611" s="37" t="str">
        <f aca="false">IF(AND(E611&lt;&gt;"",E611=Cruce!$C$5),COUNTIF($E$5:E611,E611),"")</f>
        <v/>
      </c>
      <c r="AD611" s="37" t="str">
        <f aca="false">IF(E611="","",C611&amp;"|"&amp;Y611&amp;"|"&amp;IF(B611="","s/f",TEXT(B611,"yyyymmdd")))</f>
        <v/>
      </c>
      <c r="AE611" s="37" t="n">
        <f aca="false">IF(E611="",0,IF(COUNTIFS($E$5:E611,E611,$AD$5:AD611,AD611)=1,1,0))</f>
        <v>0</v>
      </c>
    </row>
    <row r="612" customFormat="false" ht="15" hidden="false" customHeight="true" outlineLevel="0" collapsed="false">
      <c r="A612" s="31"/>
      <c r="B612" s="30"/>
      <c r="C612" s="31"/>
      <c r="D612" s="31"/>
      <c r="E612" s="32"/>
      <c r="F612" s="32"/>
      <c r="G612" s="33"/>
      <c r="H612" s="31"/>
      <c r="I612" s="24" t="str">
        <f aca="false">IF(B612="","",YEAR(B612))</f>
        <v/>
      </c>
      <c r="J612" s="34" t="str">
        <f aca="false">IF(B612="","",IF(MONTH(B612)=1,"X",""))</f>
        <v/>
      </c>
      <c r="K612" s="34" t="str">
        <f aca="false">IF(B612="","",IF(MONTH(B612)=2,"X",""))</f>
        <v/>
      </c>
      <c r="L612" s="34" t="str">
        <f aca="false">IF(B612="","",IF(MONTH(B612)=3,"X",""))</f>
        <v/>
      </c>
      <c r="M612" s="34" t="str">
        <f aca="false">IF(B612="","",IF(MONTH(B612)=4,"X",""))</f>
        <v/>
      </c>
      <c r="N612" s="34" t="str">
        <f aca="false">IF(B612="","",IF(MONTH(B612)=5,"X",""))</f>
        <v/>
      </c>
      <c r="O612" s="34" t="str">
        <f aca="false">IF(B612="","",IF(MONTH(B612)=6,"X",""))</f>
        <v/>
      </c>
      <c r="P612" s="34" t="str">
        <f aca="false">IF(B612="","",IF(MONTH(B612)=7,"X",""))</f>
        <v/>
      </c>
      <c r="Q612" s="34" t="str">
        <f aca="false">IF(B612="","",IF(MONTH(B612)=8,"X",""))</f>
        <v/>
      </c>
      <c r="R612" s="34" t="str">
        <f aca="false">IF(B612="","",IF(MONTH(B612)=9,"X",""))</f>
        <v/>
      </c>
      <c r="S612" s="34" t="str">
        <f aca="false">IF(B612="","",IF(MONTH(B612)=10,"X",""))</f>
        <v/>
      </c>
      <c r="T612" s="34" t="str">
        <f aca="false">IF(B612="","",IF(MONTH(B612)=11,"X",""))</f>
        <v/>
      </c>
      <c r="U612" s="34" t="str">
        <f aca="false">IF(B612="","",IF(MONTH(B612)=12,"X",""))</f>
        <v/>
      </c>
      <c r="V612" s="24" t="str">
        <f aca="false">IF(E612="","",COUNTIF($E$5:$E$1000,E612))</f>
        <v/>
      </c>
      <c r="W612" s="35" t="str">
        <f aca="false">IF(E612="","",_xlfn.TEXTJOIN(" + ",TRUE(),IF(COUNTIFS($E$5:$E$1000,E612,$C$5:$C$1000,"Auditoría Interna")&gt;0,"Interna",""),IF(COUNTIFS($E$5:$E$1000,E612,$C$5:$C$1000,"Auditoría Externa")&gt;0,"Externa",""),IF(COUNTIFS($E$5:$E$1000,E612,$C$5:$C$1000,"SSF")&gt;0,"SSF",""),IF(COUNTIFS($E$5:$E$1000,E612,$C$5:$C$1000,"Comité de Supervisión")&gt;0,"Comité Sup.",""),IF(COUNTIFS($E$5:$E$1000,E612,$C$5:$C$1000,"Consejo de Administración")&gt;0,"Consejo",""),IF(COUNTIFS($E$5:$E$1000,E612,$C$5:$C$1000,"Otros")&gt;0,"Otros","")))</f>
        <v/>
      </c>
      <c r="X612" s="24" t="str">
        <f aca="false">IF(E612="","",COUNTIFS($E$5:$E$1000,E612,$AB$5:$AB$1000,AB612,$C$5:$C$1000,"&lt;&gt;"&amp;C612))</f>
        <v/>
      </c>
      <c r="Y612" s="33"/>
      <c r="Z612" s="31"/>
      <c r="AA612" s="33"/>
      <c r="AB612" s="37" t="str">
        <f aca="false">IF(B612="","",YEAR(B612)*100+MONTH(B612))</f>
        <v/>
      </c>
      <c r="AC612" s="37" t="str">
        <f aca="false">IF(AND(E612&lt;&gt;"",E612=Cruce!$C$5),COUNTIF($E$5:E612,E612),"")</f>
        <v/>
      </c>
      <c r="AD612" s="37" t="str">
        <f aca="false">IF(E612="","",C612&amp;"|"&amp;Y612&amp;"|"&amp;IF(B612="","s/f",TEXT(B612,"yyyymmdd")))</f>
        <v/>
      </c>
      <c r="AE612" s="37" t="n">
        <f aca="false">IF(E612="",0,IF(COUNTIFS($E$5:E612,E612,$AD$5:AD612,AD612)=1,1,0))</f>
        <v>0</v>
      </c>
    </row>
    <row r="613" customFormat="false" ht="15" hidden="false" customHeight="true" outlineLevel="0" collapsed="false">
      <c r="A613" s="31"/>
      <c r="B613" s="30"/>
      <c r="C613" s="31"/>
      <c r="D613" s="31"/>
      <c r="E613" s="32"/>
      <c r="F613" s="32"/>
      <c r="G613" s="33"/>
      <c r="H613" s="31"/>
      <c r="I613" s="24" t="str">
        <f aca="false">IF(B613="","",YEAR(B613))</f>
        <v/>
      </c>
      <c r="J613" s="34" t="str">
        <f aca="false">IF(B613="","",IF(MONTH(B613)=1,"X",""))</f>
        <v/>
      </c>
      <c r="K613" s="34" t="str">
        <f aca="false">IF(B613="","",IF(MONTH(B613)=2,"X",""))</f>
        <v/>
      </c>
      <c r="L613" s="34" t="str">
        <f aca="false">IF(B613="","",IF(MONTH(B613)=3,"X",""))</f>
        <v/>
      </c>
      <c r="M613" s="34" t="str">
        <f aca="false">IF(B613="","",IF(MONTH(B613)=4,"X",""))</f>
        <v/>
      </c>
      <c r="N613" s="34" t="str">
        <f aca="false">IF(B613="","",IF(MONTH(B613)=5,"X",""))</f>
        <v/>
      </c>
      <c r="O613" s="34" t="str">
        <f aca="false">IF(B613="","",IF(MONTH(B613)=6,"X",""))</f>
        <v/>
      </c>
      <c r="P613" s="34" t="str">
        <f aca="false">IF(B613="","",IF(MONTH(B613)=7,"X",""))</f>
        <v/>
      </c>
      <c r="Q613" s="34" t="str">
        <f aca="false">IF(B613="","",IF(MONTH(B613)=8,"X",""))</f>
        <v/>
      </c>
      <c r="R613" s="34" t="str">
        <f aca="false">IF(B613="","",IF(MONTH(B613)=9,"X",""))</f>
        <v/>
      </c>
      <c r="S613" s="34" t="str">
        <f aca="false">IF(B613="","",IF(MONTH(B613)=10,"X",""))</f>
        <v/>
      </c>
      <c r="T613" s="34" t="str">
        <f aca="false">IF(B613="","",IF(MONTH(B613)=11,"X",""))</f>
        <v/>
      </c>
      <c r="U613" s="34" t="str">
        <f aca="false">IF(B613="","",IF(MONTH(B613)=12,"X",""))</f>
        <v/>
      </c>
      <c r="V613" s="24" t="str">
        <f aca="false">IF(E613="","",COUNTIF($E$5:$E$1000,E613))</f>
        <v/>
      </c>
      <c r="W613" s="35" t="str">
        <f aca="false">IF(E613="","",_xlfn.TEXTJOIN(" + ",TRUE(),IF(COUNTIFS($E$5:$E$1000,E613,$C$5:$C$1000,"Auditoría Interna")&gt;0,"Interna",""),IF(COUNTIFS($E$5:$E$1000,E613,$C$5:$C$1000,"Auditoría Externa")&gt;0,"Externa",""),IF(COUNTIFS($E$5:$E$1000,E613,$C$5:$C$1000,"SSF")&gt;0,"SSF",""),IF(COUNTIFS($E$5:$E$1000,E613,$C$5:$C$1000,"Comité de Supervisión")&gt;0,"Comité Sup.",""),IF(COUNTIFS($E$5:$E$1000,E613,$C$5:$C$1000,"Consejo de Administración")&gt;0,"Consejo",""),IF(COUNTIFS($E$5:$E$1000,E613,$C$5:$C$1000,"Otros")&gt;0,"Otros","")))</f>
        <v/>
      </c>
      <c r="X613" s="24" t="str">
        <f aca="false">IF(E613="","",COUNTIFS($E$5:$E$1000,E613,$AB$5:$AB$1000,AB613,$C$5:$C$1000,"&lt;&gt;"&amp;C613))</f>
        <v/>
      </c>
      <c r="Y613" s="33"/>
      <c r="Z613" s="31"/>
      <c r="AA613" s="33"/>
      <c r="AB613" s="37" t="str">
        <f aca="false">IF(B613="","",YEAR(B613)*100+MONTH(B613))</f>
        <v/>
      </c>
      <c r="AC613" s="37" t="str">
        <f aca="false">IF(AND(E613&lt;&gt;"",E613=Cruce!$C$5),COUNTIF($E$5:E613,E613),"")</f>
        <v/>
      </c>
      <c r="AD613" s="37" t="str">
        <f aca="false">IF(E613="","",C613&amp;"|"&amp;Y613&amp;"|"&amp;IF(B613="","s/f",TEXT(B613,"yyyymmdd")))</f>
        <v/>
      </c>
      <c r="AE613" s="37" t="n">
        <f aca="false">IF(E613="",0,IF(COUNTIFS($E$5:E613,E613,$AD$5:AD613,AD613)=1,1,0))</f>
        <v>0</v>
      </c>
    </row>
    <row r="614" customFormat="false" ht="15" hidden="false" customHeight="true" outlineLevel="0" collapsed="false">
      <c r="A614" s="31"/>
      <c r="B614" s="30"/>
      <c r="C614" s="31"/>
      <c r="D614" s="31"/>
      <c r="E614" s="32"/>
      <c r="F614" s="32"/>
      <c r="G614" s="33"/>
      <c r="H614" s="31"/>
      <c r="I614" s="24" t="str">
        <f aca="false">IF(B614="","",YEAR(B614))</f>
        <v/>
      </c>
      <c r="J614" s="34" t="str">
        <f aca="false">IF(B614="","",IF(MONTH(B614)=1,"X",""))</f>
        <v/>
      </c>
      <c r="K614" s="34" t="str">
        <f aca="false">IF(B614="","",IF(MONTH(B614)=2,"X",""))</f>
        <v/>
      </c>
      <c r="L614" s="34" t="str">
        <f aca="false">IF(B614="","",IF(MONTH(B614)=3,"X",""))</f>
        <v/>
      </c>
      <c r="M614" s="34" t="str">
        <f aca="false">IF(B614="","",IF(MONTH(B614)=4,"X",""))</f>
        <v/>
      </c>
      <c r="N614" s="34" t="str">
        <f aca="false">IF(B614="","",IF(MONTH(B614)=5,"X",""))</f>
        <v/>
      </c>
      <c r="O614" s="34" t="str">
        <f aca="false">IF(B614="","",IF(MONTH(B614)=6,"X",""))</f>
        <v/>
      </c>
      <c r="P614" s="34" t="str">
        <f aca="false">IF(B614="","",IF(MONTH(B614)=7,"X",""))</f>
        <v/>
      </c>
      <c r="Q614" s="34" t="str">
        <f aca="false">IF(B614="","",IF(MONTH(B614)=8,"X",""))</f>
        <v/>
      </c>
      <c r="R614" s="34" t="str">
        <f aca="false">IF(B614="","",IF(MONTH(B614)=9,"X",""))</f>
        <v/>
      </c>
      <c r="S614" s="34" t="str">
        <f aca="false">IF(B614="","",IF(MONTH(B614)=10,"X",""))</f>
        <v/>
      </c>
      <c r="T614" s="34" t="str">
        <f aca="false">IF(B614="","",IF(MONTH(B614)=11,"X",""))</f>
        <v/>
      </c>
      <c r="U614" s="34" t="str">
        <f aca="false">IF(B614="","",IF(MONTH(B614)=12,"X",""))</f>
        <v/>
      </c>
      <c r="V614" s="24" t="str">
        <f aca="false">IF(E614="","",COUNTIF($E$5:$E$1000,E614))</f>
        <v/>
      </c>
      <c r="W614" s="35" t="str">
        <f aca="false">IF(E614="","",_xlfn.TEXTJOIN(" + ",TRUE(),IF(COUNTIFS($E$5:$E$1000,E614,$C$5:$C$1000,"Auditoría Interna")&gt;0,"Interna",""),IF(COUNTIFS($E$5:$E$1000,E614,$C$5:$C$1000,"Auditoría Externa")&gt;0,"Externa",""),IF(COUNTIFS($E$5:$E$1000,E614,$C$5:$C$1000,"SSF")&gt;0,"SSF",""),IF(COUNTIFS($E$5:$E$1000,E614,$C$5:$C$1000,"Comité de Supervisión")&gt;0,"Comité Sup.",""),IF(COUNTIFS($E$5:$E$1000,E614,$C$5:$C$1000,"Consejo de Administración")&gt;0,"Consejo",""),IF(COUNTIFS($E$5:$E$1000,E614,$C$5:$C$1000,"Otros")&gt;0,"Otros","")))</f>
        <v/>
      </c>
      <c r="X614" s="24" t="str">
        <f aca="false">IF(E614="","",COUNTIFS($E$5:$E$1000,E614,$AB$5:$AB$1000,AB614,$C$5:$C$1000,"&lt;&gt;"&amp;C614))</f>
        <v/>
      </c>
      <c r="Y614" s="33"/>
      <c r="Z614" s="31"/>
      <c r="AA614" s="33"/>
      <c r="AB614" s="37" t="str">
        <f aca="false">IF(B614="","",YEAR(B614)*100+MONTH(B614))</f>
        <v/>
      </c>
      <c r="AC614" s="37" t="str">
        <f aca="false">IF(AND(E614&lt;&gt;"",E614=Cruce!$C$5),COUNTIF($E$5:E614,E614),"")</f>
        <v/>
      </c>
      <c r="AD614" s="37" t="str">
        <f aca="false">IF(E614="","",C614&amp;"|"&amp;Y614&amp;"|"&amp;IF(B614="","s/f",TEXT(B614,"yyyymmdd")))</f>
        <v/>
      </c>
      <c r="AE614" s="37" t="n">
        <f aca="false">IF(E614="",0,IF(COUNTIFS($E$5:E614,E614,$AD$5:AD614,AD614)=1,1,0))</f>
        <v>0</v>
      </c>
    </row>
    <row r="615" customFormat="false" ht="15" hidden="false" customHeight="true" outlineLevel="0" collapsed="false">
      <c r="A615" s="31"/>
      <c r="B615" s="30"/>
      <c r="C615" s="31"/>
      <c r="D615" s="31"/>
      <c r="E615" s="32"/>
      <c r="F615" s="32"/>
      <c r="G615" s="33"/>
      <c r="H615" s="31"/>
      <c r="I615" s="24" t="str">
        <f aca="false">IF(B615="","",YEAR(B615))</f>
        <v/>
      </c>
      <c r="J615" s="34" t="str">
        <f aca="false">IF(B615="","",IF(MONTH(B615)=1,"X",""))</f>
        <v/>
      </c>
      <c r="K615" s="34" t="str">
        <f aca="false">IF(B615="","",IF(MONTH(B615)=2,"X",""))</f>
        <v/>
      </c>
      <c r="L615" s="34" t="str">
        <f aca="false">IF(B615="","",IF(MONTH(B615)=3,"X",""))</f>
        <v/>
      </c>
      <c r="M615" s="34" t="str">
        <f aca="false">IF(B615="","",IF(MONTH(B615)=4,"X",""))</f>
        <v/>
      </c>
      <c r="N615" s="34" t="str">
        <f aca="false">IF(B615="","",IF(MONTH(B615)=5,"X",""))</f>
        <v/>
      </c>
      <c r="O615" s="34" t="str">
        <f aca="false">IF(B615="","",IF(MONTH(B615)=6,"X",""))</f>
        <v/>
      </c>
      <c r="P615" s="34" t="str">
        <f aca="false">IF(B615="","",IF(MONTH(B615)=7,"X",""))</f>
        <v/>
      </c>
      <c r="Q615" s="34" t="str">
        <f aca="false">IF(B615="","",IF(MONTH(B615)=8,"X",""))</f>
        <v/>
      </c>
      <c r="R615" s="34" t="str">
        <f aca="false">IF(B615="","",IF(MONTH(B615)=9,"X",""))</f>
        <v/>
      </c>
      <c r="S615" s="34" t="str">
        <f aca="false">IF(B615="","",IF(MONTH(B615)=10,"X",""))</f>
        <v/>
      </c>
      <c r="T615" s="34" t="str">
        <f aca="false">IF(B615="","",IF(MONTH(B615)=11,"X",""))</f>
        <v/>
      </c>
      <c r="U615" s="34" t="str">
        <f aca="false">IF(B615="","",IF(MONTH(B615)=12,"X",""))</f>
        <v/>
      </c>
      <c r="V615" s="24" t="str">
        <f aca="false">IF(E615="","",COUNTIF($E$5:$E$1000,E615))</f>
        <v/>
      </c>
      <c r="W615" s="35" t="str">
        <f aca="false">IF(E615="","",_xlfn.TEXTJOIN(" + ",TRUE(),IF(COUNTIFS($E$5:$E$1000,E615,$C$5:$C$1000,"Auditoría Interna")&gt;0,"Interna",""),IF(COUNTIFS($E$5:$E$1000,E615,$C$5:$C$1000,"Auditoría Externa")&gt;0,"Externa",""),IF(COUNTIFS($E$5:$E$1000,E615,$C$5:$C$1000,"SSF")&gt;0,"SSF",""),IF(COUNTIFS($E$5:$E$1000,E615,$C$5:$C$1000,"Comité de Supervisión")&gt;0,"Comité Sup.",""),IF(COUNTIFS($E$5:$E$1000,E615,$C$5:$C$1000,"Consejo de Administración")&gt;0,"Consejo",""),IF(COUNTIFS($E$5:$E$1000,E615,$C$5:$C$1000,"Otros")&gt;0,"Otros","")))</f>
        <v/>
      </c>
      <c r="X615" s="24" t="str">
        <f aca="false">IF(E615="","",COUNTIFS($E$5:$E$1000,E615,$AB$5:$AB$1000,AB615,$C$5:$C$1000,"&lt;&gt;"&amp;C615))</f>
        <v/>
      </c>
      <c r="Y615" s="33"/>
      <c r="Z615" s="31"/>
      <c r="AA615" s="33"/>
      <c r="AB615" s="37" t="str">
        <f aca="false">IF(B615="","",YEAR(B615)*100+MONTH(B615))</f>
        <v/>
      </c>
      <c r="AC615" s="37" t="str">
        <f aca="false">IF(AND(E615&lt;&gt;"",E615=Cruce!$C$5),COUNTIF($E$5:E615,E615),"")</f>
        <v/>
      </c>
      <c r="AD615" s="37" t="str">
        <f aca="false">IF(E615="","",C615&amp;"|"&amp;Y615&amp;"|"&amp;IF(B615="","s/f",TEXT(B615,"yyyymmdd")))</f>
        <v/>
      </c>
      <c r="AE615" s="37" t="n">
        <f aca="false">IF(E615="",0,IF(COUNTIFS($E$5:E615,E615,$AD$5:AD615,AD615)=1,1,0))</f>
        <v>0</v>
      </c>
    </row>
    <row r="616" customFormat="false" ht="15" hidden="false" customHeight="true" outlineLevel="0" collapsed="false">
      <c r="A616" s="31"/>
      <c r="B616" s="30"/>
      <c r="C616" s="31"/>
      <c r="D616" s="31"/>
      <c r="E616" s="32"/>
      <c r="F616" s="32"/>
      <c r="G616" s="33"/>
      <c r="H616" s="31"/>
      <c r="I616" s="24" t="str">
        <f aca="false">IF(B616="","",YEAR(B616))</f>
        <v/>
      </c>
      <c r="J616" s="34" t="str">
        <f aca="false">IF(B616="","",IF(MONTH(B616)=1,"X",""))</f>
        <v/>
      </c>
      <c r="K616" s="34" t="str">
        <f aca="false">IF(B616="","",IF(MONTH(B616)=2,"X",""))</f>
        <v/>
      </c>
      <c r="L616" s="34" t="str">
        <f aca="false">IF(B616="","",IF(MONTH(B616)=3,"X",""))</f>
        <v/>
      </c>
      <c r="M616" s="34" t="str">
        <f aca="false">IF(B616="","",IF(MONTH(B616)=4,"X",""))</f>
        <v/>
      </c>
      <c r="N616" s="34" t="str">
        <f aca="false">IF(B616="","",IF(MONTH(B616)=5,"X",""))</f>
        <v/>
      </c>
      <c r="O616" s="34" t="str">
        <f aca="false">IF(B616="","",IF(MONTH(B616)=6,"X",""))</f>
        <v/>
      </c>
      <c r="P616" s="34" t="str">
        <f aca="false">IF(B616="","",IF(MONTH(B616)=7,"X",""))</f>
        <v/>
      </c>
      <c r="Q616" s="34" t="str">
        <f aca="false">IF(B616="","",IF(MONTH(B616)=8,"X",""))</f>
        <v/>
      </c>
      <c r="R616" s="34" t="str">
        <f aca="false">IF(B616="","",IF(MONTH(B616)=9,"X",""))</f>
        <v/>
      </c>
      <c r="S616" s="34" t="str">
        <f aca="false">IF(B616="","",IF(MONTH(B616)=10,"X",""))</f>
        <v/>
      </c>
      <c r="T616" s="34" t="str">
        <f aca="false">IF(B616="","",IF(MONTH(B616)=11,"X",""))</f>
        <v/>
      </c>
      <c r="U616" s="34" t="str">
        <f aca="false">IF(B616="","",IF(MONTH(B616)=12,"X",""))</f>
        <v/>
      </c>
      <c r="V616" s="24" t="str">
        <f aca="false">IF(E616="","",COUNTIF($E$5:$E$1000,E616))</f>
        <v/>
      </c>
      <c r="W616" s="35" t="str">
        <f aca="false">IF(E616="","",_xlfn.TEXTJOIN(" + ",TRUE(),IF(COUNTIFS($E$5:$E$1000,E616,$C$5:$C$1000,"Auditoría Interna")&gt;0,"Interna",""),IF(COUNTIFS($E$5:$E$1000,E616,$C$5:$C$1000,"Auditoría Externa")&gt;0,"Externa",""),IF(COUNTIFS($E$5:$E$1000,E616,$C$5:$C$1000,"SSF")&gt;0,"SSF",""),IF(COUNTIFS($E$5:$E$1000,E616,$C$5:$C$1000,"Comité de Supervisión")&gt;0,"Comité Sup.",""),IF(COUNTIFS($E$5:$E$1000,E616,$C$5:$C$1000,"Consejo de Administración")&gt;0,"Consejo",""),IF(COUNTIFS($E$5:$E$1000,E616,$C$5:$C$1000,"Otros")&gt;0,"Otros","")))</f>
        <v/>
      </c>
      <c r="X616" s="24" t="str">
        <f aca="false">IF(E616="","",COUNTIFS($E$5:$E$1000,E616,$AB$5:$AB$1000,AB616,$C$5:$C$1000,"&lt;&gt;"&amp;C616))</f>
        <v/>
      </c>
      <c r="Y616" s="33"/>
      <c r="Z616" s="31"/>
      <c r="AA616" s="33"/>
      <c r="AB616" s="37" t="str">
        <f aca="false">IF(B616="","",YEAR(B616)*100+MONTH(B616))</f>
        <v/>
      </c>
      <c r="AC616" s="37" t="str">
        <f aca="false">IF(AND(E616&lt;&gt;"",E616=Cruce!$C$5),COUNTIF($E$5:E616,E616),"")</f>
        <v/>
      </c>
      <c r="AD616" s="37" t="str">
        <f aca="false">IF(E616="","",C616&amp;"|"&amp;Y616&amp;"|"&amp;IF(B616="","s/f",TEXT(B616,"yyyymmdd")))</f>
        <v/>
      </c>
      <c r="AE616" s="37" t="n">
        <f aca="false">IF(E616="",0,IF(COUNTIFS($E$5:E616,E616,$AD$5:AD616,AD616)=1,1,0))</f>
        <v>0</v>
      </c>
    </row>
    <row r="617" customFormat="false" ht="15" hidden="false" customHeight="true" outlineLevel="0" collapsed="false">
      <c r="A617" s="31"/>
      <c r="B617" s="30"/>
      <c r="C617" s="31"/>
      <c r="D617" s="31"/>
      <c r="E617" s="32"/>
      <c r="F617" s="32"/>
      <c r="G617" s="33"/>
      <c r="H617" s="31"/>
      <c r="I617" s="24" t="str">
        <f aca="false">IF(B617="","",YEAR(B617))</f>
        <v/>
      </c>
      <c r="J617" s="34" t="str">
        <f aca="false">IF(B617="","",IF(MONTH(B617)=1,"X",""))</f>
        <v/>
      </c>
      <c r="K617" s="34" t="str">
        <f aca="false">IF(B617="","",IF(MONTH(B617)=2,"X",""))</f>
        <v/>
      </c>
      <c r="L617" s="34" t="str">
        <f aca="false">IF(B617="","",IF(MONTH(B617)=3,"X",""))</f>
        <v/>
      </c>
      <c r="M617" s="34" t="str">
        <f aca="false">IF(B617="","",IF(MONTH(B617)=4,"X",""))</f>
        <v/>
      </c>
      <c r="N617" s="34" t="str">
        <f aca="false">IF(B617="","",IF(MONTH(B617)=5,"X",""))</f>
        <v/>
      </c>
      <c r="O617" s="34" t="str">
        <f aca="false">IF(B617="","",IF(MONTH(B617)=6,"X",""))</f>
        <v/>
      </c>
      <c r="P617" s="34" t="str">
        <f aca="false">IF(B617="","",IF(MONTH(B617)=7,"X",""))</f>
        <v/>
      </c>
      <c r="Q617" s="34" t="str">
        <f aca="false">IF(B617="","",IF(MONTH(B617)=8,"X",""))</f>
        <v/>
      </c>
      <c r="R617" s="34" t="str">
        <f aca="false">IF(B617="","",IF(MONTH(B617)=9,"X",""))</f>
        <v/>
      </c>
      <c r="S617" s="34" t="str">
        <f aca="false">IF(B617="","",IF(MONTH(B617)=10,"X",""))</f>
        <v/>
      </c>
      <c r="T617" s="34" t="str">
        <f aca="false">IF(B617="","",IF(MONTH(B617)=11,"X",""))</f>
        <v/>
      </c>
      <c r="U617" s="34" t="str">
        <f aca="false">IF(B617="","",IF(MONTH(B617)=12,"X",""))</f>
        <v/>
      </c>
      <c r="V617" s="24" t="str">
        <f aca="false">IF(E617="","",COUNTIF($E$5:$E$1000,E617))</f>
        <v/>
      </c>
      <c r="W617" s="35" t="str">
        <f aca="false">IF(E617="","",_xlfn.TEXTJOIN(" + ",TRUE(),IF(COUNTIFS($E$5:$E$1000,E617,$C$5:$C$1000,"Auditoría Interna")&gt;0,"Interna",""),IF(COUNTIFS($E$5:$E$1000,E617,$C$5:$C$1000,"Auditoría Externa")&gt;0,"Externa",""),IF(COUNTIFS($E$5:$E$1000,E617,$C$5:$C$1000,"SSF")&gt;0,"SSF",""),IF(COUNTIFS($E$5:$E$1000,E617,$C$5:$C$1000,"Comité de Supervisión")&gt;0,"Comité Sup.",""),IF(COUNTIFS($E$5:$E$1000,E617,$C$5:$C$1000,"Consejo de Administración")&gt;0,"Consejo",""),IF(COUNTIFS($E$5:$E$1000,E617,$C$5:$C$1000,"Otros")&gt;0,"Otros","")))</f>
        <v/>
      </c>
      <c r="X617" s="24" t="str">
        <f aca="false">IF(E617="","",COUNTIFS($E$5:$E$1000,E617,$AB$5:$AB$1000,AB617,$C$5:$C$1000,"&lt;&gt;"&amp;C617))</f>
        <v/>
      </c>
      <c r="Y617" s="33"/>
      <c r="Z617" s="31"/>
      <c r="AA617" s="33"/>
      <c r="AB617" s="37" t="str">
        <f aca="false">IF(B617="","",YEAR(B617)*100+MONTH(B617))</f>
        <v/>
      </c>
      <c r="AC617" s="37" t="str">
        <f aca="false">IF(AND(E617&lt;&gt;"",E617=Cruce!$C$5),COUNTIF($E$5:E617,E617),"")</f>
        <v/>
      </c>
      <c r="AD617" s="37" t="str">
        <f aca="false">IF(E617="","",C617&amp;"|"&amp;Y617&amp;"|"&amp;IF(B617="","s/f",TEXT(B617,"yyyymmdd")))</f>
        <v/>
      </c>
      <c r="AE617" s="37" t="n">
        <f aca="false">IF(E617="",0,IF(COUNTIFS($E$5:E617,E617,$AD$5:AD617,AD617)=1,1,0))</f>
        <v>0</v>
      </c>
    </row>
    <row r="618" customFormat="false" ht="15" hidden="false" customHeight="true" outlineLevel="0" collapsed="false">
      <c r="A618" s="31"/>
      <c r="B618" s="30"/>
      <c r="C618" s="31"/>
      <c r="D618" s="31"/>
      <c r="E618" s="32"/>
      <c r="F618" s="32"/>
      <c r="G618" s="33"/>
      <c r="H618" s="31"/>
      <c r="I618" s="24" t="str">
        <f aca="false">IF(B618="","",YEAR(B618))</f>
        <v/>
      </c>
      <c r="J618" s="34" t="str">
        <f aca="false">IF(B618="","",IF(MONTH(B618)=1,"X",""))</f>
        <v/>
      </c>
      <c r="K618" s="34" t="str">
        <f aca="false">IF(B618="","",IF(MONTH(B618)=2,"X",""))</f>
        <v/>
      </c>
      <c r="L618" s="34" t="str">
        <f aca="false">IF(B618="","",IF(MONTH(B618)=3,"X",""))</f>
        <v/>
      </c>
      <c r="M618" s="34" t="str">
        <f aca="false">IF(B618="","",IF(MONTH(B618)=4,"X",""))</f>
        <v/>
      </c>
      <c r="N618" s="34" t="str">
        <f aca="false">IF(B618="","",IF(MONTH(B618)=5,"X",""))</f>
        <v/>
      </c>
      <c r="O618" s="34" t="str">
        <f aca="false">IF(B618="","",IF(MONTH(B618)=6,"X",""))</f>
        <v/>
      </c>
      <c r="P618" s="34" t="str">
        <f aca="false">IF(B618="","",IF(MONTH(B618)=7,"X",""))</f>
        <v/>
      </c>
      <c r="Q618" s="34" t="str">
        <f aca="false">IF(B618="","",IF(MONTH(B618)=8,"X",""))</f>
        <v/>
      </c>
      <c r="R618" s="34" t="str">
        <f aca="false">IF(B618="","",IF(MONTH(B618)=9,"X",""))</f>
        <v/>
      </c>
      <c r="S618" s="34" t="str">
        <f aca="false">IF(B618="","",IF(MONTH(B618)=10,"X",""))</f>
        <v/>
      </c>
      <c r="T618" s="34" t="str">
        <f aca="false">IF(B618="","",IF(MONTH(B618)=11,"X",""))</f>
        <v/>
      </c>
      <c r="U618" s="34" t="str">
        <f aca="false">IF(B618="","",IF(MONTH(B618)=12,"X",""))</f>
        <v/>
      </c>
      <c r="V618" s="24" t="str">
        <f aca="false">IF(E618="","",COUNTIF($E$5:$E$1000,E618))</f>
        <v/>
      </c>
      <c r="W618" s="35" t="str">
        <f aca="false">IF(E618="","",_xlfn.TEXTJOIN(" + ",TRUE(),IF(COUNTIFS($E$5:$E$1000,E618,$C$5:$C$1000,"Auditoría Interna")&gt;0,"Interna",""),IF(COUNTIFS($E$5:$E$1000,E618,$C$5:$C$1000,"Auditoría Externa")&gt;0,"Externa",""),IF(COUNTIFS($E$5:$E$1000,E618,$C$5:$C$1000,"SSF")&gt;0,"SSF",""),IF(COUNTIFS($E$5:$E$1000,E618,$C$5:$C$1000,"Comité de Supervisión")&gt;0,"Comité Sup.",""),IF(COUNTIFS($E$5:$E$1000,E618,$C$5:$C$1000,"Consejo de Administración")&gt;0,"Consejo",""),IF(COUNTIFS($E$5:$E$1000,E618,$C$5:$C$1000,"Otros")&gt;0,"Otros","")))</f>
        <v/>
      </c>
      <c r="X618" s="24" t="str">
        <f aca="false">IF(E618="","",COUNTIFS($E$5:$E$1000,E618,$AB$5:$AB$1000,AB618,$C$5:$C$1000,"&lt;&gt;"&amp;C618))</f>
        <v/>
      </c>
      <c r="Y618" s="33"/>
      <c r="Z618" s="31"/>
      <c r="AA618" s="33"/>
      <c r="AB618" s="37" t="str">
        <f aca="false">IF(B618="","",YEAR(B618)*100+MONTH(B618))</f>
        <v/>
      </c>
      <c r="AC618" s="37" t="str">
        <f aca="false">IF(AND(E618&lt;&gt;"",E618=Cruce!$C$5),COUNTIF($E$5:E618,E618),"")</f>
        <v/>
      </c>
      <c r="AD618" s="37" t="str">
        <f aca="false">IF(E618="","",C618&amp;"|"&amp;Y618&amp;"|"&amp;IF(B618="","s/f",TEXT(B618,"yyyymmdd")))</f>
        <v/>
      </c>
      <c r="AE618" s="37" t="n">
        <f aca="false">IF(E618="",0,IF(COUNTIFS($E$5:E618,E618,$AD$5:AD618,AD618)=1,1,0))</f>
        <v>0</v>
      </c>
    </row>
    <row r="619" customFormat="false" ht="15" hidden="false" customHeight="true" outlineLevel="0" collapsed="false">
      <c r="A619" s="31"/>
      <c r="B619" s="30"/>
      <c r="C619" s="31"/>
      <c r="D619" s="31"/>
      <c r="E619" s="32"/>
      <c r="F619" s="32"/>
      <c r="G619" s="33"/>
      <c r="H619" s="31"/>
      <c r="I619" s="24" t="str">
        <f aca="false">IF(B619="","",YEAR(B619))</f>
        <v/>
      </c>
      <c r="J619" s="34" t="str">
        <f aca="false">IF(B619="","",IF(MONTH(B619)=1,"X",""))</f>
        <v/>
      </c>
      <c r="K619" s="34" t="str">
        <f aca="false">IF(B619="","",IF(MONTH(B619)=2,"X",""))</f>
        <v/>
      </c>
      <c r="L619" s="34" t="str">
        <f aca="false">IF(B619="","",IF(MONTH(B619)=3,"X",""))</f>
        <v/>
      </c>
      <c r="M619" s="34" t="str">
        <f aca="false">IF(B619="","",IF(MONTH(B619)=4,"X",""))</f>
        <v/>
      </c>
      <c r="N619" s="34" t="str">
        <f aca="false">IF(B619="","",IF(MONTH(B619)=5,"X",""))</f>
        <v/>
      </c>
      <c r="O619" s="34" t="str">
        <f aca="false">IF(B619="","",IF(MONTH(B619)=6,"X",""))</f>
        <v/>
      </c>
      <c r="P619" s="34" t="str">
        <f aca="false">IF(B619="","",IF(MONTH(B619)=7,"X",""))</f>
        <v/>
      </c>
      <c r="Q619" s="34" t="str">
        <f aca="false">IF(B619="","",IF(MONTH(B619)=8,"X",""))</f>
        <v/>
      </c>
      <c r="R619" s="34" t="str">
        <f aca="false">IF(B619="","",IF(MONTH(B619)=9,"X",""))</f>
        <v/>
      </c>
      <c r="S619" s="34" t="str">
        <f aca="false">IF(B619="","",IF(MONTH(B619)=10,"X",""))</f>
        <v/>
      </c>
      <c r="T619" s="34" t="str">
        <f aca="false">IF(B619="","",IF(MONTH(B619)=11,"X",""))</f>
        <v/>
      </c>
      <c r="U619" s="34" t="str">
        <f aca="false">IF(B619="","",IF(MONTH(B619)=12,"X",""))</f>
        <v/>
      </c>
      <c r="V619" s="24" t="str">
        <f aca="false">IF(E619="","",COUNTIF($E$5:$E$1000,E619))</f>
        <v/>
      </c>
      <c r="W619" s="35" t="str">
        <f aca="false">IF(E619="","",_xlfn.TEXTJOIN(" + ",TRUE(),IF(COUNTIFS($E$5:$E$1000,E619,$C$5:$C$1000,"Auditoría Interna")&gt;0,"Interna",""),IF(COUNTIFS($E$5:$E$1000,E619,$C$5:$C$1000,"Auditoría Externa")&gt;0,"Externa",""),IF(COUNTIFS($E$5:$E$1000,E619,$C$5:$C$1000,"SSF")&gt;0,"SSF",""),IF(COUNTIFS($E$5:$E$1000,E619,$C$5:$C$1000,"Comité de Supervisión")&gt;0,"Comité Sup.",""),IF(COUNTIFS($E$5:$E$1000,E619,$C$5:$C$1000,"Consejo de Administración")&gt;0,"Consejo",""),IF(COUNTIFS($E$5:$E$1000,E619,$C$5:$C$1000,"Otros")&gt;0,"Otros","")))</f>
        <v/>
      </c>
      <c r="X619" s="24" t="str">
        <f aca="false">IF(E619="","",COUNTIFS($E$5:$E$1000,E619,$AB$5:$AB$1000,AB619,$C$5:$C$1000,"&lt;&gt;"&amp;C619))</f>
        <v/>
      </c>
      <c r="Y619" s="33"/>
      <c r="Z619" s="31"/>
      <c r="AA619" s="33"/>
      <c r="AB619" s="37" t="str">
        <f aca="false">IF(B619="","",YEAR(B619)*100+MONTH(B619))</f>
        <v/>
      </c>
      <c r="AC619" s="37" t="str">
        <f aca="false">IF(AND(E619&lt;&gt;"",E619=Cruce!$C$5),COUNTIF($E$5:E619,E619),"")</f>
        <v/>
      </c>
      <c r="AD619" s="37" t="str">
        <f aca="false">IF(E619="","",C619&amp;"|"&amp;Y619&amp;"|"&amp;IF(B619="","s/f",TEXT(B619,"yyyymmdd")))</f>
        <v/>
      </c>
      <c r="AE619" s="37" t="n">
        <f aca="false">IF(E619="",0,IF(COUNTIFS($E$5:E619,E619,$AD$5:AD619,AD619)=1,1,0))</f>
        <v>0</v>
      </c>
    </row>
    <row r="620" customFormat="false" ht="15" hidden="false" customHeight="true" outlineLevel="0" collapsed="false">
      <c r="A620" s="31"/>
      <c r="B620" s="30"/>
      <c r="C620" s="31"/>
      <c r="D620" s="31"/>
      <c r="E620" s="32"/>
      <c r="F620" s="32"/>
      <c r="G620" s="33"/>
      <c r="H620" s="31"/>
      <c r="I620" s="24" t="str">
        <f aca="false">IF(B620="","",YEAR(B620))</f>
        <v/>
      </c>
      <c r="J620" s="34" t="str">
        <f aca="false">IF(B620="","",IF(MONTH(B620)=1,"X",""))</f>
        <v/>
      </c>
      <c r="K620" s="34" t="str">
        <f aca="false">IF(B620="","",IF(MONTH(B620)=2,"X",""))</f>
        <v/>
      </c>
      <c r="L620" s="34" t="str">
        <f aca="false">IF(B620="","",IF(MONTH(B620)=3,"X",""))</f>
        <v/>
      </c>
      <c r="M620" s="34" t="str">
        <f aca="false">IF(B620="","",IF(MONTH(B620)=4,"X",""))</f>
        <v/>
      </c>
      <c r="N620" s="34" t="str">
        <f aca="false">IF(B620="","",IF(MONTH(B620)=5,"X",""))</f>
        <v/>
      </c>
      <c r="O620" s="34" t="str">
        <f aca="false">IF(B620="","",IF(MONTH(B620)=6,"X",""))</f>
        <v/>
      </c>
      <c r="P620" s="34" t="str">
        <f aca="false">IF(B620="","",IF(MONTH(B620)=7,"X",""))</f>
        <v/>
      </c>
      <c r="Q620" s="34" t="str">
        <f aca="false">IF(B620="","",IF(MONTH(B620)=8,"X",""))</f>
        <v/>
      </c>
      <c r="R620" s="34" t="str">
        <f aca="false">IF(B620="","",IF(MONTH(B620)=9,"X",""))</f>
        <v/>
      </c>
      <c r="S620" s="34" t="str">
        <f aca="false">IF(B620="","",IF(MONTH(B620)=10,"X",""))</f>
        <v/>
      </c>
      <c r="T620" s="34" t="str">
        <f aca="false">IF(B620="","",IF(MONTH(B620)=11,"X",""))</f>
        <v/>
      </c>
      <c r="U620" s="34" t="str">
        <f aca="false">IF(B620="","",IF(MONTH(B620)=12,"X",""))</f>
        <v/>
      </c>
      <c r="V620" s="24" t="str">
        <f aca="false">IF(E620="","",COUNTIF($E$5:$E$1000,E620))</f>
        <v/>
      </c>
      <c r="W620" s="35" t="str">
        <f aca="false">IF(E620="","",_xlfn.TEXTJOIN(" + ",TRUE(),IF(COUNTIFS($E$5:$E$1000,E620,$C$5:$C$1000,"Auditoría Interna")&gt;0,"Interna",""),IF(COUNTIFS($E$5:$E$1000,E620,$C$5:$C$1000,"Auditoría Externa")&gt;0,"Externa",""),IF(COUNTIFS($E$5:$E$1000,E620,$C$5:$C$1000,"SSF")&gt;0,"SSF",""),IF(COUNTIFS($E$5:$E$1000,E620,$C$5:$C$1000,"Comité de Supervisión")&gt;0,"Comité Sup.",""),IF(COUNTIFS($E$5:$E$1000,E620,$C$5:$C$1000,"Consejo de Administración")&gt;0,"Consejo",""),IF(COUNTIFS($E$5:$E$1000,E620,$C$5:$C$1000,"Otros")&gt;0,"Otros","")))</f>
        <v/>
      </c>
      <c r="X620" s="24" t="str">
        <f aca="false">IF(E620="","",COUNTIFS($E$5:$E$1000,E620,$AB$5:$AB$1000,AB620,$C$5:$C$1000,"&lt;&gt;"&amp;C620))</f>
        <v/>
      </c>
      <c r="Y620" s="33"/>
      <c r="Z620" s="31"/>
      <c r="AA620" s="33"/>
      <c r="AB620" s="37" t="str">
        <f aca="false">IF(B620="","",YEAR(B620)*100+MONTH(B620))</f>
        <v/>
      </c>
      <c r="AC620" s="37" t="str">
        <f aca="false">IF(AND(E620&lt;&gt;"",E620=Cruce!$C$5),COUNTIF($E$5:E620,E620),"")</f>
        <v/>
      </c>
      <c r="AD620" s="37" t="str">
        <f aca="false">IF(E620="","",C620&amp;"|"&amp;Y620&amp;"|"&amp;IF(B620="","s/f",TEXT(B620,"yyyymmdd")))</f>
        <v/>
      </c>
      <c r="AE620" s="37" t="n">
        <f aca="false">IF(E620="",0,IF(COUNTIFS($E$5:E620,E620,$AD$5:AD620,AD620)=1,1,0))</f>
        <v>0</v>
      </c>
    </row>
    <row r="621" customFormat="false" ht="15" hidden="false" customHeight="true" outlineLevel="0" collapsed="false">
      <c r="A621" s="31"/>
      <c r="B621" s="30"/>
      <c r="C621" s="31"/>
      <c r="D621" s="31"/>
      <c r="E621" s="32"/>
      <c r="F621" s="32"/>
      <c r="G621" s="33"/>
      <c r="H621" s="31"/>
      <c r="I621" s="24" t="str">
        <f aca="false">IF(B621="","",YEAR(B621))</f>
        <v/>
      </c>
      <c r="J621" s="34" t="str">
        <f aca="false">IF(B621="","",IF(MONTH(B621)=1,"X",""))</f>
        <v/>
      </c>
      <c r="K621" s="34" t="str">
        <f aca="false">IF(B621="","",IF(MONTH(B621)=2,"X",""))</f>
        <v/>
      </c>
      <c r="L621" s="34" t="str">
        <f aca="false">IF(B621="","",IF(MONTH(B621)=3,"X",""))</f>
        <v/>
      </c>
      <c r="M621" s="34" t="str">
        <f aca="false">IF(B621="","",IF(MONTH(B621)=4,"X",""))</f>
        <v/>
      </c>
      <c r="N621" s="34" t="str">
        <f aca="false">IF(B621="","",IF(MONTH(B621)=5,"X",""))</f>
        <v/>
      </c>
      <c r="O621" s="34" t="str">
        <f aca="false">IF(B621="","",IF(MONTH(B621)=6,"X",""))</f>
        <v/>
      </c>
      <c r="P621" s="34" t="str">
        <f aca="false">IF(B621="","",IF(MONTH(B621)=7,"X",""))</f>
        <v/>
      </c>
      <c r="Q621" s="34" t="str">
        <f aca="false">IF(B621="","",IF(MONTH(B621)=8,"X",""))</f>
        <v/>
      </c>
      <c r="R621" s="34" t="str">
        <f aca="false">IF(B621="","",IF(MONTH(B621)=9,"X",""))</f>
        <v/>
      </c>
      <c r="S621" s="34" t="str">
        <f aca="false">IF(B621="","",IF(MONTH(B621)=10,"X",""))</f>
        <v/>
      </c>
      <c r="T621" s="34" t="str">
        <f aca="false">IF(B621="","",IF(MONTH(B621)=11,"X",""))</f>
        <v/>
      </c>
      <c r="U621" s="34" t="str">
        <f aca="false">IF(B621="","",IF(MONTH(B621)=12,"X",""))</f>
        <v/>
      </c>
      <c r="V621" s="24" t="str">
        <f aca="false">IF(E621="","",COUNTIF($E$5:$E$1000,E621))</f>
        <v/>
      </c>
      <c r="W621" s="35" t="str">
        <f aca="false">IF(E621="","",_xlfn.TEXTJOIN(" + ",TRUE(),IF(COUNTIFS($E$5:$E$1000,E621,$C$5:$C$1000,"Auditoría Interna")&gt;0,"Interna",""),IF(COUNTIFS($E$5:$E$1000,E621,$C$5:$C$1000,"Auditoría Externa")&gt;0,"Externa",""),IF(COUNTIFS($E$5:$E$1000,E621,$C$5:$C$1000,"SSF")&gt;0,"SSF",""),IF(COUNTIFS($E$5:$E$1000,E621,$C$5:$C$1000,"Comité de Supervisión")&gt;0,"Comité Sup.",""),IF(COUNTIFS($E$5:$E$1000,E621,$C$5:$C$1000,"Consejo de Administración")&gt;0,"Consejo",""),IF(COUNTIFS($E$5:$E$1000,E621,$C$5:$C$1000,"Otros")&gt;0,"Otros","")))</f>
        <v/>
      </c>
      <c r="X621" s="24" t="str">
        <f aca="false">IF(E621="","",COUNTIFS($E$5:$E$1000,E621,$AB$5:$AB$1000,AB621,$C$5:$C$1000,"&lt;&gt;"&amp;C621))</f>
        <v/>
      </c>
      <c r="Y621" s="33"/>
      <c r="Z621" s="31"/>
      <c r="AA621" s="33"/>
      <c r="AB621" s="37" t="str">
        <f aca="false">IF(B621="","",YEAR(B621)*100+MONTH(B621))</f>
        <v/>
      </c>
      <c r="AC621" s="37" t="str">
        <f aca="false">IF(AND(E621&lt;&gt;"",E621=Cruce!$C$5),COUNTIF($E$5:E621,E621),"")</f>
        <v/>
      </c>
      <c r="AD621" s="37" t="str">
        <f aca="false">IF(E621="","",C621&amp;"|"&amp;Y621&amp;"|"&amp;IF(B621="","s/f",TEXT(B621,"yyyymmdd")))</f>
        <v/>
      </c>
      <c r="AE621" s="37" t="n">
        <f aca="false">IF(E621="",0,IF(COUNTIFS($E$5:E621,E621,$AD$5:AD621,AD621)=1,1,0))</f>
        <v>0</v>
      </c>
    </row>
    <row r="622" customFormat="false" ht="15" hidden="false" customHeight="true" outlineLevel="0" collapsed="false">
      <c r="A622" s="31"/>
      <c r="B622" s="30"/>
      <c r="C622" s="31"/>
      <c r="D622" s="31"/>
      <c r="E622" s="32"/>
      <c r="F622" s="32"/>
      <c r="G622" s="33"/>
      <c r="H622" s="31"/>
      <c r="I622" s="24" t="str">
        <f aca="false">IF(B622="","",YEAR(B622))</f>
        <v/>
      </c>
      <c r="J622" s="34" t="str">
        <f aca="false">IF(B622="","",IF(MONTH(B622)=1,"X",""))</f>
        <v/>
      </c>
      <c r="K622" s="34" t="str">
        <f aca="false">IF(B622="","",IF(MONTH(B622)=2,"X",""))</f>
        <v/>
      </c>
      <c r="L622" s="34" t="str">
        <f aca="false">IF(B622="","",IF(MONTH(B622)=3,"X",""))</f>
        <v/>
      </c>
      <c r="M622" s="34" t="str">
        <f aca="false">IF(B622="","",IF(MONTH(B622)=4,"X",""))</f>
        <v/>
      </c>
      <c r="N622" s="34" t="str">
        <f aca="false">IF(B622="","",IF(MONTH(B622)=5,"X",""))</f>
        <v/>
      </c>
      <c r="O622" s="34" t="str">
        <f aca="false">IF(B622="","",IF(MONTH(B622)=6,"X",""))</f>
        <v/>
      </c>
      <c r="P622" s="34" t="str">
        <f aca="false">IF(B622="","",IF(MONTH(B622)=7,"X",""))</f>
        <v/>
      </c>
      <c r="Q622" s="34" t="str">
        <f aca="false">IF(B622="","",IF(MONTH(B622)=8,"X",""))</f>
        <v/>
      </c>
      <c r="R622" s="34" t="str">
        <f aca="false">IF(B622="","",IF(MONTH(B622)=9,"X",""))</f>
        <v/>
      </c>
      <c r="S622" s="34" t="str">
        <f aca="false">IF(B622="","",IF(MONTH(B622)=10,"X",""))</f>
        <v/>
      </c>
      <c r="T622" s="34" t="str">
        <f aca="false">IF(B622="","",IF(MONTH(B622)=11,"X",""))</f>
        <v/>
      </c>
      <c r="U622" s="34" t="str">
        <f aca="false">IF(B622="","",IF(MONTH(B622)=12,"X",""))</f>
        <v/>
      </c>
      <c r="V622" s="24" t="str">
        <f aca="false">IF(E622="","",COUNTIF($E$5:$E$1000,E622))</f>
        <v/>
      </c>
      <c r="W622" s="35" t="str">
        <f aca="false">IF(E622="","",_xlfn.TEXTJOIN(" + ",TRUE(),IF(COUNTIFS($E$5:$E$1000,E622,$C$5:$C$1000,"Auditoría Interna")&gt;0,"Interna",""),IF(COUNTIFS($E$5:$E$1000,E622,$C$5:$C$1000,"Auditoría Externa")&gt;0,"Externa",""),IF(COUNTIFS($E$5:$E$1000,E622,$C$5:$C$1000,"SSF")&gt;0,"SSF",""),IF(COUNTIFS($E$5:$E$1000,E622,$C$5:$C$1000,"Comité de Supervisión")&gt;0,"Comité Sup.",""),IF(COUNTIFS($E$5:$E$1000,E622,$C$5:$C$1000,"Consejo de Administración")&gt;0,"Consejo",""),IF(COUNTIFS($E$5:$E$1000,E622,$C$5:$C$1000,"Otros")&gt;0,"Otros","")))</f>
        <v/>
      </c>
      <c r="X622" s="24" t="str">
        <f aca="false">IF(E622="","",COUNTIFS($E$5:$E$1000,E622,$AB$5:$AB$1000,AB622,$C$5:$C$1000,"&lt;&gt;"&amp;C622))</f>
        <v/>
      </c>
      <c r="Y622" s="33"/>
      <c r="Z622" s="31"/>
      <c r="AA622" s="33"/>
      <c r="AB622" s="37" t="str">
        <f aca="false">IF(B622="","",YEAR(B622)*100+MONTH(B622))</f>
        <v/>
      </c>
      <c r="AC622" s="37" t="str">
        <f aca="false">IF(AND(E622&lt;&gt;"",E622=Cruce!$C$5),COUNTIF($E$5:E622,E622),"")</f>
        <v/>
      </c>
      <c r="AD622" s="37" t="str">
        <f aca="false">IF(E622="","",C622&amp;"|"&amp;Y622&amp;"|"&amp;IF(B622="","s/f",TEXT(B622,"yyyymmdd")))</f>
        <v/>
      </c>
      <c r="AE622" s="37" t="n">
        <f aca="false">IF(E622="",0,IF(COUNTIFS($E$5:E622,E622,$AD$5:AD622,AD622)=1,1,0))</f>
        <v>0</v>
      </c>
    </row>
    <row r="623" customFormat="false" ht="15" hidden="false" customHeight="true" outlineLevel="0" collapsed="false">
      <c r="A623" s="31"/>
      <c r="B623" s="30"/>
      <c r="C623" s="31"/>
      <c r="D623" s="31"/>
      <c r="E623" s="32"/>
      <c r="F623" s="32"/>
      <c r="G623" s="33"/>
      <c r="H623" s="31"/>
      <c r="I623" s="24" t="str">
        <f aca="false">IF(B623="","",YEAR(B623))</f>
        <v/>
      </c>
      <c r="J623" s="34" t="str">
        <f aca="false">IF(B623="","",IF(MONTH(B623)=1,"X",""))</f>
        <v/>
      </c>
      <c r="K623" s="34" t="str">
        <f aca="false">IF(B623="","",IF(MONTH(B623)=2,"X",""))</f>
        <v/>
      </c>
      <c r="L623" s="34" t="str">
        <f aca="false">IF(B623="","",IF(MONTH(B623)=3,"X",""))</f>
        <v/>
      </c>
      <c r="M623" s="34" t="str">
        <f aca="false">IF(B623="","",IF(MONTH(B623)=4,"X",""))</f>
        <v/>
      </c>
      <c r="N623" s="34" t="str">
        <f aca="false">IF(B623="","",IF(MONTH(B623)=5,"X",""))</f>
        <v/>
      </c>
      <c r="O623" s="34" t="str">
        <f aca="false">IF(B623="","",IF(MONTH(B623)=6,"X",""))</f>
        <v/>
      </c>
      <c r="P623" s="34" t="str">
        <f aca="false">IF(B623="","",IF(MONTH(B623)=7,"X",""))</f>
        <v/>
      </c>
      <c r="Q623" s="34" t="str">
        <f aca="false">IF(B623="","",IF(MONTH(B623)=8,"X",""))</f>
        <v/>
      </c>
      <c r="R623" s="34" t="str">
        <f aca="false">IF(B623="","",IF(MONTH(B623)=9,"X",""))</f>
        <v/>
      </c>
      <c r="S623" s="34" t="str">
        <f aca="false">IF(B623="","",IF(MONTH(B623)=10,"X",""))</f>
        <v/>
      </c>
      <c r="T623" s="34" t="str">
        <f aca="false">IF(B623="","",IF(MONTH(B623)=11,"X",""))</f>
        <v/>
      </c>
      <c r="U623" s="34" t="str">
        <f aca="false">IF(B623="","",IF(MONTH(B623)=12,"X",""))</f>
        <v/>
      </c>
      <c r="V623" s="24" t="str">
        <f aca="false">IF(E623="","",COUNTIF($E$5:$E$1000,E623))</f>
        <v/>
      </c>
      <c r="W623" s="35" t="str">
        <f aca="false">IF(E623="","",_xlfn.TEXTJOIN(" + ",TRUE(),IF(COUNTIFS($E$5:$E$1000,E623,$C$5:$C$1000,"Auditoría Interna")&gt;0,"Interna",""),IF(COUNTIFS($E$5:$E$1000,E623,$C$5:$C$1000,"Auditoría Externa")&gt;0,"Externa",""),IF(COUNTIFS($E$5:$E$1000,E623,$C$5:$C$1000,"SSF")&gt;0,"SSF",""),IF(COUNTIFS($E$5:$E$1000,E623,$C$5:$C$1000,"Comité de Supervisión")&gt;0,"Comité Sup.",""),IF(COUNTIFS($E$5:$E$1000,E623,$C$5:$C$1000,"Consejo de Administración")&gt;0,"Consejo",""),IF(COUNTIFS($E$5:$E$1000,E623,$C$5:$C$1000,"Otros")&gt;0,"Otros","")))</f>
        <v/>
      </c>
      <c r="X623" s="24" t="str">
        <f aca="false">IF(E623="","",COUNTIFS($E$5:$E$1000,E623,$AB$5:$AB$1000,AB623,$C$5:$C$1000,"&lt;&gt;"&amp;C623))</f>
        <v/>
      </c>
      <c r="Y623" s="33"/>
      <c r="Z623" s="31"/>
      <c r="AA623" s="33"/>
      <c r="AB623" s="37" t="str">
        <f aca="false">IF(B623="","",YEAR(B623)*100+MONTH(B623))</f>
        <v/>
      </c>
      <c r="AC623" s="37" t="str">
        <f aca="false">IF(AND(E623&lt;&gt;"",E623=Cruce!$C$5),COUNTIF($E$5:E623,E623),"")</f>
        <v/>
      </c>
      <c r="AD623" s="37" t="str">
        <f aca="false">IF(E623="","",C623&amp;"|"&amp;Y623&amp;"|"&amp;IF(B623="","s/f",TEXT(B623,"yyyymmdd")))</f>
        <v/>
      </c>
      <c r="AE623" s="37" t="n">
        <f aca="false">IF(E623="",0,IF(COUNTIFS($E$5:E623,E623,$AD$5:AD623,AD623)=1,1,0))</f>
        <v>0</v>
      </c>
    </row>
    <row r="624" customFormat="false" ht="15" hidden="false" customHeight="true" outlineLevel="0" collapsed="false">
      <c r="A624" s="31"/>
      <c r="B624" s="30"/>
      <c r="C624" s="31"/>
      <c r="D624" s="31"/>
      <c r="E624" s="32"/>
      <c r="F624" s="32"/>
      <c r="G624" s="33"/>
      <c r="H624" s="31"/>
      <c r="I624" s="24" t="str">
        <f aca="false">IF(B624="","",YEAR(B624))</f>
        <v/>
      </c>
      <c r="J624" s="34" t="str">
        <f aca="false">IF(B624="","",IF(MONTH(B624)=1,"X",""))</f>
        <v/>
      </c>
      <c r="K624" s="34" t="str">
        <f aca="false">IF(B624="","",IF(MONTH(B624)=2,"X",""))</f>
        <v/>
      </c>
      <c r="L624" s="34" t="str">
        <f aca="false">IF(B624="","",IF(MONTH(B624)=3,"X",""))</f>
        <v/>
      </c>
      <c r="M624" s="34" t="str">
        <f aca="false">IF(B624="","",IF(MONTH(B624)=4,"X",""))</f>
        <v/>
      </c>
      <c r="N624" s="34" t="str">
        <f aca="false">IF(B624="","",IF(MONTH(B624)=5,"X",""))</f>
        <v/>
      </c>
      <c r="O624" s="34" t="str">
        <f aca="false">IF(B624="","",IF(MONTH(B624)=6,"X",""))</f>
        <v/>
      </c>
      <c r="P624" s="34" t="str">
        <f aca="false">IF(B624="","",IF(MONTH(B624)=7,"X",""))</f>
        <v/>
      </c>
      <c r="Q624" s="34" t="str">
        <f aca="false">IF(B624="","",IF(MONTH(B624)=8,"X",""))</f>
        <v/>
      </c>
      <c r="R624" s="34" t="str">
        <f aca="false">IF(B624="","",IF(MONTH(B624)=9,"X",""))</f>
        <v/>
      </c>
      <c r="S624" s="34" t="str">
        <f aca="false">IF(B624="","",IF(MONTH(B624)=10,"X",""))</f>
        <v/>
      </c>
      <c r="T624" s="34" t="str">
        <f aca="false">IF(B624="","",IF(MONTH(B624)=11,"X",""))</f>
        <v/>
      </c>
      <c r="U624" s="34" t="str">
        <f aca="false">IF(B624="","",IF(MONTH(B624)=12,"X",""))</f>
        <v/>
      </c>
      <c r="V624" s="24" t="str">
        <f aca="false">IF(E624="","",COUNTIF($E$5:$E$1000,E624))</f>
        <v/>
      </c>
      <c r="W624" s="35" t="str">
        <f aca="false">IF(E624="","",_xlfn.TEXTJOIN(" + ",TRUE(),IF(COUNTIFS($E$5:$E$1000,E624,$C$5:$C$1000,"Auditoría Interna")&gt;0,"Interna",""),IF(COUNTIFS($E$5:$E$1000,E624,$C$5:$C$1000,"Auditoría Externa")&gt;0,"Externa",""),IF(COUNTIFS($E$5:$E$1000,E624,$C$5:$C$1000,"SSF")&gt;0,"SSF",""),IF(COUNTIFS($E$5:$E$1000,E624,$C$5:$C$1000,"Comité de Supervisión")&gt;0,"Comité Sup.",""),IF(COUNTIFS($E$5:$E$1000,E624,$C$5:$C$1000,"Consejo de Administración")&gt;0,"Consejo",""),IF(COUNTIFS($E$5:$E$1000,E624,$C$5:$C$1000,"Otros")&gt;0,"Otros","")))</f>
        <v/>
      </c>
      <c r="X624" s="24" t="str">
        <f aca="false">IF(E624="","",COUNTIFS($E$5:$E$1000,E624,$AB$5:$AB$1000,AB624,$C$5:$C$1000,"&lt;&gt;"&amp;C624))</f>
        <v/>
      </c>
      <c r="Y624" s="33"/>
      <c r="Z624" s="31"/>
      <c r="AA624" s="33"/>
      <c r="AB624" s="37" t="str">
        <f aca="false">IF(B624="","",YEAR(B624)*100+MONTH(B624))</f>
        <v/>
      </c>
      <c r="AC624" s="37" t="str">
        <f aca="false">IF(AND(E624&lt;&gt;"",E624=Cruce!$C$5),COUNTIF($E$5:E624,E624),"")</f>
        <v/>
      </c>
      <c r="AD624" s="37" t="str">
        <f aca="false">IF(E624="","",C624&amp;"|"&amp;Y624&amp;"|"&amp;IF(B624="","s/f",TEXT(B624,"yyyymmdd")))</f>
        <v/>
      </c>
      <c r="AE624" s="37" t="n">
        <f aca="false">IF(E624="",0,IF(COUNTIFS($E$5:E624,E624,$AD$5:AD624,AD624)=1,1,0))</f>
        <v>0</v>
      </c>
    </row>
    <row r="625" customFormat="false" ht="15" hidden="false" customHeight="true" outlineLevel="0" collapsed="false">
      <c r="A625" s="31"/>
      <c r="B625" s="30"/>
      <c r="C625" s="31"/>
      <c r="D625" s="31"/>
      <c r="E625" s="32"/>
      <c r="F625" s="32"/>
      <c r="G625" s="33"/>
      <c r="H625" s="31"/>
      <c r="I625" s="24" t="str">
        <f aca="false">IF(B625="","",YEAR(B625))</f>
        <v/>
      </c>
      <c r="J625" s="34" t="str">
        <f aca="false">IF(B625="","",IF(MONTH(B625)=1,"X",""))</f>
        <v/>
      </c>
      <c r="K625" s="34" t="str">
        <f aca="false">IF(B625="","",IF(MONTH(B625)=2,"X",""))</f>
        <v/>
      </c>
      <c r="L625" s="34" t="str">
        <f aca="false">IF(B625="","",IF(MONTH(B625)=3,"X",""))</f>
        <v/>
      </c>
      <c r="M625" s="34" t="str">
        <f aca="false">IF(B625="","",IF(MONTH(B625)=4,"X",""))</f>
        <v/>
      </c>
      <c r="N625" s="34" t="str">
        <f aca="false">IF(B625="","",IF(MONTH(B625)=5,"X",""))</f>
        <v/>
      </c>
      <c r="O625" s="34" t="str">
        <f aca="false">IF(B625="","",IF(MONTH(B625)=6,"X",""))</f>
        <v/>
      </c>
      <c r="P625" s="34" t="str">
        <f aca="false">IF(B625="","",IF(MONTH(B625)=7,"X",""))</f>
        <v/>
      </c>
      <c r="Q625" s="34" t="str">
        <f aca="false">IF(B625="","",IF(MONTH(B625)=8,"X",""))</f>
        <v/>
      </c>
      <c r="R625" s="34" t="str">
        <f aca="false">IF(B625="","",IF(MONTH(B625)=9,"X",""))</f>
        <v/>
      </c>
      <c r="S625" s="34" t="str">
        <f aca="false">IF(B625="","",IF(MONTH(B625)=10,"X",""))</f>
        <v/>
      </c>
      <c r="T625" s="34" t="str">
        <f aca="false">IF(B625="","",IF(MONTH(B625)=11,"X",""))</f>
        <v/>
      </c>
      <c r="U625" s="34" t="str">
        <f aca="false">IF(B625="","",IF(MONTH(B625)=12,"X",""))</f>
        <v/>
      </c>
      <c r="V625" s="24" t="str">
        <f aca="false">IF(E625="","",COUNTIF($E$5:$E$1000,E625))</f>
        <v/>
      </c>
      <c r="W625" s="35" t="str">
        <f aca="false">IF(E625="","",_xlfn.TEXTJOIN(" + ",TRUE(),IF(COUNTIFS($E$5:$E$1000,E625,$C$5:$C$1000,"Auditoría Interna")&gt;0,"Interna",""),IF(COUNTIFS($E$5:$E$1000,E625,$C$5:$C$1000,"Auditoría Externa")&gt;0,"Externa",""),IF(COUNTIFS($E$5:$E$1000,E625,$C$5:$C$1000,"SSF")&gt;0,"SSF",""),IF(COUNTIFS($E$5:$E$1000,E625,$C$5:$C$1000,"Comité de Supervisión")&gt;0,"Comité Sup.",""),IF(COUNTIFS($E$5:$E$1000,E625,$C$5:$C$1000,"Consejo de Administración")&gt;0,"Consejo",""),IF(COUNTIFS($E$5:$E$1000,E625,$C$5:$C$1000,"Otros")&gt;0,"Otros","")))</f>
        <v/>
      </c>
      <c r="X625" s="24" t="str">
        <f aca="false">IF(E625="","",COUNTIFS($E$5:$E$1000,E625,$AB$5:$AB$1000,AB625,$C$5:$C$1000,"&lt;&gt;"&amp;C625))</f>
        <v/>
      </c>
      <c r="Y625" s="33"/>
      <c r="Z625" s="31"/>
      <c r="AA625" s="33"/>
      <c r="AB625" s="37" t="str">
        <f aca="false">IF(B625="","",YEAR(B625)*100+MONTH(B625))</f>
        <v/>
      </c>
      <c r="AC625" s="37" t="str">
        <f aca="false">IF(AND(E625&lt;&gt;"",E625=Cruce!$C$5),COUNTIF($E$5:E625,E625),"")</f>
        <v/>
      </c>
      <c r="AD625" s="37" t="str">
        <f aca="false">IF(E625="","",C625&amp;"|"&amp;Y625&amp;"|"&amp;IF(B625="","s/f",TEXT(B625,"yyyymmdd")))</f>
        <v/>
      </c>
      <c r="AE625" s="37" t="n">
        <f aca="false">IF(E625="",0,IF(COUNTIFS($E$5:E625,E625,$AD$5:AD625,AD625)=1,1,0))</f>
        <v>0</v>
      </c>
    </row>
    <row r="626" customFormat="false" ht="15" hidden="false" customHeight="true" outlineLevel="0" collapsed="false">
      <c r="A626" s="31"/>
      <c r="B626" s="30"/>
      <c r="C626" s="31"/>
      <c r="D626" s="31"/>
      <c r="E626" s="32"/>
      <c r="F626" s="32"/>
      <c r="G626" s="33"/>
      <c r="H626" s="31"/>
      <c r="I626" s="24" t="str">
        <f aca="false">IF(B626="","",YEAR(B626))</f>
        <v/>
      </c>
      <c r="J626" s="34" t="str">
        <f aca="false">IF(B626="","",IF(MONTH(B626)=1,"X",""))</f>
        <v/>
      </c>
      <c r="K626" s="34" t="str">
        <f aca="false">IF(B626="","",IF(MONTH(B626)=2,"X",""))</f>
        <v/>
      </c>
      <c r="L626" s="34" t="str">
        <f aca="false">IF(B626="","",IF(MONTH(B626)=3,"X",""))</f>
        <v/>
      </c>
      <c r="M626" s="34" t="str">
        <f aca="false">IF(B626="","",IF(MONTH(B626)=4,"X",""))</f>
        <v/>
      </c>
      <c r="N626" s="34" t="str">
        <f aca="false">IF(B626="","",IF(MONTH(B626)=5,"X",""))</f>
        <v/>
      </c>
      <c r="O626" s="34" t="str">
        <f aca="false">IF(B626="","",IF(MONTH(B626)=6,"X",""))</f>
        <v/>
      </c>
      <c r="P626" s="34" t="str">
        <f aca="false">IF(B626="","",IF(MONTH(B626)=7,"X",""))</f>
        <v/>
      </c>
      <c r="Q626" s="34" t="str">
        <f aca="false">IF(B626="","",IF(MONTH(B626)=8,"X",""))</f>
        <v/>
      </c>
      <c r="R626" s="34" t="str">
        <f aca="false">IF(B626="","",IF(MONTH(B626)=9,"X",""))</f>
        <v/>
      </c>
      <c r="S626" s="34" t="str">
        <f aca="false">IF(B626="","",IF(MONTH(B626)=10,"X",""))</f>
        <v/>
      </c>
      <c r="T626" s="34" t="str">
        <f aca="false">IF(B626="","",IF(MONTH(B626)=11,"X",""))</f>
        <v/>
      </c>
      <c r="U626" s="34" t="str">
        <f aca="false">IF(B626="","",IF(MONTH(B626)=12,"X",""))</f>
        <v/>
      </c>
      <c r="V626" s="24" t="str">
        <f aca="false">IF(E626="","",COUNTIF($E$5:$E$1000,E626))</f>
        <v/>
      </c>
      <c r="W626" s="35" t="str">
        <f aca="false">IF(E626="","",_xlfn.TEXTJOIN(" + ",TRUE(),IF(COUNTIFS($E$5:$E$1000,E626,$C$5:$C$1000,"Auditoría Interna")&gt;0,"Interna",""),IF(COUNTIFS($E$5:$E$1000,E626,$C$5:$C$1000,"Auditoría Externa")&gt;0,"Externa",""),IF(COUNTIFS($E$5:$E$1000,E626,$C$5:$C$1000,"SSF")&gt;0,"SSF",""),IF(COUNTIFS($E$5:$E$1000,E626,$C$5:$C$1000,"Comité de Supervisión")&gt;0,"Comité Sup.",""),IF(COUNTIFS($E$5:$E$1000,E626,$C$5:$C$1000,"Consejo de Administración")&gt;0,"Consejo",""),IF(COUNTIFS($E$5:$E$1000,E626,$C$5:$C$1000,"Otros")&gt;0,"Otros","")))</f>
        <v/>
      </c>
      <c r="X626" s="24" t="str">
        <f aca="false">IF(E626="","",COUNTIFS($E$5:$E$1000,E626,$AB$5:$AB$1000,AB626,$C$5:$C$1000,"&lt;&gt;"&amp;C626))</f>
        <v/>
      </c>
      <c r="Y626" s="33"/>
      <c r="Z626" s="31"/>
      <c r="AA626" s="33"/>
      <c r="AB626" s="37" t="str">
        <f aca="false">IF(B626="","",YEAR(B626)*100+MONTH(B626))</f>
        <v/>
      </c>
      <c r="AC626" s="37" t="str">
        <f aca="false">IF(AND(E626&lt;&gt;"",E626=Cruce!$C$5),COUNTIF($E$5:E626,E626),"")</f>
        <v/>
      </c>
      <c r="AD626" s="37" t="str">
        <f aca="false">IF(E626="","",C626&amp;"|"&amp;Y626&amp;"|"&amp;IF(B626="","s/f",TEXT(B626,"yyyymmdd")))</f>
        <v/>
      </c>
      <c r="AE626" s="37" t="n">
        <f aca="false">IF(E626="",0,IF(COUNTIFS($E$5:E626,E626,$AD$5:AD626,AD626)=1,1,0))</f>
        <v>0</v>
      </c>
    </row>
    <row r="627" customFormat="false" ht="15" hidden="false" customHeight="true" outlineLevel="0" collapsed="false">
      <c r="A627" s="31"/>
      <c r="B627" s="30"/>
      <c r="C627" s="31"/>
      <c r="D627" s="31"/>
      <c r="E627" s="32"/>
      <c r="F627" s="32"/>
      <c r="G627" s="33"/>
      <c r="H627" s="31"/>
      <c r="I627" s="24" t="str">
        <f aca="false">IF(B627="","",YEAR(B627))</f>
        <v/>
      </c>
      <c r="J627" s="34" t="str">
        <f aca="false">IF(B627="","",IF(MONTH(B627)=1,"X",""))</f>
        <v/>
      </c>
      <c r="K627" s="34" t="str">
        <f aca="false">IF(B627="","",IF(MONTH(B627)=2,"X",""))</f>
        <v/>
      </c>
      <c r="L627" s="34" t="str">
        <f aca="false">IF(B627="","",IF(MONTH(B627)=3,"X",""))</f>
        <v/>
      </c>
      <c r="M627" s="34" t="str">
        <f aca="false">IF(B627="","",IF(MONTH(B627)=4,"X",""))</f>
        <v/>
      </c>
      <c r="N627" s="34" t="str">
        <f aca="false">IF(B627="","",IF(MONTH(B627)=5,"X",""))</f>
        <v/>
      </c>
      <c r="O627" s="34" t="str">
        <f aca="false">IF(B627="","",IF(MONTH(B627)=6,"X",""))</f>
        <v/>
      </c>
      <c r="P627" s="34" t="str">
        <f aca="false">IF(B627="","",IF(MONTH(B627)=7,"X",""))</f>
        <v/>
      </c>
      <c r="Q627" s="34" t="str">
        <f aca="false">IF(B627="","",IF(MONTH(B627)=8,"X",""))</f>
        <v/>
      </c>
      <c r="R627" s="34" t="str">
        <f aca="false">IF(B627="","",IF(MONTH(B627)=9,"X",""))</f>
        <v/>
      </c>
      <c r="S627" s="34" t="str">
        <f aca="false">IF(B627="","",IF(MONTH(B627)=10,"X",""))</f>
        <v/>
      </c>
      <c r="T627" s="34" t="str">
        <f aca="false">IF(B627="","",IF(MONTH(B627)=11,"X",""))</f>
        <v/>
      </c>
      <c r="U627" s="34" t="str">
        <f aca="false">IF(B627="","",IF(MONTH(B627)=12,"X",""))</f>
        <v/>
      </c>
      <c r="V627" s="24" t="str">
        <f aca="false">IF(E627="","",COUNTIF($E$5:$E$1000,E627))</f>
        <v/>
      </c>
      <c r="W627" s="35" t="str">
        <f aca="false">IF(E627="","",_xlfn.TEXTJOIN(" + ",TRUE(),IF(COUNTIFS($E$5:$E$1000,E627,$C$5:$C$1000,"Auditoría Interna")&gt;0,"Interna",""),IF(COUNTIFS($E$5:$E$1000,E627,$C$5:$C$1000,"Auditoría Externa")&gt;0,"Externa",""),IF(COUNTIFS($E$5:$E$1000,E627,$C$5:$C$1000,"SSF")&gt;0,"SSF",""),IF(COUNTIFS($E$5:$E$1000,E627,$C$5:$C$1000,"Comité de Supervisión")&gt;0,"Comité Sup.",""),IF(COUNTIFS($E$5:$E$1000,E627,$C$5:$C$1000,"Consejo de Administración")&gt;0,"Consejo",""),IF(COUNTIFS($E$5:$E$1000,E627,$C$5:$C$1000,"Otros")&gt;0,"Otros","")))</f>
        <v/>
      </c>
      <c r="X627" s="24" t="str">
        <f aca="false">IF(E627="","",COUNTIFS($E$5:$E$1000,E627,$AB$5:$AB$1000,AB627,$C$5:$C$1000,"&lt;&gt;"&amp;C627))</f>
        <v/>
      </c>
      <c r="Y627" s="33"/>
      <c r="Z627" s="31"/>
      <c r="AA627" s="33"/>
      <c r="AB627" s="37" t="str">
        <f aca="false">IF(B627="","",YEAR(B627)*100+MONTH(B627))</f>
        <v/>
      </c>
      <c r="AC627" s="37" t="str">
        <f aca="false">IF(AND(E627&lt;&gt;"",E627=Cruce!$C$5),COUNTIF($E$5:E627,E627),"")</f>
        <v/>
      </c>
      <c r="AD627" s="37" t="str">
        <f aca="false">IF(E627="","",C627&amp;"|"&amp;Y627&amp;"|"&amp;IF(B627="","s/f",TEXT(B627,"yyyymmdd")))</f>
        <v/>
      </c>
      <c r="AE627" s="37" t="n">
        <f aca="false">IF(E627="",0,IF(COUNTIFS($E$5:E627,E627,$AD$5:AD627,AD627)=1,1,0))</f>
        <v>0</v>
      </c>
    </row>
    <row r="628" customFormat="false" ht="15" hidden="false" customHeight="true" outlineLevel="0" collapsed="false">
      <c r="A628" s="31"/>
      <c r="B628" s="30"/>
      <c r="C628" s="31"/>
      <c r="D628" s="31"/>
      <c r="E628" s="32"/>
      <c r="F628" s="32"/>
      <c r="G628" s="33"/>
      <c r="H628" s="31"/>
      <c r="I628" s="24" t="str">
        <f aca="false">IF(B628="","",YEAR(B628))</f>
        <v/>
      </c>
      <c r="J628" s="34" t="str">
        <f aca="false">IF(B628="","",IF(MONTH(B628)=1,"X",""))</f>
        <v/>
      </c>
      <c r="K628" s="34" t="str">
        <f aca="false">IF(B628="","",IF(MONTH(B628)=2,"X",""))</f>
        <v/>
      </c>
      <c r="L628" s="34" t="str">
        <f aca="false">IF(B628="","",IF(MONTH(B628)=3,"X",""))</f>
        <v/>
      </c>
      <c r="M628" s="34" t="str">
        <f aca="false">IF(B628="","",IF(MONTH(B628)=4,"X",""))</f>
        <v/>
      </c>
      <c r="N628" s="34" t="str">
        <f aca="false">IF(B628="","",IF(MONTH(B628)=5,"X",""))</f>
        <v/>
      </c>
      <c r="O628" s="34" t="str">
        <f aca="false">IF(B628="","",IF(MONTH(B628)=6,"X",""))</f>
        <v/>
      </c>
      <c r="P628" s="34" t="str">
        <f aca="false">IF(B628="","",IF(MONTH(B628)=7,"X",""))</f>
        <v/>
      </c>
      <c r="Q628" s="34" t="str">
        <f aca="false">IF(B628="","",IF(MONTH(B628)=8,"X",""))</f>
        <v/>
      </c>
      <c r="R628" s="34" t="str">
        <f aca="false">IF(B628="","",IF(MONTH(B628)=9,"X",""))</f>
        <v/>
      </c>
      <c r="S628" s="34" t="str">
        <f aca="false">IF(B628="","",IF(MONTH(B628)=10,"X",""))</f>
        <v/>
      </c>
      <c r="T628" s="34" t="str">
        <f aca="false">IF(B628="","",IF(MONTH(B628)=11,"X",""))</f>
        <v/>
      </c>
      <c r="U628" s="34" t="str">
        <f aca="false">IF(B628="","",IF(MONTH(B628)=12,"X",""))</f>
        <v/>
      </c>
      <c r="V628" s="24" t="str">
        <f aca="false">IF(E628="","",COUNTIF($E$5:$E$1000,E628))</f>
        <v/>
      </c>
      <c r="W628" s="35" t="str">
        <f aca="false">IF(E628="","",_xlfn.TEXTJOIN(" + ",TRUE(),IF(COUNTIFS($E$5:$E$1000,E628,$C$5:$C$1000,"Auditoría Interna")&gt;0,"Interna",""),IF(COUNTIFS($E$5:$E$1000,E628,$C$5:$C$1000,"Auditoría Externa")&gt;0,"Externa",""),IF(COUNTIFS($E$5:$E$1000,E628,$C$5:$C$1000,"SSF")&gt;0,"SSF",""),IF(COUNTIFS($E$5:$E$1000,E628,$C$5:$C$1000,"Comité de Supervisión")&gt;0,"Comité Sup.",""),IF(COUNTIFS($E$5:$E$1000,E628,$C$5:$C$1000,"Consejo de Administración")&gt;0,"Consejo",""),IF(COUNTIFS($E$5:$E$1000,E628,$C$5:$C$1000,"Otros")&gt;0,"Otros","")))</f>
        <v/>
      </c>
      <c r="X628" s="24" t="str">
        <f aca="false">IF(E628="","",COUNTIFS($E$5:$E$1000,E628,$AB$5:$AB$1000,AB628,$C$5:$C$1000,"&lt;&gt;"&amp;C628))</f>
        <v/>
      </c>
      <c r="Y628" s="33"/>
      <c r="Z628" s="31"/>
      <c r="AA628" s="33"/>
      <c r="AB628" s="37" t="str">
        <f aca="false">IF(B628="","",YEAR(B628)*100+MONTH(B628))</f>
        <v/>
      </c>
      <c r="AC628" s="37" t="str">
        <f aca="false">IF(AND(E628&lt;&gt;"",E628=Cruce!$C$5),COUNTIF($E$5:E628,E628),"")</f>
        <v/>
      </c>
      <c r="AD628" s="37" t="str">
        <f aca="false">IF(E628="","",C628&amp;"|"&amp;Y628&amp;"|"&amp;IF(B628="","s/f",TEXT(B628,"yyyymmdd")))</f>
        <v/>
      </c>
      <c r="AE628" s="37" t="n">
        <f aca="false">IF(E628="",0,IF(COUNTIFS($E$5:E628,E628,$AD$5:AD628,AD628)=1,1,0))</f>
        <v>0</v>
      </c>
    </row>
    <row r="629" customFormat="false" ht="15" hidden="false" customHeight="true" outlineLevel="0" collapsed="false">
      <c r="A629" s="31"/>
      <c r="B629" s="30"/>
      <c r="C629" s="31"/>
      <c r="D629" s="31"/>
      <c r="E629" s="32"/>
      <c r="F629" s="32"/>
      <c r="G629" s="33"/>
      <c r="H629" s="31"/>
      <c r="I629" s="24" t="str">
        <f aca="false">IF(B629="","",YEAR(B629))</f>
        <v/>
      </c>
      <c r="J629" s="34" t="str">
        <f aca="false">IF(B629="","",IF(MONTH(B629)=1,"X",""))</f>
        <v/>
      </c>
      <c r="K629" s="34" t="str">
        <f aca="false">IF(B629="","",IF(MONTH(B629)=2,"X",""))</f>
        <v/>
      </c>
      <c r="L629" s="34" t="str">
        <f aca="false">IF(B629="","",IF(MONTH(B629)=3,"X",""))</f>
        <v/>
      </c>
      <c r="M629" s="34" t="str">
        <f aca="false">IF(B629="","",IF(MONTH(B629)=4,"X",""))</f>
        <v/>
      </c>
      <c r="N629" s="34" t="str">
        <f aca="false">IF(B629="","",IF(MONTH(B629)=5,"X",""))</f>
        <v/>
      </c>
      <c r="O629" s="34" t="str">
        <f aca="false">IF(B629="","",IF(MONTH(B629)=6,"X",""))</f>
        <v/>
      </c>
      <c r="P629" s="34" t="str">
        <f aca="false">IF(B629="","",IF(MONTH(B629)=7,"X",""))</f>
        <v/>
      </c>
      <c r="Q629" s="34" t="str">
        <f aca="false">IF(B629="","",IF(MONTH(B629)=8,"X",""))</f>
        <v/>
      </c>
      <c r="R629" s="34" t="str">
        <f aca="false">IF(B629="","",IF(MONTH(B629)=9,"X",""))</f>
        <v/>
      </c>
      <c r="S629" s="34" t="str">
        <f aca="false">IF(B629="","",IF(MONTH(B629)=10,"X",""))</f>
        <v/>
      </c>
      <c r="T629" s="34" t="str">
        <f aca="false">IF(B629="","",IF(MONTH(B629)=11,"X",""))</f>
        <v/>
      </c>
      <c r="U629" s="34" t="str">
        <f aca="false">IF(B629="","",IF(MONTH(B629)=12,"X",""))</f>
        <v/>
      </c>
      <c r="V629" s="24" t="str">
        <f aca="false">IF(E629="","",COUNTIF($E$5:$E$1000,E629))</f>
        <v/>
      </c>
      <c r="W629" s="35" t="str">
        <f aca="false">IF(E629="","",_xlfn.TEXTJOIN(" + ",TRUE(),IF(COUNTIFS($E$5:$E$1000,E629,$C$5:$C$1000,"Auditoría Interna")&gt;0,"Interna",""),IF(COUNTIFS($E$5:$E$1000,E629,$C$5:$C$1000,"Auditoría Externa")&gt;0,"Externa",""),IF(COUNTIFS($E$5:$E$1000,E629,$C$5:$C$1000,"SSF")&gt;0,"SSF",""),IF(COUNTIFS($E$5:$E$1000,E629,$C$5:$C$1000,"Comité de Supervisión")&gt;0,"Comité Sup.",""),IF(COUNTIFS($E$5:$E$1000,E629,$C$5:$C$1000,"Consejo de Administración")&gt;0,"Consejo",""),IF(COUNTIFS($E$5:$E$1000,E629,$C$5:$C$1000,"Otros")&gt;0,"Otros","")))</f>
        <v/>
      </c>
      <c r="X629" s="24" t="str">
        <f aca="false">IF(E629="","",COUNTIFS($E$5:$E$1000,E629,$AB$5:$AB$1000,AB629,$C$5:$C$1000,"&lt;&gt;"&amp;C629))</f>
        <v/>
      </c>
      <c r="Y629" s="33"/>
      <c r="Z629" s="31"/>
      <c r="AA629" s="33"/>
      <c r="AB629" s="37" t="str">
        <f aca="false">IF(B629="","",YEAR(B629)*100+MONTH(B629))</f>
        <v/>
      </c>
      <c r="AC629" s="37" t="str">
        <f aca="false">IF(AND(E629&lt;&gt;"",E629=Cruce!$C$5),COUNTIF($E$5:E629,E629),"")</f>
        <v/>
      </c>
      <c r="AD629" s="37" t="str">
        <f aca="false">IF(E629="","",C629&amp;"|"&amp;Y629&amp;"|"&amp;IF(B629="","s/f",TEXT(B629,"yyyymmdd")))</f>
        <v/>
      </c>
      <c r="AE629" s="37" t="n">
        <f aca="false">IF(E629="",0,IF(COUNTIFS($E$5:E629,E629,$AD$5:AD629,AD629)=1,1,0))</f>
        <v>0</v>
      </c>
    </row>
    <row r="630" customFormat="false" ht="15" hidden="false" customHeight="true" outlineLevel="0" collapsed="false">
      <c r="A630" s="31"/>
      <c r="B630" s="30"/>
      <c r="C630" s="31"/>
      <c r="D630" s="31"/>
      <c r="E630" s="32"/>
      <c r="F630" s="32"/>
      <c r="G630" s="33"/>
      <c r="H630" s="31"/>
      <c r="I630" s="24" t="str">
        <f aca="false">IF(B630="","",YEAR(B630))</f>
        <v/>
      </c>
      <c r="J630" s="34" t="str">
        <f aca="false">IF(B630="","",IF(MONTH(B630)=1,"X",""))</f>
        <v/>
      </c>
      <c r="K630" s="34" t="str">
        <f aca="false">IF(B630="","",IF(MONTH(B630)=2,"X",""))</f>
        <v/>
      </c>
      <c r="L630" s="34" t="str">
        <f aca="false">IF(B630="","",IF(MONTH(B630)=3,"X",""))</f>
        <v/>
      </c>
      <c r="M630" s="34" t="str">
        <f aca="false">IF(B630="","",IF(MONTH(B630)=4,"X",""))</f>
        <v/>
      </c>
      <c r="N630" s="34" t="str">
        <f aca="false">IF(B630="","",IF(MONTH(B630)=5,"X",""))</f>
        <v/>
      </c>
      <c r="O630" s="34" t="str">
        <f aca="false">IF(B630="","",IF(MONTH(B630)=6,"X",""))</f>
        <v/>
      </c>
      <c r="P630" s="34" t="str">
        <f aca="false">IF(B630="","",IF(MONTH(B630)=7,"X",""))</f>
        <v/>
      </c>
      <c r="Q630" s="34" t="str">
        <f aca="false">IF(B630="","",IF(MONTH(B630)=8,"X",""))</f>
        <v/>
      </c>
      <c r="R630" s="34" t="str">
        <f aca="false">IF(B630="","",IF(MONTH(B630)=9,"X",""))</f>
        <v/>
      </c>
      <c r="S630" s="34" t="str">
        <f aca="false">IF(B630="","",IF(MONTH(B630)=10,"X",""))</f>
        <v/>
      </c>
      <c r="T630" s="34" t="str">
        <f aca="false">IF(B630="","",IF(MONTH(B630)=11,"X",""))</f>
        <v/>
      </c>
      <c r="U630" s="34" t="str">
        <f aca="false">IF(B630="","",IF(MONTH(B630)=12,"X",""))</f>
        <v/>
      </c>
      <c r="V630" s="24" t="str">
        <f aca="false">IF(E630="","",COUNTIF($E$5:$E$1000,E630))</f>
        <v/>
      </c>
      <c r="W630" s="35" t="str">
        <f aca="false">IF(E630="","",_xlfn.TEXTJOIN(" + ",TRUE(),IF(COUNTIFS($E$5:$E$1000,E630,$C$5:$C$1000,"Auditoría Interna")&gt;0,"Interna",""),IF(COUNTIFS($E$5:$E$1000,E630,$C$5:$C$1000,"Auditoría Externa")&gt;0,"Externa",""),IF(COUNTIFS($E$5:$E$1000,E630,$C$5:$C$1000,"SSF")&gt;0,"SSF",""),IF(COUNTIFS($E$5:$E$1000,E630,$C$5:$C$1000,"Comité de Supervisión")&gt;0,"Comité Sup.",""),IF(COUNTIFS($E$5:$E$1000,E630,$C$5:$C$1000,"Consejo de Administración")&gt;0,"Consejo",""),IF(COUNTIFS($E$5:$E$1000,E630,$C$5:$C$1000,"Otros")&gt;0,"Otros","")))</f>
        <v/>
      </c>
      <c r="X630" s="24" t="str">
        <f aca="false">IF(E630="","",COUNTIFS($E$5:$E$1000,E630,$AB$5:$AB$1000,AB630,$C$5:$C$1000,"&lt;&gt;"&amp;C630))</f>
        <v/>
      </c>
      <c r="Y630" s="33"/>
      <c r="Z630" s="31"/>
      <c r="AA630" s="33"/>
      <c r="AB630" s="37" t="str">
        <f aca="false">IF(B630="","",YEAR(B630)*100+MONTH(B630))</f>
        <v/>
      </c>
      <c r="AC630" s="37" t="str">
        <f aca="false">IF(AND(E630&lt;&gt;"",E630=Cruce!$C$5),COUNTIF($E$5:E630,E630),"")</f>
        <v/>
      </c>
      <c r="AD630" s="37" t="str">
        <f aca="false">IF(E630="","",C630&amp;"|"&amp;Y630&amp;"|"&amp;IF(B630="","s/f",TEXT(B630,"yyyymmdd")))</f>
        <v/>
      </c>
      <c r="AE630" s="37" t="n">
        <f aca="false">IF(E630="",0,IF(COUNTIFS($E$5:E630,E630,$AD$5:AD630,AD630)=1,1,0))</f>
        <v>0</v>
      </c>
    </row>
    <row r="631" customFormat="false" ht="15" hidden="false" customHeight="true" outlineLevel="0" collapsed="false">
      <c r="A631" s="31"/>
      <c r="B631" s="30"/>
      <c r="C631" s="31"/>
      <c r="D631" s="31"/>
      <c r="E631" s="32"/>
      <c r="F631" s="32"/>
      <c r="G631" s="33"/>
      <c r="H631" s="31"/>
      <c r="I631" s="24" t="str">
        <f aca="false">IF(B631="","",YEAR(B631))</f>
        <v/>
      </c>
      <c r="J631" s="34" t="str">
        <f aca="false">IF(B631="","",IF(MONTH(B631)=1,"X",""))</f>
        <v/>
      </c>
      <c r="K631" s="34" t="str">
        <f aca="false">IF(B631="","",IF(MONTH(B631)=2,"X",""))</f>
        <v/>
      </c>
      <c r="L631" s="34" t="str">
        <f aca="false">IF(B631="","",IF(MONTH(B631)=3,"X",""))</f>
        <v/>
      </c>
      <c r="M631" s="34" t="str">
        <f aca="false">IF(B631="","",IF(MONTH(B631)=4,"X",""))</f>
        <v/>
      </c>
      <c r="N631" s="34" t="str">
        <f aca="false">IF(B631="","",IF(MONTH(B631)=5,"X",""))</f>
        <v/>
      </c>
      <c r="O631" s="34" t="str">
        <f aca="false">IF(B631="","",IF(MONTH(B631)=6,"X",""))</f>
        <v/>
      </c>
      <c r="P631" s="34" t="str">
        <f aca="false">IF(B631="","",IF(MONTH(B631)=7,"X",""))</f>
        <v/>
      </c>
      <c r="Q631" s="34" t="str">
        <f aca="false">IF(B631="","",IF(MONTH(B631)=8,"X",""))</f>
        <v/>
      </c>
      <c r="R631" s="34" t="str">
        <f aca="false">IF(B631="","",IF(MONTH(B631)=9,"X",""))</f>
        <v/>
      </c>
      <c r="S631" s="34" t="str">
        <f aca="false">IF(B631="","",IF(MONTH(B631)=10,"X",""))</f>
        <v/>
      </c>
      <c r="T631" s="34" t="str">
        <f aca="false">IF(B631="","",IF(MONTH(B631)=11,"X",""))</f>
        <v/>
      </c>
      <c r="U631" s="34" t="str">
        <f aca="false">IF(B631="","",IF(MONTH(B631)=12,"X",""))</f>
        <v/>
      </c>
      <c r="V631" s="24" t="str">
        <f aca="false">IF(E631="","",COUNTIF($E$5:$E$1000,E631))</f>
        <v/>
      </c>
      <c r="W631" s="35" t="str">
        <f aca="false">IF(E631="","",_xlfn.TEXTJOIN(" + ",TRUE(),IF(COUNTIFS($E$5:$E$1000,E631,$C$5:$C$1000,"Auditoría Interna")&gt;0,"Interna",""),IF(COUNTIFS($E$5:$E$1000,E631,$C$5:$C$1000,"Auditoría Externa")&gt;0,"Externa",""),IF(COUNTIFS($E$5:$E$1000,E631,$C$5:$C$1000,"SSF")&gt;0,"SSF",""),IF(COUNTIFS($E$5:$E$1000,E631,$C$5:$C$1000,"Comité de Supervisión")&gt;0,"Comité Sup.",""),IF(COUNTIFS($E$5:$E$1000,E631,$C$5:$C$1000,"Consejo de Administración")&gt;0,"Consejo",""),IF(COUNTIFS($E$5:$E$1000,E631,$C$5:$C$1000,"Otros")&gt;0,"Otros","")))</f>
        <v/>
      </c>
      <c r="X631" s="24" t="str">
        <f aca="false">IF(E631="","",COUNTIFS($E$5:$E$1000,E631,$AB$5:$AB$1000,AB631,$C$5:$C$1000,"&lt;&gt;"&amp;C631))</f>
        <v/>
      </c>
      <c r="Y631" s="33"/>
      <c r="Z631" s="31"/>
      <c r="AA631" s="33"/>
      <c r="AB631" s="37" t="str">
        <f aca="false">IF(B631="","",YEAR(B631)*100+MONTH(B631))</f>
        <v/>
      </c>
      <c r="AC631" s="37" t="str">
        <f aca="false">IF(AND(E631&lt;&gt;"",E631=Cruce!$C$5),COUNTIF($E$5:E631,E631),"")</f>
        <v/>
      </c>
      <c r="AD631" s="37" t="str">
        <f aca="false">IF(E631="","",C631&amp;"|"&amp;Y631&amp;"|"&amp;IF(B631="","s/f",TEXT(B631,"yyyymmdd")))</f>
        <v/>
      </c>
      <c r="AE631" s="37" t="n">
        <f aca="false">IF(E631="",0,IF(COUNTIFS($E$5:E631,E631,$AD$5:AD631,AD631)=1,1,0))</f>
        <v>0</v>
      </c>
    </row>
    <row r="632" customFormat="false" ht="15" hidden="false" customHeight="true" outlineLevel="0" collapsed="false">
      <c r="A632" s="31"/>
      <c r="B632" s="30"/>
      <c r="C632" s="31"/>
      <c r="D632" s="31"/>
      <c r="E632" s="32"/>
      <c r="F632" s="32"/>
      <c r="G632" s="33"/>
      <c r="H632" s="31"/>
      <c r="I632" s="24" t="str">
        <f aca="false">IF(B632="","",YEAR(B632))</f>
        <v/>
      </c>
      <c r="J632" s="34" t="str">
        <f aca="false">IF(B632="","",IF(MONTH(B632)=1,"X",""))</f>
        <v/>
      </c>
      <c r="K632" s="34" t="str">
        <f aca="false">IF(B632="","",IF(MONTH(B632)=2,"X",""))</f>
        <v/>
      </c>
      <c r="L632" s="34" t="str">
        <f aca="false">IF(B632="","",IF(MONTH(B632)=3,"X",""))</f>
        <v/>
      </c>
      <c r="M632" s="34" t="str">
        <f aca="false">IF(B632="","",IF(MONTH(B632)=4,"X",""))</f>
        <v/>
      </c>
      <c r="N632" s="34" t="str">
        <f aca="false">IF(B632="","",IF(MONTH(B632)=5,"X",""))</f>
        <v/>
      </c>
      <c r="O632" s="34" t="str">
        <f aca="false">IF(B632="","",IF(MONTH(B632)=6,"X",""))</f>
        <v/>
      </c>
      <c r="P632" s="34" t="str">
        <f aca="false">IF(B632="","",IF(MONTH(B632)=7,"X",""))</f>
        <v/>
      </c>
      <c r="Q632" s="34" t="str">
        <f aca="false">IF(B632="","",IF(MONTH(B632)=8,"X",""))</f>
        <v/>
      </c>
      <c r="R632" s="34" t="str">
        <f aca="false">IF(B632="","",IF(MONTH(B632)=9,"X",""))</f>
        <v/>
      </c>
      <c r="S632" s="34" t="str">
        <f aca="false">IF(B632="","",IF(MONTH(B632)=10,"X",""))</f>
        <v/>
      </c>
      <c r="T632" s="34" t="str">
        <f aca="false">IF(B632="","",IF(MONTH(B632)=11,"X",""))</f>
        <v/>
      </c>
      <c r="U632" s="34" t="str">
        <f aca="false">IF(B632="","",IF(MONTH(B632)=12,"X",""))</f>
        <v/>
      </c>
      <c r="V632" s="24" t="str">
        <f aca="false">IF(E632="","",COUNTIF($E$5:$E$1000,E632))</f>
        <v/>
      </c>
      <c r="W632" s="35" t="str">
        <f aca="false">IF(E632="","",_xlfn.TEXTJOIN(" + ",TRUE(),IF(COUNTIFS($E$5:$E$1000,E632,$C$5:$C$1000,"Auditoría Interna")&gt;0,"Interna",""),IF(COUNTIFS($E$5:$E$1000,E632,$C$5:$C$1000,"Auditoría Externa")&gt;0,"Externa",""),IF(COUNTIFS($E$5:$E$1000,E632,$C$5:$C$1000,"SSF")&gt;0,"SSF",""),IF(COUNTIFS($E$5:$E$1000,E632,$C$5:$C$1000,"Comité de Supervisión")&gt;0,"Comité Sup.",""),IF(COUNTIFS($E$5:$E$1000,E632,$C$5:$C$1000,"Consejo de Administración")&gt;0,"Consejo",""),IF(COUNTIFS($E$5:$E$1000,E632,$C$5:$C$1000,"Otros")&gt;0,"Otros","")))</f>
        <v/>
      </c>
      <c r="X632" s="24" t="str">
        <f aca="false">IF(E632="","",COUNTIFS($E$5:$E$1000,E632,$AB$5:$AB$1000,AB632,$C$5:$C$1000,"&lt;&gt;"&amp;C632))</f>
        <v/>
      </c>
      <c r="Y632" s="33"/>
      <c r="Z632" s="31"/>
      <c r="AA632" s="33"/>
      <c r="AB632" s="37" t="str">
        <f aca="false">IF(B632="","",YEAR(B632)*100+MONTH(B632))</f>
        <v/>
      </c>
      <c r="AC632" s="37" t="str">
        <f aca="false">IF(AND(E632&lt;&gt;"",E632=Cruce!$C$5),COUNTIF($E$5:E632,E632),"")</f>
        <v/>
      </c>
      <c r="AD632" s="37" t="str">
        <f aca="false">IF(E632="","",C632&amp;"|"&amp;Y632&amp;"|"&amp;IF(B632="","s/f",TEXT(B632,"yyyymmdd")))</f>
        <v/>
      </c>
      <c r="AE632" s="37" t="n">
        <f aca="false">IF(E632="",0,IF(COUNTIFS($E$5:E632,E632,$AD$5:AD632,AD632)=1,1,0))</f>
        <v>0</v>
      </c>
    </row>
    <row r="633" customFormat="false" ht="15" hidden="false" customHeight="true" outlineLevel="0" collapsed="false">
      <c r="A633" s="31"/>
      <c r="B633" s="30"/>
      <c r="C633" s="31"/>
      <c r="D633" s="31"/>
      <c r="E633" s="32"/>
      <c r="F633" s="32"/>
      <c r="G633" s="33"/>
      <c r="H633" s="31"/>
      <c r="I633" s="24" t="str">
        <f aca="false">IF(B633="","",YEAR(B633))</f>
        <v/>
      </c>
      <c r="J633" s="34" t="str">
        <f aca="false">IF(B633="","",IF(MONTH(B633)=1,"X",""))</f>
        <v/>
      </c>
      <c r="K633" s="34" t="str">
        <f aca="false">IF(B633="","",IF(MONTH(B633)=2,"X",""))</f>
        <v/>
      </c>
      <c r="L633" s="34" t="str">
        <f aca="false">IF(B633="","",IF(MONTH(B633)=3,"X",""))</f>
        <v/>
      </c>
      <c r="M633" s="34" t="str">
        <f aca="false">IF(B633="","",IF(MONTH(B633)=4,"X",""))</f>
        <v/>
      </c>
      <c r="N633" s="34" t="str">
        <f aca="false">IF(B633="","",IF(MONTH(B633)=5,"X",""))</f>
        <v/>
      </c>
      <c r="O633" s="34" t="str">
        <f aca="false">IF(B633="","",IF(MONTH(B633)=6,"X",""))</f>
        <v/>
      </c>
      <c r="P633" s="34" t="str">
        <f aca="false">IF(B633="","",IF(MONTH(B633)=7,"X",""))</f>
        <v/>
      </c>
      <c r="Q633" s="34" t="str">
        <f aca="false">IF(B633="","",IF(MONTH(B633)=8,"X",""))</f>
        <v/>
      </c>
      <c r="R633" s="34" t="str">
        <f aca="false">IF(B633="","",IF(MONTH(B633)=9,"X",""))</f>
        <v/>
      </c>
      <c r="S633" s="34" t="str">
        <f aca="false">IF(B633="","",IF(MONTH(B633)=10,"X",""))</f>
        <v/>
      </c>
      <c r="T633" s="34" t="str">
        <f aca="false">IF(B633="","",IF(MONTH(B633)=11,"X",""))</f>
        <v/>
      </c>
      <c r="U633" s="34" t="str">
        <f aca="false">IF(B633="","",IF(MONTH(B633)=12,"X",""))</f>
        <v/>
      </c>
      <c r="V633" s="24" t="str">
        <f aca="false">IF(E633="","",COUNTIF($E$5:$E$1000,E633))</f>
        <v/>
      </c>
      <c r="W633" s="35" t="str">
        <f aca="false">IF(E633="","",_xlfn.TEXTJOIN(" + ",TRUE(),IF(COUNTIFS($E$5:$E$1000,E633,$C$5:$C$1000,"Auditoría Interna")&gt;0,"Interna",""),IF(COUNTIFS($E$5:$E$1000,E633,$C$5:$C$1000,"Auditoría Externa")&gt;0,"Externa",""),IF(COUNTIFS($E$5:$E$1000,E633,$C$5:$C$1000,"SSF")&gt;0,"SSF",""),IF(COUNTIFS($E$5:$E$1000,E633,$C$5:$C$1000,"Comité de Supervisión")&gt;0,"Comité Sup.",""),IF(COUNTIFS($E$5:$E$1000,E633,$C$5:$C$1000,"Consejo de Administración")&gt;0,"Consejo",""),IF(COUNTIFS($E$5:$E$1000,E633,$C$5:$C$1000,"Otros")&gt;0,"Otros","")))</f>
        <v/>
      </c>
      <c r="X633" s="24" t="str">
        <f aca="false">IF(E633="","",COUNTIFS($E$5:$E$1000,E633,$AB$5:$AB$1000,AB633,$C$5:$C$1000,"&lt;&gt;"&amp;C633))</f>
        <v/>
      </c>
      <c r="Y633" s="33"/>
      <c r="Z633" s="31"/>
      <c r="AA633" s="33"/>
      <c r="AB633" s="37" t="str">
        <f aca="false">IF(B633="","",YEAR(B633)*100+MONTH(B633))</f>
        <v/>
      </c>
      <c r="AC633" s="37" t="str">
        <f aca="false">IF(AND(E633&lt;&gt;"",E633=Cruce!$C$5),COUNTIF($E$5:E633,E633),"")</f>
        <v/>
      </c>
      <c r="AD633" s="37" t="str">
        <f aca="false">IF(E633="","",C633&amp;"|"&amp;Y633&amp;"|"&amp;IF(B633="","s/f",TEXT(B633,"yyyymmdd")))</f>
        <v/>
      </c>
      <c r="AE633" s="37" t="n">
        <f aca="false">IF(E633="",0,IF(COUNTIFS($E$5:E633,E633,$AD$5:AD633,AD633)=1,1,0))</f>
        <v>0</v>
      </c>
    </row>
    <row r="634" customFormat="false" ht="15" hidden="false" customHeight="true" outlineLevel="0" collapsed="false">
      <c r="A634" s="31"/>
      <c r="B634" s="30"/>
      <c r="C634" s="31"/>
      <c r="D634" s="31"/>
      <c r="E634" s="32"/>
      <c r="F634" s="32"/>
      <c r="G634" s="33"/>
      <c r="H634" s="31"/>
      <c r="I634" s="24" t="str">
        <f aca="false">IF(B634="","",YEAR(B634))</f>
        <v/>
      </c>
      <c r="J634" s="34" t="str">
        <f aca="false">IF(B634="","",IF(MONTH(B634)=1,"X",""))</f>
        <v/>
      </c>
      <c r="K634" s="34" t="str">
        <f aca="false">IF(B634="","",IF(MONTH(B634)=2,"X",""))</f>
        <v/>
      </c>
      <c r="L634" s="34" t="str">
        <f aca="false">IF(B634="","",IF(MONTH(B634)=3,"X",""))</f>
        <v/>
      </c>
      <c r="M634" s="34" t="str">
        <f aca="false">IF(B634="","",IF(MONTH(B634)=4,"X",""))</f>
        <v/>
      </c>
      <c r="N634" s="34" t="str">
        <f aca="false">IF(B634="","",IF(MONTH(B634)=5,"X",""))</f>
        <v/>
      </c>
      <c r="O634" s="34" t="str">
        <f aca="false">IF(B634="","",IF(MONTH(B634)=6,"X",""))</f>
        <v/>
      </c>
      <c r="P634" s="34" t="str">
        <f aca="false">IF(B634="","",IF(MONTH(B634)=7,"X",""))</f>
        <v/>
      </c>
      <c r="Q634" s="34" t="str">
        <f aca="false">IF(B634="","",IF(MONTH(B634)=8,"X",""))</f>
        <v/>
      </c>
      <c r="R634" s="34" t="str">
        <f aca="false">IF(B634="","",IF(MONTH(B634)=9,"X",""))</f>
        <v/>
      </c>
      <c r="S634" s="34" t="str">
        <f aca="false">IF(B634="","",IF(MONTH(B634)=10,"X",""))</f>
        <v/>
      </c>
      <c r="T634" s="34" t="str">
        <f aca="false">IF(B634="","",IF(MONTH(B634)=11,"X",""))</f>
        <v/>
      </c>
      <c r="U634" s="34" t="str">
        <f aca="false">IF(B634="","",IF(MONTH(B634)=12,"X",""))</f>
        <v/>
      </c>
      <c r="V634" s="24" t="str">
        <f aca="false">IF(E634="","",COUNTIF($E$5:$E$1000,E634))</f>
        <v/>
      </c>
      <c r="W634" s="35" t="str">
        <f aca="false">IF(E634="","",_xlfn.TEXTJOIN(" + ",TRUE(),IF(COUNTIFS($E$5:$E$1000,E634,$C$5:$C$1000,"Auditoría Interna")&gt;0,"Interna",""),IF(COUNTIFS($E$5:$E$1000,E634,$C$5:$C$1000,"Auditoría Externa")&gt;0,"Externa",""),IF(COUNTIFS($E$5:$E$1000,E634,$C$5:$C$1000,"SSF")&gt;0,"SSF",""),IF(COUNTIFS($E$5:$E$1000,E634,$C$5:$C$1000,"Comité de Supervisión")&gt;0,"Comité Sup.",""),IF(COUNTIFS($E$5:$E$1000,E634,$C$5:$C$1000,"Consejo de Administración")&gt;0,"Consejo",""),IF(COUNTIFS($E$5:$E$1000,E634,$C$5:$C$1000,"Otros")&gt;0,"Otros","")))</f>
        <v/>
      </c>
      <c r="X634" s="24" t="str">
        <f aca="false">IF(E634="","",COUNTIFS($E$5:$E$1000,E634,$AB$5:$AB$1000,AB634,$C$5:$C$1000,"&lt;&gt;"&amp;C634))</f>
        <v/>
      </c>
      <c r="Y634" s="33"/>
      <c r="Z634" s="31"/>
      <c r="AA634" s="33"/>
      <c r="AB634" s="37" t="str">
        <f aca="false">IF(B634="","",YEAR(B634)*100+MONTH(B634))</f>
        <v/>
      </c>
      <c r="AC634" s="37" t="str">
        <f aca="false">IF(AND(E634&lt;&gt;"",E634=Cruce!$C$5),COUNTIF($E$5:E634,E634),"")</f>
        <v/>
      </c>
      <c r="AD634" s="37" t="str">
        <f aca="false">IF(E634="","",C634&amp;"|"&amp;Y634&amp;"|"&amp;IF(B634="","s/f",TEXT(B634,"yyyymmdd")))</f>
        <v/>
      </c>
      <c r="AE634" s="37" t="n">
        <f aca="false">IF(E634="",0,IF(COUNTIFS($E$5:E634,E634,$AD$5:AD634,AD634)=1,1,0))</f>
        <v>0</v>
      </c>
    </row>
    <row r="635" customFormat="false" ht="15" hidden="false" customHeight="true" outlineLevel="0" collapsed="false">
      <c r="A635" s="31"/>
      <c r="B635" s="30"/>
      <c r="C635" s="31"/>
      <c r="D635" s="31"/>
      <c r="E635" s="32"/>
      <c r="F635" s="32"/>
      <c r="G635" s="33"/>
      <c r="H635" s="31"/>
      <c r="I635" s="24" t="str">
        <f aca="false">IF(B635="","",YEAR(B635))</f>
        <v/>
      </c>
      <c r="J635" s="34" t="str">
        <f aca="false">IF(B635="","",IF(MONTH(B635)=1,"X",""))</f>
        <v/>
      </c>
      <c r="K635" s="34" t="str">
        <f aca="false">IF(B635="","",IF(MONTH(B635)=2,"X",""))</f>
        <v/>
      </c>
      <c r="L635" s="34" t="str">
        <f aca="false">IF(B635="","",IF(MONTH(B635)=3,"X",""))</f>
        <v/>
      </c>
      <c r="M635" s="34" t="str">
        <f aca="false">IF(B635="","",IF(MONTH(B635)=4,"X",""))</f>
        <v/>
      </c>
      <c r="N635" s="34" t="str">
        <f aca="false">IF(B635="","",IF(MONTH(B635)=5,"X",""))</f>
        <v/>
      </c>
      <c r="O635" s="34" t="str">
        <f aca="false">IF(B635="","",IF(MONTH(B635)=6,"X",""))</f>
        <v/>
      </c>
      <c r="P635" s="34" t="str">
        <f aca="false">IF(B635="","",IF(MONTH(B635)=7,"X",""))</f>
        <v/>
      </c>
      <c r="Q635" s="34" t="str">
        <f aca="false">IF(B635="","",IF(MONTH(B635)=8,"X",""))</f>
        <v/>
      </c>
      <c r="R635" s="34" t="str">
        <f aca="false">IF(B635="","",IF(MONTH(B635)=9,"X",""))</f>
        <v/>
      </c>
      <c r="S635" s="34" t="str">
        <f aca="false">IF(B635="","",IF(MONTH(B635)=10,"X",""))</f>
        <v/>
      </c>
      <c r="T635" s="34" t="str">
        <f aca="false">IF(B635="","",IF(MONTH(B635)=11,"X",""))</f>
        <v/>
      </c>
      <c r="U635" s="34" t="str">
        <f aca="false">IF(B635="","",IF(MONTH(B635)=12,"X",""))</f>
        <v/>
      </c>
      <c r="V635" s="24" t="str">
        <f aca="false">IF(E635="","",COUNTIF($E$5:$E$1000,E635))</f>
        <v/>
      </c>
      <c r="W635" s="35" t="str">
        <f aca="false">IF(E635="","",_xlfn.TEXTJOIN(" + ",TRUE(),IF(COUNTIFS($E$5:$E$1000,E635,$C$5:$C$1000,"Auditoría Interna")&gt;0,"Interna",""),IF(COUNTIFS($E$5:$E$1000,E635,$C$5:$C$1000,"Auditoría Externa")&gt;0,"Externa",""),IF(COUNTIFS($E$5:$E$1000,E635,$C$5:$C$1000,"SSF")&gt;0,"SSF",""),IF(COUNTIFS($E$5:$E$1000,E635,$C$5:$C$1000,"Comité de Supervisión")&gt;0,"Comité Sup.",""),IF(COUNTIFS($E$5:$E$1000,E635,$C$5:$C$1000,"Consejo de Administración")&gt;0,"Consejo",""),IF(COUNTIFS($E$5:$E$1000,E635,$C$5:$C$1000,"Otros")&gt;0,"Otros","")))</f>
        <v/>
      </c>
      <c r="X635" s="24" t="str">
        <f aca="false">IF(E635="","",COUNTIFS($E$5:$E$1000,E635,$AB$5:$AB$1000,AB635,$C$5:$C$1000,"&lt;&gt;"&amp;C635))</f>
        <v/>
      </c>
      <c r="Y635" s="33"/>
      <c r="Z635" s="31"/>
      <c r="AA635" s="33"/>
      <c r="AB635" s="37" t="str">
        <f aca="false">IF(B635="","",YEAR(B635)*100+MONTH(B635))</f>
        <v/>
      </c>
      <c r="AC635" s="37" t="str">
        <f aca="false">IF(AND(E635&lt;&gt;"",E635=Cruce!$C$5),COUNTIF($E$5:E635,E635),"")</f>
        <v/>
      </c>
      <c r="AD635" s="37" t="str">
        <f aca="false">IF(E635="","",C635&amp;"|"&amp;Y635&amp;"|"&amp;IF(B635="","s/f",TEXT(B635,"yyyymmdd")))</f>
        <v/>
      </c>
      <c r="AE635" s="37" t="n">
        <f aca="false">IF(E635="",0,IF(COUNTIFS($E$5:E635,E635,$AD$5:AD635,AD635)=1,1,0))</f>
        <v>0</v>
      </c>
    </row>
    <row r="636" customFormat="false" ht="15" hidden="false" customHeight="true" outlineLevel="0" collapsed="false">
      <c r="A636" s="31"/>
      <c r="B636" s="30"/>
      <c r="C636" s="31"/>
      <c r="D636" s="31"/>
      <c r="E636" s="32"/>
      <c r="F636" s="32"/>
      <c r="G636" s="33"/>
      <c r="H636" s="31"/>
      <c r="I636" s="24" t="str">
        <f aca="false">IF(B636="","",YEAR(B636))</f>
        <v/>
      </c>
      <c r="J636" s="34" t="str">
        <f aca="false">IF(B636="","",IF(MONTH(B636)=1,"X",""))</f>
        <v/>
      </c>
      <c r="K636" s="34" t="str">
        <f aca="false">IF(B636="","",IF(MONTH(B636)=2,"X",""))</f>
        <v/>
      </c>
      <c r="L636" s="34" t="str">
        <f aca="false">IF(B636="","",IF(MONTH(B636)=3,"X",""))</f>
        <v/>
      </c>
      <c r="M636" s="34" t="str">
        <f aca="false">IF(B636="","",IF(MONTH(B636)=4,"X",""))</f>
        <v/>
      </c>
      <c r="N636" s="34" t="str">
        <f aca="false">IF(B636="","",IF(MONTH(B636)=5,"X",""))</f>
        <v/>
      </c>
      <c r="O636" s="34" t="str">
        <f aca="false">IF(B636="","",IF(MONTH(B636)=6,"X",""))</f>
        <v/>
      </c>
      <c r="P636" s="34" t="str">
        <f aca="false">IF(B636="","",IF(MONTH(B636)=7,"X",""))</f>
        <v/>
      </c>
      <c r="Q636" s="34" t="str">
        <f aca="false">IF(B636="","",IF(MONTH(B636)=8,"X",""))</f>
        <v/>
      </c>
      <c r="R636" s="34" t="str">
        <f aca="false">IF(B636="","",IF(MONTH(B636)=9,"X",""))</f>
        <v/>
      </c>
      <c r="S636" s="34" t="str">
        <f aca="false">IF(B636="","",IF(MONTH(B636)=10,"X",""))</f>
        <v/>
      </c>
      <c r="T636" s="34" t="str">
        <f aca="false">IF(B636="","",IF(MONTH(B636)=11,"X",""))</f>
        <v/>
      </c>
      <c r="U636" s="34" t="str">
        <f aca="false">IF(B636="","",IF(MONTH(B636)=12,"X",""))</f>
        <v/>
      </c>
      <c r="V636" s="24" t="str">
        <f aca="false">IF(E636="","",COUNTIF($E$5:$E$1000,E636))</f>
        <v/>
      </c>
      <c r="W636" s="35" t="str">
        <f aca="false">IF(E636="","",_xlfn.TEXTJOIN(" + ",TRUE(),IF(COUNTIFS($E$5:$E$1000,E636,$C$5:$C$1000,"Auditoría Interna")&gt;0,"Interna",""),IF(COUNTIFS($E$5:$E$1000,E636,$C$5:$C$1000,"Auditoría Externa")&gt;0,"Externa",""),IF(COUNTIFS($E$5:$E$1000,E636,$C$5:$C$1000,"SSF")&gt;0,"SSF",""),IF(COUNTIFS($E$5:$E$1000,E636,$C$5:$C$1000,"Comité de Supervisión")&gt;0,"Comité Sup.",""),IF(COUNTIFS($E$5:$E$1000,E636,$C$5:$C$1000,"Consejo de Administración")&gt;0,"Consejo",""),IF(COUNTIFS($E$5:$E$1000,E636,$C$5:$C$1000,"Otros")&gt;0,"Otros","")))</f>
        <v/>
      </c>
      <c r="X636" s="24" t="str">
        <f aca="false">IF(E636="","",COUNTIFS($E$5:$E$1000,E636,$AB$5:$AB$1000,AB636,$C$5:$C$1000,"&lt;&gt;"&amp;C636))</f>
        <v/>
      </c>
      <c r="Y636" s="33"/>
      <c r="Z636" s="31"/>
      <c r="AA636" s="33"/>
      <c r="AB636" s="37" t="str">
        <f aca="false">IF(B636="","",YEAR(B636)*100+MONTH(B636))</f>
        <v/>
      </c>
      <c r="AC636" s="37" t="str">
        <f aca="false">IF(AND(E636&lt;&gt;"",E636=Cruce!$C$5),COUNTIF($E$5:E636,E636),"")</f>
        <v/>
      </c>
      <c r="AD636" s="37" t="str">
        <f aca="false">IF(E636="","",C636&amp;"|"&amp;Y636&amp;"|"&amp;IF(B636="","s/f",TEXT(B636,"yyyymmdd")))</f>
        <v/>
      </c>
      <c r="AE636" s="37" t="n">
        <f aca="false">IF(E636="",0,IF(COUNTIFS($E$5:E636,E636,$AD$5:AD636,AD636)=1,1,0))</f>
        <v>0</v>
      </c>
    </row>
    <row r="637" customFormat="false" ht="15" hidden="false" customHeight="true" outlineLevel="0" collapsed="false">
      <c r="A637" s="31"/>
      <c r="B637" s="30"/>
      <c r="C637" s="31"/>
      <c r="D637" s="31"/>
      <c r="E637" s="32"/>
      <c r="F637" s="32"/>
      <c r="G637" s="33"/>
      <c r="H637" s="31"/>
      <c r="I637" s="24" t="str">
        <f aca="false">IF(B637="","",YEAR(B637))</f>
        <v/>
      </c>
      <c r="J637" s="34" t="str">
        <f aca="false">IF(B637="","",IF(MONTH(B637)=1,"X",""))</f>
        <v/>
      </c>
      <c r="K637" s="34" t="str">
        <f aca="false">IF(B637="","",IF(MONTH(B637)=2,"X",""))</f>
        <v/>
      </c>
      <c r="L637" s="34" t="str">
        <f aca="false">IF(B637="","",IF(MONTH(B637)=3,"X",""))</f>
        <v/>
      </c>
      <c r="M637" s="34" t="str">
        <f aca="false">IF(B637="","",IF(MONTH(B637)=4,"X",""))</f>
        <v/>
      </c>
      <c r="N637" s="34" t="str">
        <f aca="false">IF(B637="","",IF(MONTH(B637)=5,"X",""))</f>
        <v/>
      </c>
      <c r="O637" s="34" t="str">
        <f aca="false">IF(B637="","",IF(MONTH(B637)=6,"X",""))</f>
        <v/>
      </c>
      <c r="P637" s="34" t="str">
        <f aca="false">IF(B637="","",IF(MONTH(B637)=7,"X",""))</f>
        <v/>
      </c>
      <c r="Q637" s="34" t="str">
        <f aca="false">IF(B637="","",IF(MONTH(B637)=8,"X",""))</f>
        <v/>
      </c>
      <c r="R637" s="34" t="str">
        <f aca="false">IF(B637="","",IF(MONTH(B637)=9,"X",""))</f>
        <v/>
      </c>
      <c r="S637" s="34" t="str">
        <f aca="false">IF(B637="","",IF(MONTH(B637)=10,"X",""))</f>
        <v/>
      </c>
      <c r="T637" s="34" t="str">
        <f aca="false">IF(B637="","",IF(MONTH(B637)=11,"X",""))</f>
        <v/>
      </c>
      <c r="U637" s="34" t="str">
        <f aca="false">IF(B637="","",IF(MONTH(B637)=12,"X",""))</f>
        <v/>
      </c>
      <c r="V637" s="24" t="str">
        <f aca="false">IF(E637="","",COUNTIF($E$5:$E$1000,E637))</f>
        <v/>
      </c>
      <c r="W637" s="35" t="str">
        <f aca="false">IF(E637="","",_xlfn.TEXTJOIN(" + ",TRUE(),IF(COUNTIFS($E$5:$E$1000,E637,$C$5:$C$1000,"Auditoría Interna")&gt;0,"Interna",""),IF(COUNTIFS($E$5:$E$1000,E637,$C$5:$C$1000,"Auditoría Externa")&gt;0,"Externa",""),IF(COUNTIFS($E$5:$E$1000,E637,$C$5:$C$1000,"SSF")&gt;0,"SSF",""),IF(COUNTIFS($E$5:$E$1000,E637,$C$5:$C$1000,"Comité de Supervisión")&gt;0,"Comité Sup.",""),IF(COUNTIFS($E$5:$E$1000,E637,$C$5:$C$1000,"Consejo de Administración")&gt;0,"Consejo",""),IF(COUNTIFS($E$5:$E$1000,E637,$C$5:$C$1000,"Otros")&gt;0,"Otros","")))</f>
        <v/>
      </c>
      <c r="X637" s="24" t="str">
        <f aca="false">IF(E637="","",COUNTIFS($E$5:$E$1000,E637,$AB$5:$AB$1000,AB637,$C$5:$C$1000,"&lt;&gt;"&amp;C637))</f>
        <v/>
      </c>
      <c r="Y637" s="33"/>
      <c r="Z637" s="31"/>
      <c r="AA637" s="33"/>
      <c r="AB637" s="37" t="str">
        <f aca="false">IF(B637="","",YEAR(B637)*100+MONTH(B637))</f>
        <v/>
      </c>
      <c r="AC637" s="37" t="str">
        <f aca="false">IF(AND(E637&lt;&gt;"",E637=Cruce!$C$5),COUNTIF($E$5:E637,E637),"")</f>
        <v/>
      </c>
      <c r="AD637" s="37" t="str">
        <f aca="false">IF(E637="","",C637&amp;"|"&amp;Y637&amp;"|"&amp;IF(B637="","s/f",TEXT(B637,"yyyymmdd")))</f>
        <v/>
      </c>
      <c r="AE637" s="37" t="n">
        <f aca="false">IF(E637="",0,IF(COUNTIFS($E$5:E637,E637,$AD$5:AD637,AD637)=1,1,0))</f>
        <v>0</v>
      </c>
    </row>
    <row r="638" customFormat="false" ht="15" hidden="false" customHeight="true" outlineLevel="0" collapsed="false">
      <c r="A638" s="31"/>
      <c r="B638" s="30"/>
      <c r="C638" s="31"/>
      <c r="D638" s="31"/>
      <c r="E638" s="32"/>
      <c r="F638" s="32"/>
      <c r="G638" s="33"/>
      <c r="H638" s="31"/>
      <c r="I638" s="24" t="str">
        <f aca="false">IF(B638="","",YEAR(B638))</f>
        <v/>
      </c>
      <c r="J638" s="34" t="str">
        <f aca="false">IF(B638="","",IF(MONTH(B638)=1,"X",""))</f>
        <v/>
      </c>
      <c r="K638" s="34" t="str">
        <f aca="false">IF(B638="","",IF(MONTH(B638)=2,"X",""))</f>
        <v/>
      </c>
      <c r="L638" s="34" t="str">
        <f aca="false">IF(B638="","",IF(MONTH(B638)=3,"X",""))</f>
        <v/>
      </c>
      <c r="M638" s="34" t="str">
        <f aca="false">IF(B638="","",IF(MONTH(B638)=4,"X",""))</f>
        <v/>
      </c>
      <c r="N638" s="34" t="str">
        <f aca="false">IF(B638="","",IF(MONTH(B638)=5,"X",""))</f>
        <v/>
      </c>
      <c r="O638" s="34" t="str">
        <f aca="false">IF(B638="","",IF(MONTH(B638)=6,"X",""))</f>
        <v/>
      </c>
      <c r="P638" s="34" t="str">
        <f aca="false">IF(B638="","",IF(MONTH(B638)=7,"X",""))</f>
        <v/>
      </c>
      <c r="Q638" s="34" t="str">
        <f aca="false">IF(B638="","",IF(MONTH(B638)=8,"X",""))</f>
        <v/>
      </c>
      <c r="R638" s="34" t="str">
        <f aca="false">IF(B638="","",IF(MONTH(B638)=9,"X",""))</f>
        <v/>
      </c>
      <c r="S638" s="34" t="str">
        <f aca="false">IF(B638="","",IF(MONTH(B638)=10,"X",""))</f>
        <v/>
      </c>
      <c r="T638" s="34" t="str">
        <f aca="false">IF(B638="","",IF(MONTH(B638)=11,"X",""))</f>
        <v/>
      </c>
      <c r="U638" s="34" t="str">
        <f aca="false">IF(B638="","",IF(MONTH(B638)=12,"X",""))</f>
        <v/>
      </c>
      <c r="V638" s="24" t="str">
        <f aca="false">IF(E638="","",COUNTIF($E$5:$E$1000,E638))</f>
        <v/>
      </c>
      <c r="W638" s="35" t="str">
        <f aca="false">IF(E638="","",_xlfn.TEXTJOIN(" + ",TRUE(),IF(COUNTIFS($E$5:$E$1000,E638,$C$5:$C$1000,"Auditoría Interna")&gt;0,"Interna",""),IF(COUNTIFS($E$5:$E$1000,E638,$C$5:$C$1000,"Auditoría Externa")&gt;0,"Externa",""),IF(COUNTIFS($E$5:$E$1000,E638,$C$5:$C$1000,"SSF")&gt;0,"SSF",""),IF(COUNTIFS($E$5:$E$1000,E638,$C$5:$C$1000,"Comité de Supervisión")&gt;0,"Comité Sup.",""),IF(COUNTIFS($E$5:$E$1000,E638,$C$5:$C$1000,"Consejo de Administración")&gt;0,"Consejo",""),IF(COUNTIFS($E$5:$E$1000,E638,$C$5:$C$1000,"Otros")&gt;0,"Otros","")))</f>
        <v/>
      </c>
      <c r="X638" s="24" t="str">
        <f aca="false">IF(E638="","",COUNTIFS($E$5:$E$1000,E638,$AB$5:$AB$1000,AB638,$C$5:$C$1000,"&lt;&gt;"&amp;C638))</f>
        <v/>
      </c>
      <c r="Y638" s="33"/>
      <c r="Z638" s="31"/>
      <c r="AA638" s="33"/>
      <c r="AB638" s="37" t="str">
        <f aca="false">IF(B638="","",YEAR(B638)*100+MONTH(B638))</f>
        <v/>
      </c>
      <c r="AC638" s="37" t="str">
        <f aca="false">IF(AND(E638&lt;&gt;"",E638=Cruce!$C$5),COUNTIF($E$5:E638,E638),"")</f>
        <v/>
      </c>
      <c r="AD638" s="37" t="str">
        <f aca="false">IF(E638="","",C638&amp;"|"&amp;Y638&amp;"|"&amp;IF(B638="","s/f",TEXT(B638,"yyyymmdd")))</f>
        <v/>
      </c>
      <c r="AE638" s="37" t="n">
        <f aca="false">IF(E638="",0,IF(COUNTIFS($E$5:E638,E638,$AD$5:AD638,AD638)=1,1,0))</f>
        <v>0</v>
      </c>
    </row>
    <row r="639" customFormat="false" ht="15" hidden="false" customHeight="true" outlineLevel="0" collapsed="false">
      <c r="A639" s="31"/>
      <c r="B639" s="30"/>
      <c r="C639" s="31"/>
      <c r="D639" s="31"/>
      <c r="E639" s="32"/>
      <c r="F639" s="32"/>
      <c r="G639" s="33"/>
      <c r="H639" s="31"/>
      <c r="I639" s="24" t="str">
        <f aca="false">IF(B639="","",YEAR(B639))</f>
        <v/>
      </c>
      <c r="J639" s="34" t="str">
        <f aca="false">IF(B639="","",IF(MONTH(B639)=1,"X",""))</f>
        <v/>
      </c>
      <c r="K639" s="34" t="str">
        <f aca="false">IF(B639="","",IF(MONTH(B639)=2,"X",""))</f>
        <v/>
      </c>
      <c r="L639" s="34" t="str">
        <f aca="false">IF(B639="","",IF(MONTH(B639)=3,"X",""))</f>
        <v/>
      </c>
      <c r="M639" s="34" t="str">
        <f aca="false">IF(B639="","",IF(MONTH(B639)=4,"X",""))</f>
        <v/>
      </c>
      <c r="N639" s="34" t="str">
        <f aca="false">IF(B639="","",IF(MONTH(B639)=5,"X",""))</f>
        <v/>
      </c>
      <c r="O639" s="34" t="str">
        <f aca="false">IF(B639="","",IF(MONTH(B639)=6,"X",""))</f>
        <v/>
      </c>
      <c r="P639" s="34" t="str">
        <f aca="false">IF(B639="","",IF(MONTH(B639)=7,"X",""))</f>
        <v/>
      </c>
      <c r="Q639" s="34" t="str">
        <f aca="false">IF(B639="","",IF(MONTH(B639)=8,"X",""))</f>
        <v/>
      </c>
      <c r="R639" s="34" t="str">
        <f aca="false">IF(B639="","",IF(MONTH(B639)=9,"X",""))</f>
        <v/>
      </c>
      <c r="S639" s="34" t="str">
        <f aca="false">IF(B639="","",IF(MONTH(B639)=10,"X",""))</f>
        <v/>
      </c>
      <c r="T639" s="34" t="str">
        <f aca="false">IF(B639="","",IF(MONTH(B639)=11,"X",""))</f>
        <v/>
      </c>
      <c r="U639" s="34" t="str">
        <f aca="false">IF(B639="","",IF(MONTH(B639)=12,"X",""))</f>
        <v/>
      </c>
      <c r="V639" s="24" t="str">
        <f aca="false">IF(E639="","",COUNTIF($E$5:$E$1000,E639))</f>
        <v/>
      </c>
      <c r="W639" s="35" t="str">
        <f aca="false">IF(E639="","",_xlfn.TEXTJOIN(" + ",TRUE(),IF(COUNTIFS($E$5:$E$1000,E639,$C$5:$C$1000,"Auditoría Interna")&gt;0,"Interna",""),IF(COUNTIFS($E$5:$E$1000,E639,$C$5:$C$1000,"Auditoría Externa")&gt;0,"Externa",""),IF(COUNTIFS($E$5:$E$1000,E639,$C$5:$C$1000,"SSF")&gt;0,"SSF",""),IF(COUNTIFS($E$5:$E$1000,E639,$C$5:$C$1000,"Comité de Supervisión")&gt;0,"Comité Sup.",""),IF(COUNTIFS($E$5:$E$1000,E639,$C$5:$C$1000,"Consejo de Administración")&gt;0,"Consejo",""),IF(COUNTIFS($E$5:$E$1000,E639,$C$5:$C$1000,"Otros")&gt;0,"Otros","")))</f>
        <v/>
      </c>
      <c r="X639" s="24" t="str">
        <f aca="false">IF(E639="","",COUNTIFS($E$5:$E$1000,E639,$AB$5:$AB$1000,AB639,$C$5:$C$1000,"&lt;&gt;"&amp;C639))</f>
        <v/>
      </c>
      <c r="Y639" s="33"/>
      <c r="Z639" s="31"/>
      <c r="AA639" s="33"/>
      <c r="AB639" s="37" t="str">
        <f aca="false">IF(B639="","",YEAR(B639)*100+MONTH(B639))</f>
        <v/>
      </c>
      <c r="AC639" s="37" t="str">
        <f aca="false">IF(AND(E639&lt;&gt;"",E639=Cruce!$C$5),COUNTIF($E$5:E639,E639),"")</f>
        <v/>
      </c>
      <c r="AD639" s="37" t="str">
        <f aca="false">IF(E639="","",C639&amp;"|"&amp;Y639&amp;"|"&amp;IF(B639="","s/f",TEXT(B639,"yyyymmdd")))</f>
        <v/>
      </c>
      <c r="AE639" s="37" t="n">
        <f aca="false">IF(E639="",0,IF(COUNTIFS($E$5:E639,E639,$AD$5:AD639,AD639)=1,1,0))</f>
        <v>0</v>
      </c>
    </row>
    <row r="640" customFormat="false" ht="15" hidden="false" customHeight="true" outlineLevel="0" collapsed="false">
      <c r="A640" s="31"/>
      <c r="B640" s="30"/>
      <c r="C640" s="31"/>
      <c r="D640" s="31"/>
      <c r="E640" s="32"/>
      <c r="F640" s="32"/>
      <c r="G640" s="33"/>
      <c r="H640" s="31"/>
      <c r="I640" s="24" t="str">
        <f aca="false">IF(B640="","",YEAR(B640))</f>
        <v/>
      </c>
      <c r="J640" s="34" t="str">
        <f aca="false">IF(B640="","",IF(MONTH(B640)=1,"X",""))</f>
        <v/>
      </c>
      <c r="K640" s="34" t="str">
        <f aca="false">IF(B640="","",IF(MONTH(B640)=2,"X",""))</f>
        <v/>
      </c>
      <c r="L640" s="34" t="str">
        <f aca="false">IF(B640="","",IF(MONTH(B640)=3,"X",""))</f>
        <v/>
      </c>
      <c r="M640" s="34" t="str">
        <f aca="false">IF(B640="","",IF(MONTH(B640)=4,"X",""))</f>
        <v/>
      </c>
      <c r="N640" s="34" t="str">
        <f aca="false">IF(B640="","",IF(MONTH(B640)=5,"X",""))</f>
        <v/>
      </c>
      <c r="O640" s="34" t="str">
        <f aca="false">IF(B640="","",IF(MONTH(B640)=6,"X",""))</f>
        <v/>
      </c>
      <c r="P640" s="34" t="str">
        <f aca="false">IF(B640="","",IF(MONTH(B640)=7,"X",""))</f>
        <v/>
      </c>
      <c r="Q640" s="34" t="str">
        <f aca="false">IF(B640="","",IF(MONTH(B640)=8,"X",""))</f>
        <v/>
      </c>
      <c r="R640" s="34" t="str">
        <f aca="false">IF(B640="","",IF(MONTH(B640)=9,"X",""))</f>
        <v/>
      </c>
      <c r="S640" s="34" t="str">
        <f aca="false">IF(B640="","",IF(MONTH(B640)=10,"X",""))</f>
        <v/>
      </c>
      <c r="T640" s="34" t="str">
        <f aca="false">IF(B640="","",IF(MONTH(B640)=11,"X",""))</f>
        <v/>
      </c>
      <c r="U640" s="34" t="str">
        <f aca="false">IF(B640="","",IF(MONTH(B640)=12,"X",""))</f>
        <v/>
      </c>
      <c r="V640" s="24" t="str">
        <f aca="false">IF(E640="","",COUNTIF($E$5:$E$1000,E640))</f>
        <v/>
      </c>
      <c r="W640" s="35" t="str">
        <f aca="false">IF(E640="","",_xlfn.TEXTJOIN(" + ",TRUE(),IF(COUNTIFS($E$5:$E$1000,E640,$C$5:$C$1000,"Auditoría Interna")&gt;0,"Interna",""),IF(COUNTIFS($E$5:$E$1000,E640,$C$5:$C$1000,"Auditoría Externa")&gt;0,"Externa",""),IF(COUNTIFS($E$5:$E$1000,E640,$C$5:$C$1000,"SSF")&gt;0,"SSF",""),IF(COUNTIFS($E$5:$E$1000,E640,$C$5:$C$1000,"Comité de Supervisión")&gt;0,"Comité Sup.",""),IF(COUNTIFS($E$5:$E$1000,E640,$C$5:$C$1000,"Consejo de Administración")&gt;0,"Consejo",""),IF(COUNTIFS($E$5:$E$1000,E640,$C$5:$C$1000,"Otros")&gt;0,"Otros","")))</f>
        <v/>
      </c>
      <c r="X640" s="24" t="str">
        <f aca="false">IF(E640="","",COUNTIFS($E$5:$E$1000,E640,$AB$5:$AB$1000,AB640,$C$5:$C$1000,"&lt;&gt;"&amp;C640))</f>
        <v/>
      </c>
      <c r="Y640" s="33"/>
      <c r="Z640" s="31"/>
      <c r="AA640" s="33"/>
      <c r="AB640" s="37" t="str">
        <f aca="false">IF(B640="","",YEAR(B640)*100+MONTH(B640))</f>
        <v/>
      </c>
      <c r="AC640" s="37" t="str">
        <f aca="false">IF(AND(E640&lt;&gt;"",E640=Cruce!$C$5),COUNTIF($E$5:E640,E640),"")</f>
        <v/>
      </c>
      <c r="AD640" s="37" t="str">
        <f aca="false">IF(E640="","",C640&amp;"|"&amp;Y640&amp;"|"&amp;IF(B640="","s/f",TEXT(B640,"yyyymmdd")))</f>
        <v/>
      </c>
      <c r="AE640" s="37" t="n">
        <f aca="false">IF(E640="",0,IF(COUNTIFS($E$5:E640,E640,$AD$5:AD640,AD640)=1,1,0))</f>
        <v>0</v>
      </c>
    </row>
    <row r="641" customFormat="false" ht="15" hidden="false" customHeight="true" outlineLevel="0" collapsed="false">
      <c r="A641" s="31"/>
      <c r="B641" s="30"/>
      <c r="C641" s="31"/>
      <c r="D641" s="31"/>
      <c r="E641" s="32"/>
      <c r="F641" s="32"/>
      <c r="G641" s="33"/>
      <c r="H641" s="31"/>
      <c r="I641" s="24" t="str">
        <f aca="false">IF(B641="","",YEAR(B641))</f>
        <v/>
      </c>
      <c r="J641" s="34" t="str">
        <f aca="false">IF(B641="","",IF(MONTH(B641)=1,"X",""))</f>
        <v/>
      </c>
      <c r="K641" s="34" t="str">
        <f aca="false">IF(B641="","",IF(MONTH(B641)=2,"X",""))</f>
        <v/>
      </c>
      <c r="L641" s="34" t="str">
        <f aca="false">IF(B641="","",IF(MONTH(B641)=3,"X",""))</f>
        <v/>
      </c>
      <c r="M641" s="34" t="str">
        <f aca="false">IF(B641="","",IF(MONTH(B641)=4,"X",""))</f>
        <v/>
      </c>
      <c r="N641" s="34" t="str">
        <f aca="false">IF(B641="","",IF(MONTH(B641)=5,"X",""))</f>
        <v/>
      </c>
      <c r="O641" s="34" t="str">
        <f aca="false">IF(B641="","",IF(MONTH(B641)=6,"X",""))</f>
        <v/>
      </c>
      <c r="P641" s="34" t="str">
        <f aca="false">IF(B641="","",IF(MONTH(B641)=7,"X",""))</f>
        <v/>
      </c>
      <c r="Q641" s="34" t="str">
        <f aca="false">IF(B641="","",IF(MONTH(B641)=8,"X",""))</f>
        <v/>
      </c>
      <c r="R641" s="34" t="str">
        <f aca="false">IF(B641="","",IF(MONTH(B641)=9,"X",""))</f>
        <v/>
      </c>
      <c r="S641" s="34" t="str">
        <f aca="false">IF(B641="","",IF(MONTH(B641)=10,"X",""))</f>
        <v/>
      </c>
      <c r="T641" s="34" t="str">
        <f aca="false">IF(B641="","",IF(MONTH(B641)=11,"X",""))</f>
        <v/>
      </c>
      <c r="U641" s="34" t="str">
        <f aca="false">IF(B641="","",IF(MONTH(B641)=12,"X",""))</f>
        <v/>
      </c>
      <c r="V641" s="24" t="str">
        <f aca="false">IF(E641="","",COUNTIF($E$5:$E$1000,E641))</f>
        <v/>
      </c>
      <c r="W641" s="35" t="str">
        <f aca="false">IF(E641="","",_xlfn.TEXTJOIN(" + ",TRUE(),IF(COUNTIFS($E$5:$E$1000,E641,$C$5:$C$1000,"Auditoría Interna")&gt;0,"Interna",""),IF(COUNTIFS($E$5:$E$1000,E641,$C$5:$C$1000,"Auditoría Externa")&gt;0,"Externa",""),IF(COUNTIFS($E$5:$E$1000,E641,$C$5:$C$1000,"SSF")&gt;0,"SSF",""),IF(COUNTIFS($E$5:$E$1000,E641,$C$5:$C$1000,"Comité de Supervisión")&gt;0,"Comité Sup.",""),IF(COUNTIFS($E$5:$E$1000,E641,$C$5:$C$1000,"Consejo de Administración")&gt;0,"Consejo",""),IF(COUNTIFS($E$5:$E$1000,E641,$C$5:$C$1000,"Otros")&gt;0,"Otros","")))</f>
        <v/>
      </c>
      <c r="X641" s="24" t="str">
        <f aca="false">IF(E641="","",COUNTIFS($E$5:$E$1000,E641,$AB$5:$AB$1000,AB641,$C$5:$C$1000,"&lt;&gt;"&amp;C641))</f>
        <v/>
      </c>
      <c r="Y641" s="33"/>
      <c r="Z641" s="31"/>
      <c r="AA641" s="33"/>
      <c r="AB641" s="37" t="str">
        <f aca="false">IF(B641="","",YEAR(B641)*100+MONTH(B641))</f>
        <v/>
      </c>
      <c r="AC641" s="37" t="str">
        <f aca="false">IF(AND(E641&lt;&gt;"",E641=Cruce!$C$5),COUNTIF($E$5:E641,E641),"")</f>
        <v/>
      </c>
      <c r="AD641" s="37" t="str">
        <f aca="false">IF(E641="","",C641&amp;"|"&amp;Y641&amp;"|"&amp;IF(B641="","s/f",TEXT(B641,"yyyymmdd")))</f>
        <v/>
      </c>
      <c r="AE641" s="37" t="n">
        <f aca="false">IF(E641="",0,IF(COUNTIFS($E$5:E641,E641,$AD$5:AD641,AD641)=1,1,0))</f>
        <v>0</v>
      </c>
    </row>
    <row r="642" customFormat="false" ht="15" hidden="false" customHeight="true" outlineLevel="0" collapsed="false">
      <c r="A642" s="31"/>
      <c r="B642" s="30"/>
      <c r="C642" s="31"/>
      <c r="D642" s="31"/>
      <c r="E642" s="32"/>
      <c r="F642" s="32"/>
      <c r="G642" s="33"/>
      <c r="H642" s="31"/>
      <c r="I642" s="24" t="str">
        <f aca="false">IF(B642="","",YEAR(B642))</f>
        <v/>
      </c>
      <c r="J642" s="34" t="str">
        <f aca="false">IF(B642="","",IF(MONTH(B642)=1,"X",""))</f>
        <v/>
      </c>
      <c r="K642" s="34" t="str">
        <f aca="false">IF(B642="","",IF(MONTH(B642)=2,"X",""))</f>
        <v/>
      </c>
      <c r="L642" s="34" t="str">
        <f aca="false">IF(B642="","",IF(MONTH(B642)=3,"X",""))</f>
        <v/>
      </c>
      <c r="M642" s="34" t="str">
        <f aca="false">IF(B642="","",IF(MONTH(B642)=4,"X",""))</f>
        <v/>
      </c>
      <c r="N642" s="34" t="str">
        <f aca="false">IF(B642="","",IF(MONTH(B642)=5,"X",""))</f>
        <v/>
      </c>
      <c r="O642" s="34" t="str">
        <f aca="false">IF(B642="","",IF(MONTH(B642)=6,"X",""))</f>
        <v/>
      </c>
      <c r="P642" s="34" t="str">
        <f aca="false">IF(B642="","",IF(MONTH(B642)=7,"X",""))</f>
        <v/>
      </c>
      <c r="Q642" s="34" t="str">
        <f aca="false">IF(B642="","",IF(MONTH(B642)=8,"X",""))</f>
        <v/>
      </c>
      <c r="R642" s="34" t="str">
        <f aca="false">IF(B642="","",IF(MONTH(B642)=9,"X",""))</f>
        <v/>
      </c>
      <c r="S642" s="34" t="str">
        <f aca="false">IF(B642="","",IF(MONTH(B642)=10,"X",""))</f>
        <v/>
      </c>
      <c r="T642" s="34" t="str">
        <f aca="false">IF(B642="","",IF(MONTH(B642)=11,"X",""))</f>
        <v/>
      </c>
      <c r="U642" s="34" t="str">
        <f aca="false">IF(B642="","",IF(MONTH(B642)=12,"X",""))</f>
        <v/>
      </c>
      <c r="V642" s="24" t="str">
        <f aca="false">IF(E642="","",COUNTIF($E$5:$E$1000,E642))</f>
        <v/>
      </c>
      <c r="W642" s="35" t="str">
        <f aca="false">IF(E642="","",_xlfn.TEXTJOIN(" + ",TRUE(),IF(COUNTIFS($E$5:$E$1000,E642,$C$5:$C$1000,"Auditoría Interna")&gt;0,"Interna",""),IF(COUNTIFS($E$5:$E$1000,E642,$C$5:$C$1000,"Auditoría Externa")&gt;0,"Externa",""),IF(COUNTIFS($E$5:$E$1000,E642,$C$5:$C$1000,"SSF")&gt;0,"SSF",""),IF(COUNTIFS($E$5:$E$1000,E642,$C$5:$C$1000,"Comité de Supervisión")&gt;0,"Comité Sup.",""),IF(COUNTIFS($E$5:$E$1000,E642,$C$5:$C$1000,"Consejo de Administración")&gt;0,"Consejo",""),IF(COUNTIFS($E$5:$E$1000,E642,$C$5:$C$1000,"Otros")&gt;0,"Otros","")))</f>
        <v/>
      </c>
      <c r="X642" s="24" t="str">
        <f aca="false">IF(E642="","",COUNTIFS($E$5:$E$1000,E642,$AB$5:$AB$1000,AB642,$C$5:$C$1000,"&lt;&gt;"&amp;C642))</f>
        <v/>
      </c>
      <c r="Y642" s="33"/>
      <c r="Z642" s="31"/>
      <c r="AA642" s="33"/>
      <c r="AB642" s="37" t="str">
        <f aca="false">IF(B642="","",YEAR(B642)*100+MONTH(B642))</f>
        <v/>
      </c>
      <c r="AC642" s="37" t="str">
        <f aca="false">IF(AND(E642&lt;&gt;"",E642=Cruce!$C$5),COUNTIF($E$5:E642,E642),"")</f>
        <v/>
      </c>
      <c r="AD642" s="37" t="str">
        <f aca="false">IF(E642="","",C642&amp;"|"&amp;Y642&amp;"|"&amp;IF(B642="","s/f",TEXT(B642,"yyyymmdd")))</f>
        <v/>
      </c>
      <c r="AE642" s="37" t="n">
        <f aca="false">IF(E642="",0,IF(COUNTIFS($E$5:E642,E642,$AD$5:AD642,AD642)=1,1,0))</f>
        <v>0</v>
      </c>
    </row>
    <row r="643" customFormat="false" ht="15" hidden="false" customHeight="true" outlineLevel="0" collapsed="false">
      <c r="A643" s="31"/>
      <c r="B643" s="30"/>
      <c r="C643" s="31"/>
      <c r="D643" s="31"/>
      <c r="E643" s="32"/>
      <c r="F643" s="32"/>
      <c r="G643" s="33"/>
      <c r="H643" s="31"/>
      <c r="I643" s="24" t="str">
        <f aca="false">IF(B643="","",YEAR(B643))</f>
        <v/>
      </c>
      <c r="J643" s="34" t="str">
        <f aca="false">IF(B643="","",IF(MONTH(B643)=1,"X",""))</f>
        <v/>
      </c>
      <c r="K643" s="34" t="str">
        <f aca="false">IF(B643="","",IF(MONTH(B643)=2,"X",""))</f>
        <v/>
      </c>
      <c r="L643" s="34" t="str">
        <f aca="false">IF(B643="","",IF(MONTH(B643)=3,"X",""))</f>
        <v/>
      </c>
      <c r="M643" s="34" t="str">
        <f aca="false">IF(B643="","",IF(MONTH(B643)=4,"X",""))</f>
        <v/>
      </c>
      <c r="N643" s="34" t="str">
        <f aca="false">IF(B643="","",IF(MONTH(B643)=5,"X",""))</f>
        <v/>
      </c>
      <c r="O643" s="34" t="str">
        <f aca="false">IF(B643="","",IF(MONTH(B643)=6,"X",""))</f>
        <v/>
      </c>
      <c r="P643" s="34" t="str">
        <f aca="false">IF(B643="","",IF(MONTH(B643)=7,"X",""))</f>
        <v/>
      </c>
      <c r="Q643" s="34" t="str">
        <f aca="false">IF(B643="","",IF(MONTH(B643)=8,"X",""))</f>
        <v/>
      </c>
      <c r="R643" s="34" t="str">
        <f aca="false">IF(B643="","",IF(MONTH(B643)=9,"X",""))</f>
        <v/>
      </c>
      <c r="S643" s="34" t="str">
        <f aca="false">IF(B643="","",IF(MONTH(B643)=10,"X",""))</f>
        <v/>
      </c>
      <c r="T643" s="34" t="str">
        <f aca="false">IF(B643="","",IF(MONTH(B643)=11,"X",""))</f>
        <v/>
      </c>
      <c r="U643" s="34" t="str">
        <f aca="false">IF(B643="","",IF(MONTH(B643)=12,"X",""))</f>
        <v/>
      </c>
      <c r="V643" s="24" t="str">
        <f aca="false">IF(E643="","",COUNTIF($E$5:$E$1000,E643))</f>
        <v/>
      </c>
      <c r="W643" s="35" t="str">
        <f aca="false">IF(E643="","",_xlfn.TEXTJOIN(" + ",TRUE(),IF(COUNTIFS($E$5:$E$1000,E643,$C$5:$C$1000,"Auditoría Interna")&gt;0,"Interna",""),IF(COUNTIFS($E$5:$E$1000,E643,$C$5:$C$1000,"Auditoría Externa")&gt;0,"Externa",""),IF(COUNTIFS($E$5:$E$1000,E643,$C$5:$C$1000,"SSF")&gt;0,"SSF",""),IF(COUNTIFS($E$5:$E$1000,E643,$C$5:$C$1000,"Comité de Supervisión")&gt;0,"Comité Sup.",""),IF(COUNTIFS($E$5:$E$1000,E643,$C$5:$C$1000,"Consejo de Administración")&gt;0,"Consejo",""),IF(COUNTIFS($E$5:$E$1000,E643,$C$5:$C$1000,"Otros")&gt;0,"Otros","")))</f>
        <v/>
      </c>
      <c r="X643" s="24" t="str">
        <f aca="false">IF(E643="","",COUNTIFS($E$5:$E$1000,E643,$AB$5:$AB$1000,AB643,$C$5:$C$1000,"&lt;&gt;"&amp;C643))</f>
        <v/>
      </c>
      <c r="Y643" s="33"/>
      <c r="Z643" s="31"/>
      <c r="AA643" s="33"/>
      <c r="AB643" s="37" t="str">
        <f aca="false">IF(B643="","",YEAR(B643)*100+MONTH(B643))</f>
        <v/>
      </c>
      <c r="AC643" s="37" t="str">
        <f aca="false">IF(AND(E643&lt;&gt;"",E643=Cruce!$C$5),COUNTIF($E$5:E643,E643),"")</f>
        <v/>
      </c>
      <c r="AD643" s="37" t="str">
        <f aca="false">IF(E643="","",C643&amp;"|"&amp;Y643&amp;"|"&amp;IF(B643="","s/f",TEXT(B643,"yyyymmdd")))</f>
        <v/>
      </c>
      <c r="AE643" s="37" t="n">
        <f aca="false">IF(E643="",0,IF(COUNTIFS($E$5:E643,E643,$AD$5:AD643,AD643)=1,1,0))</f>
        <v>0</v>
      </c>
    </row>
    <row r="644" customFormat="false" ht="15" hidden="false" customHeight="true" outlineLevel="0" collapsed="false">
      <c r="A644" s="31"/>
      <c r="B644" s="30"/>
      <c r="C644" s="31"/>
      <c r="D644" s="31"/>
      <c r="E644" s="32"/>
      <c r="F644" s="32"/>
      <c r="G644" s="33"/>
      <c r="H644" s="31"/>
      <c r="I644" s="24" t="str">
        <f aca="false">IF(B644="","",YEAR(B644))</f>
        <v/>
      </c>
      <c r="J644" s="34" t="str">
        <f aca="false">IF(B644="","",IF(MONTH(B644)=1,"X",""))</f>
        <v/>
      </c>
      <c r="K644" s="34" t="str">
        <f aca="false">IF(B644="","",IF(MONTH(B644)=2,"X",""))</f>
        <v/>
      </c>
      <c r="L644" s="34" t="str">
        <f aca="false">IF(B644="","",IF(MONTH(B644)=3,"X",""))</f>
        <v/>
      </c>
      <c r="M644" s="34" t="str">
        <f aca="false">IF(B644="","",IF(MONTH(B644)=4,"X",""))</f>
        <v/>
      </c>
      <c r="N644" s="34" t="str">
        <f aca="false">IF(B644="","",IF(MONTH(B644)=5,"X",""))</f>
        <v/>
      </c>
      <c r="O644" s="34" t="str">
        <f aca="false">IF(B644="","",IF(MONTH(B644)=6,"X",""))</f>
        <v/>
      </c>
      <c r="P644" s="34" t="str">
        <f aca="false">IF(B644="","",IF(MONTH(B644)=7,"X",""))</f>
        <v/>
      </c>
      <c r="Q644" s="34" t="str">
        <f aca="false">IF(B644="","",IF(MONTH(B644)=8,"X",""))</f>
        <v/>
      </c>
      <c r="R644" s="34" t="str">
        <f aca="false">IF(B644="","",IF(MONTH(B644)=9,"X",""))</f>
        <v/>
      </c>
      <c r="S644" s="34" t="str">
        <f aca="false">IF(B644="","",IF(MONTH(B644)=10,"X",""))</f>
        <v/>
      </c>
      <c r="T644" s="34" t="str">
        <f aca="false">IF(B644="","",IF(MONTH(B644)=11,"X",""))</f>
        <v/>
      </c>
      <c r="U644" s="34" t="str">
        <f aca="false">IF(B644="","",IF(MONTH(B644)=12,"X",""))</f>
        <v/>
      </c>
      <c r="V644" s="24" t="str">
        <f aca="false">IF(E644="","",COUNTIF($E$5:$E$1000,E644))</f>
        <v/>
      </c>
      <c r="W644" s="35" t="str">
        <f aca="false">IF(E644="","",_xlfn.TEXTJOIN(" + ",TRUE(),IF(COUNTIFS($E$5:$E$1000,E644,$C$5:$C$1000,"Auditoría Interna")&gt;0,"Interna",""),IF(COUNTIFS($E$5:$E$1000,E644,$C$5:$C$1000,"Auditoría Externa")&gt;0,"Externa",""),IF(COUNTIFS($E$5:$E$1000,E644,$C$5:$C$1000,"SSF")&gt;0,"SSF",""),IF(COUNTIFS($E$5:$E$1000,E644,$C$5:$C$1000,"Comité de Supervisión")&gt;0,"Comité Sup.",""),IF(COUNTIFS($E$5:$E$1000,E644,$C$5:$C$1000,"Consejo de Administración")&gt;0,"Consejo",""),IF(COUNTIFS($E$5:$E$1000,E644,$C$5:$C$1000,"Otros")&gt;0,"Otros","")))</f>
        <v/>
      </c>
      <c r="X644" s="24" t="str">
        <f aca="false">IF(E644="","",COUNTIFS($E$5:$E$1000,E644,$AB$5:$AB$1000,AB644,$C$5:$C$1000,"&lt;&gt;"&amp;C644))</f>
        <v/>
      </c>
      <c r="Y644" s="33"/>
      <c r="Z644" s="31"/>
      <c r="AA644" s="33"/>
      <c r="AB644" s="37" t="str">
        <f aca="false">IF(B644="","",YEAR(B644)*100+MONTH(B644))</f>
        <v/>
      </c>
      <c r="AC644" s="37" t="str">
        <f aca="false">IF(AND(E644&lt;&gt;"",E644=Cruce!$C$5),COUNTIF($E$5:E644,E644),"")</f>
        <v/>
      </c>
      <c r="AD644" s="37" t="str">
        <f aca="false">IF(E644="","",C644&amp;"|"&amp;Y644&amp;"|"&amp;IF(B644="","s/f",TEXT(B644,"yyyymmdd")))</f>
        <v/>
      </c>
      <c r="AE644" s="37" t="n">
        <f aca="false">IF(E644="",0,IF(COUNTIFS($E$5:E644,E644,$AD$5:AD644,AD644)=1,1,0))</f>
        <v>0</v>
      </c>
    </row>
    <row r="645" customFormat="false" ht="15" hidden="false" customHeight="true" outlineLevel="0" collapsed="false">
      <c r="A645" s="31"/>
      <c r="B645" s="30"/>
      <c r="C645" s="31"/>
      <c r="D645" s="31"/>
      <c r="E645" s="32"/>
      <c r="F645" s="32"/>
      <c r="G645" s="33"/>
      <c r="H645" s="31"/>
      <c r="I645" s="24" t="str">
        <f aca="false">IF(B645="","",YEAR(B645))</f>
        <v/>
      </c>
      <c r="J645" s="34" t="str">
        <f aca="false">IF(B645="","",IF(MONTH(B645)=1,"X",""))</f>
        <v/>
      </c>
      <c r="K645" s="34" t="str">
        <f aca="false">IF(B645="","",IF(MONTH(B645)=2,"X",""))</f>
        <v/>
      </c>
      <c r="L645" s="34" t="str">
        <f aca="false">IF(B645="","",IF(MONTH(B645)=3,"X",""))</f>
        <v/>
      </c>
      <c r="M645" s="34" t="str">
        <f aca="false">IF(B645="","",IF(MONTH(B645)=4,"X",""))</f>
        <v/>
      </c>
      <c r="N645" s="34" t="str">
        <f aca="false">IF(B645="","",IF(MONTH(B645)=5,"X",""))</f>
        <v/>
      </c>
      <c r="O645" s="34" t="str">
        <f aca="false">IF(B645="","",IF(MONTH(B645)=6,"X",""))</f>
        <v/>
      </c>
      <c r="P645" s="34" t="str">
        <f aca="false">IF(B645="","",IF(MONTH(B645)=7,"X",""))</f>
        <v/>
      </c>
      <c r="Q645" s="34" t="str">
        <f aca="false">IF(B645="","",IF(MONTH(B645)=8,"X",""))</f>
        <v/>
      </c>
      <c r="R645" s="34" t="str">
        <f aca="false">IF(B645="","",IF(MONTH(B645)=9,"X",""))</f>
        <v/>
      </c>
      <c r="S645" s="34" t="str">
        <f aca="false">IF(B645="","",IF(MONTH(B645)=10,"X",""))</f>
        <v/>
      </c>
      <c r="T645" s="34" t="str">
        <f aca="false">IF(B645="","",IF(MONTH(B645)=11,"X",""))</f>
        <v/>
      </c>
      <c r="U645" s="34" t="str">
        <f aca="false">IF(B645="","",IF(MONTH(B645)=12,"X",""))</f>
        <v/>
      </c>
      <c r="V645" s="24" t="str">
        <f aca="false">IF(E645="","",COUNTIF($E$5:$E$1000,E645))</f>
        <v/>
      </c>
      <c r="W645" s="35" t="str">
        <f aca="false">IF(E645="","",_xlfn.TEXTJOIN(" + ",TRUE(),IF(COUNTIFS($E$5:$E$1000,E645,$C$5:$C$1000,"Auditoría Interna")&gt;0,"Interna",""),IF(COUNTIFS($E$5:$E$1000,E645,$C$5:$C$1000,"Auditoría Externa")&gt;0,"Externa",""),IF(COUNTIFS($E$5:$E$1000,E645,$C$5:$C$1000,"SSF")&gt;0,"SSF",""),IF(COUNTIFS($E$5:$E$1000,E645,$C$5:$C$1000,"Comité de Supervisión")&gt;0,"Comité Sup.",""),IF(COUNTIFS($E$5:$E$1000,E645,$C$5:$C$1000,"Consejo de Administración")&gt;0,"Consejo",""),IF(COUNTIFS($E$5:$E$1000,E645,$C$5:$C$1000,"Otros")&gt;0,"Otros","")))</f>
        <v/>
      </c>
      <c r="X645" s="24" t="str">
        <f aca="false">IF(E645="","",COUNTIFS($E$5:$E$1000,E645,$AB$5:$AB$1000,AB645,$C$5:$C$1000,"&lt;&gt;"&amp;C645))</f>
        <v/>
      </c>
      <c r="Y645" s="33"/>
      <c r="Z645" s="31"/>
      <c r="AA645" s="33"/>
      <c r="AB645" s="37" t="str">
        <f aca="false">IF(B645="","",YEAR(B645)*100+MONTH(B645))</f>
        <v/>
      </c>
      <c r="AC645" s="37" t="str">
        <f aca="false">IF(AND(E645&lt;&gt;"",E645=Cruce!$C$5),COUNTIF($E$5:E645,E645),"")</f>
        <v/>
      </c>
      <c r="AD645" s="37" t="str">
        <f aca="false">IF(E645="","",C645&amp;"|"&amp;Y645&amp;"|"&amp;IF(B645="","s/f",TEXT(B645,"yyyymmdd")))</f>
        <v/>
      </c>
      <c r="AE645" s="37" t="n">
        <f aca="false">IF(E645="",0,IF(COUNTIFS($E$5:E645,E645,$AD$5:AD645,AD645)=1,1,0))</f>
        <v>0</v>
      </c>
    </row>
    <row r="646" customFormat="false" ht="15" hidden="false" customHeight="true" outlineLevel="0" collapsed="false">
      <c r="A646" s="31"/>
      <c r="B646" s="30"/>
      <c r="C646" s="31"/>
      <c r="D646" s="31"/>
      <c r="E646" s="32"/>
      <c r="F646" s="32"/>
      <c r="G646" s="33"/>
      <c r="H646" s="31"/>
      <c r="I646" s="24" t="str">
        <f aca="false">IF(B646="","",YEAR(B646))</f>
        <v/>
      </c>
      <c r="J646" s="34" t="str">
        <f aca="false">IF(B646="","",IF(MONTH(B646)=1,"X",""))</f>
        <v/>
      </c>
      <c r="K646" s="34" t="str">
        <f aca="false">IF(B646="","",IF(MONTH(B646)=2,"X",""))</f>
        <v/>
      </c>
      <c r="L646" s="34" t="str">
        <f aca="false">IF(B646="","",IF(MONTH(B646)=3,"X",""))</f>
        <v/>
      </c>
      <c r="M646" s="34" t="str">
        <f aca="false">IF(B646="","",IF(MONTH(B646)=4,"X",""))</f>
        <v/>
      </c>
      <c r="N646" s="34" t="str">
        <f aca="false">IF(B646="","",IF(MONTH(B646)=5,"X",""))</f>
        <v/>
      </c>
      <c r="O646" s="34" t="str">
        <f aca="false">IF(B646="","",IF(MONTH(B646)=6,"X",""))</f>
        <v/>
      </c>
      <c r="P646" s="34" t="str">
        <f aca="false">IF(B646="","",IF(MONTH(B646)=7,"X",""))</f>
        <v/>
      </c>
      <c r="Q646" s="34" t="str">
        <f aca="false">IF(B646="","",IF(MONTH(B646)=8,"X",""))</f>
        <v/>
      </c>
      <c r="R646" s="34" t="str">
        <f aca="false">IF(B646="","",IF(MONTH(B646)=9,"X",""))</f>
        <v/>
      </c>
      <c r="S646" s="34" t="str">
        <f aca="false">IF(B646="","",IF(MONTH(B646)=10,"X",""))</f>
        <v/>
      </c>
      <c r="T646" s="34" t="str">
        <f aca="false">IF(B646="","",IF(MONTH(B646)=11,"X",""))</f>
        <v/>
      </c>
      <c r="U646" s="34" t="str">
        <f aca="false">IF(B646="","",IF(MONTH(B646)=12,"X",""))</f>
        <v/>
      </c>
      <c r="V646" s="24" t="str">
        <f aca="false">IF(E646="","",COUNTIF($E$5:$E$1000,E646))</f>
        <v/>
      </c>
      <c r="W646" s="35" t="str">
        <f aca="false">IF(E646="","",_xlfn.TEXTJOIN(" + ",TRUE(),IF(COUNTIFS($E$5:$E$1000,E646,$C$5:$C$1000,"Auditoría Interna")&gt;0,"Interna",""),IF(COUNTIFS($E$5:$E$1000,E646,$C$5:$C$1000,"Auditoría Externa")&gt;0,"Externa",""),IF(COUNTIFS($E$5:$E$1000,E646,$C$5:$C$1000,"SSF")&gt;0,"SSF",""),IF(COUNTIFS($E$5:$E$1000,E646,$C$5:$C$1000,"Comité de Supervisión")&gt;0,"Comité Sup.",""),IF(COUNTIFS($E$5:$E$1000,E646,$C$5:$C$1000,"Consejo de Administración")&gt;0,"Consejo",""),IF(COUNTIFS($E$5:$E$1000,E646,$C$5:$C$1000,"Otros")&gt;0,"Otros","")))</f>
        <v/>
      </c>
      <c r="X646" s="24" t="str">
        <f aca="false">IF(E646="","",COUNTIFS($E$5:$E$1000,E646,$AB$5:$AB$1000,AB646,$C$5:$C$1000,"&lt;&gt;"&amp;C646))</f>
        <v/>
      </c>
      <c r="Y646" s="33"/>
      <c r="Z646" s="31"/>
      <c r="AA646" s="33"/>
      <c r="AB646" s="37" t="str">
        <f aca="false">IF(B646="","",YEAR(B646)*100+MONTH(B646))</f>
        <v/>
      </c>
      <c r="AC646" s="37" t="str">
        <f aca="false">IF(AND(E646&lt;&gt;"",E646=Cruce!$C$5),COUNTIF($E$5:E646,E646),"")</f>
        <v/>
      </c>
      <c r="AD646" s="37" t="str">
        <f aca="false">IF(E646="","",C646&amp;"|"&amp;Y646&amp;"|"&amp;IF(B646="","s/f",TEXT(B646,"yyyymmdd")))</f>
        <v/>
      </c>
      <c r="AE646" s="37" t="n">
        <f aca="false">IF(E646="",0,IF(COUNTIFS($E$5:E646,E646,$AD$5:AD646,AD646)=1,1,0))</f>
        <v>0</v>
      </c>
    </row>
    <row r="647" customFormat="false" ht="15" hidden="false" customHeight="true" outlineLevel="0" collapsed="false">
      <c r="A647" s="31"/>
      <c r="B647" s="30"/>
      <c r="C647" s="31"/>
      <c r="D647" s="31"/>
      <c r="E647" s="32"/>
      <c r="F647" s="32"/>
      <c r="G647" s="33"/>
      <c r="H647" s="31"/>
      <c r="I647" s="24" t="str">
        <f aca="false">IF(B647="","",YEAR(B647))</f>
        <v/>
      </c>
      <c r="J647" s="34" t="str">
        <f aca="false">IF(B647="","",IF(MONTH(B647)=1,"X",""))</f>
        <v/>
      </c>
      <c r="K647" s="34" t="str">
        <f aca="false">IF(B647="","",IF(MONTH(B647)=2,"X",""))</f>
        <v/>
      </c>
      <c r="L647" s="34" t="str">
        <f aca="false">IF(B647="","",IF(MONTH(B647)=3,"X",""))</f>
        <v/>
      </c>
      <c r="M647" s="34" t="str">
        <f aca="false">IF(B647="","",IF(MONTH(B647)=4,"X",""))</f>
        <v/>
      </c>
      <c r="N647" s="34" t="str">
        <f aca="false">IF(B647="","",IF(MONTH(B647)=5,"X",""))</f>
        <v/>
      </c>
      <c r="O647" s="34" t="str">
        <f aca="false">IF(B647="","",IF(MONTH(B647)=6,"X",""))</f>
        <v/>
      </c>
      <c r="P647" s="34" t="str">
        <f aca="false">IF(B647="","",IF(MONTH(B647)=7,"X",""))</f>
        <v/>
      </c>
      <c r="Q647" s="34" t="str">
        <f aca="false">IF(B647="","",IF(MONTH(B647)=8,"X",""))</f>
        <v/>
      </c>
      <c r="R647" s="34" t="str">
        <f aca="false">IF(B647="","",IF(MONTH(B647)=9,"X",""))</f>
        <v/>
      </c>
      <c r="S647" s="34" t="str">
        <f aca="false">IF(B647="","",IF(MONTH(B647)=10,"X",""))</f>
        <v/>
      </c>
      <c r="T647" s="34" t="str">
        <f aca="false">IF(B647="","",IF(MONTH(B647)=11,"X",""))</f>
        <v/>
      </c>
      <c r="U647" s="34" t="str">
        <f aca="false">IF(B647="","",IF(MONTH(B647)=12,"X",""))</f>
        <v/>
      </c>
      <c r="V647" s="24" t="str">
        <f aca="false">IF(E647="","",COUNTIF($E$5:$E$1000,E647))</f>
        <v/>
      </c>
      <c r="W647" s="35" t="str">
        <f aca="false">IF(E647="","",_xlfn.TEXTJOIN(" + ",TRUE(),IF(COUNTIFS($E$5:$E$1000,E647,$C$5:$C$1000,"Auditoría Interna")&gt;0,"Interna",""),IF(COUNTIFS($E$5:$E$1000,E647,$C$5:$C$1000,"Auditoría Externa")&gt;0,"Externa",""),IF(COUNTIFS($E$5:$E$1000,E647,$C$5:$C$1000,"SSF")&gt;0,"SSF",""),IF(COUNTIFS($E$5:$E$1000,E647,$C$5:$C$1000,"Comité de Supervisión")&gt;0,"Comité Sup.",""),IF(COUNTIFS($E$5:$E$1000,E647,$C$5:$C$1000,"Consejo de Administración")&gt;0,"Consejo",""),IF(COUNTIFS($E$5:$E$1000,E647,$C$5:$C$1000,"Otros")&gt;0,"Otros","")))</f>
        <v/>
      </c>
      <c r="X647" s="24" t="str">
        <f aca="false">IF(E647="","",COUNTIFS($E$5:$E$1000,E647,$AB$5:$AB$1000,AB647,$C$5:$C$1000,"&lt;&gt;"&amp;C647))</f>
        <v/>
      </c>
      <c r="Y647" s="33"/>
      <c r="Z647" s="31"/>
      <c r="AA647" s="33"/>
      <c r="AB647" s="37" t="str">
        <f aca="false">IF(B647="","",YEAR(B647)*100+MONTH(B647))</f>
        <v/>
      </c>
      <c r="AC647" s="37" t="str">
        <f aca="false">IF(AND(E647&lt;&gt;"",E647=Cruce!$C$5),COUNTIF($E$5:E647,E647),"")</f>
        <v/>
      </c>
      <c r="AD647" s="37" t="str">
        <f aca="false">IF(E647="","",C647&amp;"|"&amp;Y647&amp;"|"&amp;IF(B647="","s/f",TEXT(B647,"yyyymmdd")))</f>
        <v/>
      </c>
      <c r="AE647" s="37" t="n">
        <f aca="false">IF(E647="",0,IF(COUNTIFS($E$5:E647,E647,$AD$5:AD647,AD647)=1,1,0))</f>
        <v>0</v>
      </c>
    </row>
    <row r="648" customFormat="false" ht="15" hidden="false" customHeight="true" outlineLevel="0" collapsed="false">
      <c r="A648" s="31"/>
      <c r="B648" s="30"/>
      <c r="C648" s="31"/>
      <c r="D648" s="31"/>
      <c r="E648" s="32"/>
      <c r="F648" s="32"/>
      <c r="G648" s="33"/>
      <c r="H648" s="31"/>
      <c r="I648" s="24" t="str">
        <f aca="false">IF(B648="","",YEAR(B648))</f>
        <v/>
      </c>
      <c r="J648" s="34" t="str">
        <f aca="false">IF(B648="","",IF(MONTH(B648)=1,"X",""))</f>
        <v/>
      </c>
      <c r="K648" s="34" t="str">
        <f aca="false">IF(B648="","",IF(MONTH(B648)=2,"X",""))</f>
        <v/>
      </c>
      <c r="L648" s="34" t="str">
        <f aca="false">IF(B648="","",IF(MONTH(B648)=3,"X",""))</f>
        <v/>
      </c>
      <c r="M648" s="34" t="str">
        <f aca="false">IF(B648="","",IF(MONTH(B648)=4,"X",""))</f>
        <v/>
      </c>
      <c r="N648" s="34" t="str">
        <f aca="false">IF(B648="","",IF(MONTH(B648)=5,"X",""))</f>
        <v/>
      </c>
      <c r="O648" s="34" t="str">
        <f aca="false">IF(B648="","",IF(MONTH(B648)=6,"X",""))</f>
        <v/>
      </c>
      <c r="P648" s="34" t="str">
        <f aca="false">IF(B648="","",IF(MONTH(B648)=7,"X",""))</f>
        <v/>
      </c>
      <c r="Q648" s="34" t="str">
        <f aca="false">IF(B648="","",IF(MONTH(B648)=8,"X",""))</f>
        <v/>
      </c>
      <c r="R648" s="34" t="str">
        <f aca="false">IF(B648="","",IF(MONTH(B648)=9,"X",""))</f>
        <v/>
      </c>
      <c r="S648" s="34" t="str">
        <f aca="false">IF(B648="","",IF(MONTH(B648)=10,"X",""))</f>
        <v/>
      </c>
      <c r="T648" s="34" t="str">
        <f aca="false">IF(B648="","",IF(MONTH(B648)=11,"X",""))</f>
        <v/>
      </c>
      <c r="U648" s="34" t="str">
        <f aca="false">IF(B648="","",IF(MONTH(B648)=12,"X",""))</f>
        <v/>
      </c>
      <c r="V648" s="24" t="str">
        <f aca="false">IF(E648="","",COUNTIF($E$5:$E$1000,E648))</f>
        <v/>
      </c>
      <c r="W648" s="35" t="str">
        <f aca="false">IF(E648="","",_xlfn.TEXTJOIN(" + ",TRUE(),IF(COUNTIFS($E$5:$E$1000,E648,$C$5:$C$1000,"Auditoría Interna")&gt;0,"Interna",""),IF(COUNTIFS($E$5:$E$1000,E648,$C$5:$C$1000,"Auditoría Externa")&gt;0,"Externa",""),IF(COUNTIFS($E$5:$E$1000,E648,$C$5:$C$1000,"SSF")&gt;0,"SSF",""),IF(COUNTIFS($E$5:$E$1000,E648,$C$5:$C$1000,"Comité de Supervisión")&gt;0,"Comité Sup.",""),IF(COUNTIFS($E$5:$E$1000,E648,$C$5:$C$1000,"Consejo de Administración")&gt;0,"Consejo",""),IF(COUNTIFS($E$5:$E$1000,E648,$C$5:$C$1000,"Otros")&gt;0,"Otros","")))</f>
        <v/>
      </c>
      <c r="X648" s="24" t="str">
        <f aca="false">IF(E648="","",COUNTIFS($E$5:$E$1000,E648,$AB$5:$AB$1000,AB648,$C$5:$C$1000,"&lt;&gt;"&amp;C648))</f>
        <v/>
      </c>
      <c r="Y648" s="33"/>
      <c r="Z648" s="31"/>
      <c r="AA648" s="33"/>
      <c r="AB648" s="37" t="str">
        <f aca="false">IF(B648="","",YEAR(B648)*100+MONTH(B648))</f>
        <v/>
      </c>
      <c r="AC648" s="37" t="str">
        <f aca="false">IF(AND(E648&lt;&gt;"",E648=Cruce!$C$5),COUNTIF($E$5:E648,E648),"")</f>
        <v/>
      </c>
      <c r="AD648" s="37" t="str">
        <f aca="false">IF(E648="","",C648&amp;"|"&amp;Y648&amp;"|"&amp;IF(B648="","s/f",TEXT(B648,"yyyymmdd")))</f>
        <v/>
      </c>
      <c r="AE648" s="37" t="n">
        <f aca="false">IF(E648="",0,IF(COUNTIFS($E$5:E648,E648,$AD$5:AD648,AD648)=1,1,0))</f>
        <v>0</v>
      </c>
    </row>
    <row r="649" customFormat="false" ht="15" hidden="false" customHeight="true" outlineLevel="0" collapsed="false">
      <c r="A649" s="31"/>
      <c r="B649" s="30"/>
      <c r="C649" s="31"/>
      <c r="D649" s="31"/>
      <c r="E649" s="32"/>
      <c r="F649" s="32"/>
      <c r="G649" s="33"/>
      <c r="H649" s="31"/>
      <c r="I649" s="24" t="str">
        <f aca="false">IF(B649="","",YEAR(B649))</f>
        <v/>
      </c>
      <c r="J649" s="34" t="str">
        <f aca="false">IF(B649="","",IF(MONTH(B649)=1,"X",""))</f>
        <v/>
      </c>
      <c r="K649" s="34" t="str">
        <f aca="false">IF(B649="","",IF(MONTH(B649)=2,"X",""))</f>
        <v/>
      </c>
      <c r="L649" s="34" t="str">
        <f aca="false">IF(B649="","",IF(MONTH(B649)=3,"X",""))</f>
        <v/>
      </c>
      <c r="M649" s="34" t="str">
        <f aca="false">IF(B649="","",IF(MONTH(B649)=4,"X",""))</f>
        <v/>
      </c>
      <c r="N649" s="34" t="str">
        <f aca="false">IF(B649="","",IF(MONTH(B649)=5,"X",""))</f>
        <v/>
      </c>
      <c r="O649" s="34" t="str">
        <f aca="false">IF(B649="","",IF(MONTH(B649)=6,"X",""))</f>
        <v/>
      </c>
      <c r="P649" s="34" t="str">
        <f aca="false">IF(B649="","",IF(MONTH(B649)=7,"X",""))</f>
        <v/>
      </c>
      <c r="Q649" s="34" t="str">
        <f aca="false">IF(B649="","",IF(MONTH(B649)=8,"X",""))</f>
        <v/>
      </c>
      <c r="R649" s="34" t="str">
        <f aca="false">IF(B649="","",IF(MONTH(B649)=9,"X",""))</f>
        <v/>
      </c>
      <c r="S649" s="34" t="str">
        <f aca="false">IF(B649="","",IF(MONTH(B649)=10,"X",""))</f>
        <v/>
      </c>
      <c r="T649" s="34" t="str">
        <f aca="false">IF(B649="","",IF(MONTH(B649)=11,"X",""))</f>
        <v/>
      </c>
      <c r="U649" s="34" t="str">
        <f aca="false">IF(B649="","",IF(MONTH(B649)=12,"X",""))</f>
        <v/>
      </c>
      <c r="V649" s="24" t="str">
        <f aca="false">IF(E649="","",COUNTIF($E$5:$E$1000,E649))</f>
        <v/>
      </c>
      <c r="W649" s="35" t="str">
        <f aca="false">IF(E649="","",_xlfn.TEXTJOIN(" + ",TRUE(),IF(COUNTIFS($E$5:$E$1000,E649,$C$5:$C$1000,"Auditoría Interna")&gt;0,"Interna",""),IF(COUNTIFS($E$5:$E$1000,E649,$C$5:$C$1000,"Auditoría Externa")&gt;0,"Externa",""),IF(COUNTIFS($E$5:$E$1000,E649,$C$5:$C$1000,"SSF")&gt;0,"SSF",""),IF(COUNTIFS($E$5:$E$1000,E649,$C$5:$C$1000,"Comité de Supervisión")&gt;0,"Comité Sup.",""),IF(COUNTIFS($E$5:$E$1000,E649,$C$5:$C$1000,"Consejo de Administración")&gt;0,"Consejo",""),IF(COUNTIFS($E$5:$E$1000,E649,$C$5:$C$1000,"Otros")&gt;0,"Otros","")))</f>
        <v/>
      </c>
      <c r="X649" s="24" t="str">
        <f aca="false">IF(E649="","",COUNTIFS($E$5:$E$1000,E649,$AB$5:$AB$1000,AB649,$C$5:$C$1000,"&lt;&gt;"&amp;C649))</f>
        <v/>
      </c>
      <c r="Y649" s="33"/>
      <c r="Z649" s="31"/>
      <c r="AA649" s="33"/>
      <c r="AB649" s="37" t="str">
        <f aca="false">IF(B649="","",YEAR(B649)*100+MONTH(B649))</f>
        <v/>
      </c>
      <c r="AC649" s="37" t="str">
        <f aca="false">IF(AND(E649&lt;&gt;"",E649=Cruce!$C$5),COUNTIF($E$5:E649,E649),"")</f>
        <v/>
      </c>
      <c r="AD649" s="37" t="str">
        <f aca="false">IF(E649="","",C649&amp;"|"&amp;Y649&amp;"|"&amp;IF(B649="","s/f",TEXT(B649,"yyyymmdd")))</f>
        <v/>
      </c>
      <c r="AE649" s="37" t="n">
        <f aca="false">IF(E649="",0,IF(COUNTIFS($E$5:E649,E649,$AD$5:AD649,AD649)=1,1,0))</f>
        <v>0</v>
      </c>
    </row>
    <row r="650" customFormat="false" ht="15" hidden="false" customHeight="true" outlineLevel="0" collapsed="false">
      <c r="A650" s="31"/>
      <c r="B650" s="30"/>
      <c r="C650" s="31"/>
      <c r="D650" s="31"/>
      <c r="E650" s="32"/>
      <c r="F650" s="32"/>
      <c r="G650" s="33"/>
      <c r="H650" s="31"/>
      <c r="I650" s="24" t="str">
        <f aca="false">IF(B650="","",YEAR(B650))</f>
        <v/>
      </c>
      <c r="J650" s="34" t="str">
        <f aca="false">IF(B650="","",IF(MONTH(B650)=1,"X",""))</f>
        <v/>
      </c>
      <c r="K650" s="34" t="str">
        <f aca="false">IF(B650="","",IF(MONTH(B650)=2,"X",""))</f>
        <v/>
      </c>
      <c r="L650" s="34" t="str">
        <f aca="false">IF(B650="","",IF(MONTH(B650)=3,"X",""))</f>
        <v/>
      </c>
      <c r="M650" s="34" t="str">
        <f aca="false">IF(B650="","",IF(MONTH(B650)=4,"X",""))</f>
        <v/>
      </c>
      <c r="N650" s="34" t="str">
        <f aca="false">IF(B650="","",IF(MONTH(B650)=5,"X",""))</f>
        <v/>
      </c>
      <c r="O650" s="34" t="str">
        <f aca="false">IF(B650="","",IF(MONTH(B650)=6,"X",""))</f>
        <v/>
      </c>
      <c r="P650" s="34" t="str">
        <f aca="false">IF(B650="","",IF(MONTH(B650)=7,"X",""))</f>
        <v/>
      </c>
      <c r="Q650" s="34" t="str">
        <f aca="false">IF(B650="","",IF(MONTH(B650)=8,"X",""))</f>
        <v/>
      </c>
      <c r="R650" s="34" t="str">
        <f aca="false">IF(B650="","",IF(MONTH(B650)=9,"X",""))</f>
        <v/>
      </c>
      <c r="S650" s="34" t="str">
        <f aca="false">IF(B650="","",IF(MONTH(B650)=10,"X",""))</f>
        <v/>
      </c>
      <c r="T650" s="34" t="str">
        <f aca="false">IF(B650="","",IF(MONTH(B650)=11,"X",""))</f>
        <v/>
      </c>
      <c r="U650" s="34" t="str">
        <f aca="false">IF(B650="","",IF(MONTH(B650)=12,"X",""))</f>
        <v/>
      </c>
      <c r="V650" s="24" t="str">
        <f aca="false">IF(E650="","",COUNTIF($E$5:$E$1000,E650))</f>
        <v/>
      </c>
      <c r="W650" s="35" t="str">
        <f aca="false">IF(E650="","",_xlfn.TEXTJOIN(" + ",TRUE(),IF(COUNTIFS($E$5:$E$1000,E650,$C$5:$C$1000,"Auditoría Interna")&gt;0,"Interna",""),IF(COUNTIFS($E$5:$E$1000,E650,$C$5:$C$1000,"Auditoría Externa")&gt;0,"Externa",""),IF(COUNTIFS($E$5:$E$1000,E650,$C$5:$C$1000,"SSF")&gt;0,"SSF",""),IF(COUNTIFS($E$5:$E$1000,E650,$C$5:$C$1000,"Comité de Supervisión")&gt;0,"Comité Sup.",""),IF(COUNTIFS($E$5:$E$1000,E650,$C$5:$C$1000,"Consejo de Administración")&gt;0,"Consejo",""),IF(COUNTIFS($E$5:$E$1000,E650,$C$5:$C$1000,"Otros")&gt;0,"Otros","")))</f>
        <v/>
      </c>
      <c r="X650" s="24" t="str">
        <f aca="false">IF(E650="","",COUNTIFS($E$5:$E$1000,E650,$AB$5:$AB$1000,AB650,$C$5:$C$1000,"&lt;&gt;"&amp;C650))</f>
        <v/>
      </c>
      <c r="Y650" s="33"/>
      <c r="Z650" s="31"/>
      <c r="AA650" s="33"/>
      <c r="AB650" s="37" t="str">
        <f aca="false">IF(B650="","",YEAR(B650)*100+MONTH(B650))</f>
        <v/>
      </c>
      <c r="AC650" s="37" t="str">
        <f aca="false">IF(AND(E650&lt;&gt;"",E650=Cruce!$C$5),COUNTIF($E$5:E650,E650),"")</f>
        <v/>
      </c>
      <c r="AD650" s="37" t="str">
        <f aca="false">IF(E650="","",C650&amp;"|"&amp;Y650&amp;"|"&amp;IF(B650="","s/f",TEXT(B650,"yyyymmdd")))</f>
        <v/>
      </c>
      <c r="AE650" s="37" t="n">
        <f aca="false">IF(E650="",0,IF(COUNTIFS($E$5:E650,E650,$AD$5:AD650,AD650)=1,1,0))</f>
        <v>0</v>
      </c>
    </row>
    <row r="651" customFormat="false" ht="15" hidden="false" customHeight="true" outlineLevel="0" collapsed="false">
      <c r="A651" s="31"/>
      <c r="B651" s="30"/>
      <c r="C651" s="31"/>
      <c r="D651" s="31"/>
      <c r="E651" s="32"/>
      <c r="F651" s="32"/>
      <c r="G651" s="33"/>
      <c r="H651" s="31"/>
      <c r="I651" s="24" t="str">
        <f aca="false">IF(B651="","",YEAR(B651))</f>
        <v/>
      </c>
      <c r="J651" s="34" t="str">
        <f aca="false">IF(B651="","",IF(MONTH(B651)=1,"X",""))</f>
        <v/>
      </c>
      <c r="K651" s="34" t="str">
        <f aca="false">IF(B651="","",IF(MONTH(B651)=2,"X",""))</f>
        <v/>
      </c>
      <c r="L651" s="34" t="str">
        <f aca="false">IF(B651="","",IF(MONTH(B651)=3,"X",""))</f>
        <v/>
      </c>
      <c r="M651" s="34" t="str">
        <f aca="false">IF(B651="","",IF(MONTH(B651)=4,"X",""))</f>
        <v/>
      </c>
      <c r="N651" s="34" t="str">
        <f aca="false">IF(B651="","",IF(MONTH(B651)=5,"X",""))</f>
        <v/>
      </c>
      <c r="O651" s="34" t="str">
        <f aca="false">IF(B651="","",IF(MONTH(B651)=6,"X",""))</f>
        <v/>
      </c>
      <c r="P651" s="34" t="str">
        <f aca="false">IF(B651="","",IF(MONTH(B651)=7,"X",""))</f>
        <v/>
      </c>
      <c r="Q651" s="34" t="str">
        <f aca="false">IF(B651="","",IF(MONTH(B651)=8,"X",""))</f>
        <v/>
      </c>
      <c r="R651" s="34" t="str">
        <f aca="false">IF(B651="","",IF(MONTH(B651)=9,"X",""))</f>
        <v/>
      </c>
      <c r="S651" s="34" t="str">
        <f aca="false">IF(B651="","",IF(MONTH(B651)=10,"X",""))</f>
        <v/>
      </c>
      <c r="T651" s="34" t="str">
        <f aca="false">IF(B651="","",IF(MONTH(B651)=11,"X",""))</f>
        <v/>
      </c>
      <c r="U651" s="34" t="str">
        <f aca="false">IF(B651="","",IF(MONTH(B651)=12,"X",""))</f>
        <v/>
      </c>
      <c r="V651" s="24" t="str">
        <f aca="false">IF(E651="","",COUNTIF($E$5:$E$1000,E651))</f>
        <v/>
      </c>
      <c r="W651" s="35" t="str">
        <f aca="false">IF(E651="","",_xlfn.TEXTJOIN(" + ",TRUE(),IF(COUNTIFS($E$5:$E$1000,E651,$C$5:$C$1000,"Auditoría Interna")&gt;0,"Interna",""),IF(COUNTIFS($E$5:$E$1000,E651,$C$5:$C$1000,"Auditoría Externa")&gt;0,"Externa",""),IF(COUNTIFS($E$5:$E$1000,E651,$C$5:$C$1000,"SSF")&gt;0,"SSF",""),IF(COUNTIFS($E$5:$E$1000,E651,$C$5:$C$1000,"Comité de Supervisión")&gt;0,"Comité Sup.",""),IF(COUNTIFS($E$5:$E$1000,E651,$C$5:$C$1000,"Consejo de Administración")&gt;0,"Consejo",""),IF(COUNTIFS($E$5:$E$1000,E651,$C$5:$C$1000,"Otros")&gt;0,"Otros","")))</f>
        <v/>
      </c>
      <c r="X651" s="24" t="str">
        <f aca="false">IF(E651="","",COUNTIFS($E$5:$E$1000,E651,$AB$5:$AB$1000,AB651,$C$5:$C$1000,"&lt;&gt;"&amp;C651))</f>
        <v/>
      </c>
      <c r="Y651" s="33"/>
      <c r="Z651" s="31"/>
      <c r="AA651" s="33"/>
      <c r="AB651" s="37" t="str">
        <f aca="false">IF(B651="","",YEAR(B651)*100+MONTH(B651))</f>
        <v/>
      </c>
      <c r="AC651" s="37" t="str">
        <f aca="false">IF(AND(E651&lt;&gt;"",E651=Cruce!$C$5),COUNTIF($E$5:E651,E651),"")</f>
        <v/>
      </c>
      <c r="AD651" s="37" t="str">
        <f aca="false">IF(E651="","",C651&amp;"|"&amp;Y651&amp;"|"&amp;IF(B651="","s/f",TEXT(B651,"yyyymmdd")))</f>
        <v/>
      </c>
      <c r="AE651" s="37" t="n">
        <f aca="false">IF(E651="",0,IF(COUNTIFS($E$5:E651,E651,$AD$5:AD651,AD651)=1,1,0))</f>
        <v>0</v>
      </c>
    </row>
    <row r="652" customFormat="false" ht="15" hidden="false" customHeight="true" outlineLevel="0" collapsed="false">
      <c r="A652" s="31"/>
      <c r="B652" s="30"/>
      <c r="C652" s="31"/>
      <c r="D652" s="31"/>
      <c r="E652" s="32"/>
      <c r="F652" s="32"/>
      <c r="G652" s="33"/>
      <c r="H652" s="31"/>
      <c r="I652" s="24" t="str">
        <f aca="false">IF(B652="","",YEAR(B652))</f>
        <v/>
      </c>
      <c r="J652" s="34" t="str">
        <f aca="false">IF(B652="","",IF(MONTH(B652)=1,"X",""))</f>
        <v/>
      </c>
      <c r="K652" s="34" t="str">
        <f aca="false">IF(B652="","",IF(MONTH(B652)=2,"X",""))</f>
        <v/>
      </c>
      <c r="L652" s="34" t="str">
        <f aca="false">IF(B652="","",IF(MONTH(B652)=3,"X",""))</f>
        <v/>
      </c>
      <c r="M652" s="34" t="str">
        <f aca="false">IF(B652="","",IF(MONTH(B652)=4,"X",""))</f>
        <v/>
      </c>
      <c r="N652" s="34" t="str">
        <f aca="false">IF(B652="","",IF(MONTH(B652)=5,"X",""))</f>
        <v/>
      </c>
      <c r="O652" s="34" t="str">
        <f aca="false">IF(B652="","",IF(MONTH(B652)=6,"X",""))</f>
        <v/>
      </c>
      <c r="P652" s="34" t="str">
        <f aca="false">IF(B652="","",IF(MONTH(B652)=7,"X",""))</f>
        <v/>
      </c>
      <c r="Q652" s="34" t="str">
        <f aca="false">IF(B652="","",IF(MONTH(B652)=8,"X",""))</f>
        <v/>
      </c>
      <c r="R652" s="34" t="str">
        <f aca="false">IF(B652="","",IF(MONTH(B652)=9,"X",""))</f>
        <v/>
      </c>
      <c r="S652" s="34" t="str">
        <f aca="false">IF(B652="","",IF(MONTH(B652)=10,"X",""))</f>
        <v/>
      </c>
      <c r="T652" s="34" t="str">
        <f aca="false">IF(B652="","",IF(MONTH(B652)=11,"X",""))</f>
        <v/>
      </c>
      <c r="U652" s="34" t="str">
        <f aca="false">IF(B652="","",IF(MONTH(B652)=12,"X",""))</f>
        <v/>
      </c>
      <c r="V652" s="24" t="str">
        <f aca="false">IF(E652="","",COUNTIF($E$5:$E$1000,E652))</f>
        <v/>
      </c>
      <c r="W652" s="35" t="str">
        <f aca="false">IF(E652="","",_xlfn.TEXTJOIN(" + ",TRUE(),IF(COUNTIFS($E$5:$E$1000,E652,$C$5:$C$1000,"Auditoría Interna")&gt;0,"Interna",""),IF(COUNTIFS($E$5:$E$1000,E652,$C$5:$C$1000,"Auditoría Externa")&gt;0,"Externa",""),IF(COUNTIFS($E$5:$E$1000,E652,$C$5:$C$1000,"SSF")&gt;0,"SSF",""),IF(COUNTIFS($E$5:$E$1000,E652,$C$5:$C$1000,"Comité de Supervisión")&gt;0,"Comité Sup.",""),IF(COUNTIFS($E$5:$E$1000,E652,$C$5:$C$1000,"Consejo de Administración")&gt;0,"Consejo",""),IF(COUNTIFS($E$5:$E$1000,E652,$C$5:$C$1000,"Otros")&gt;0,"Otros","")))</f>
        <v/>
      </c>
      <c r="X652" s="24" t="str">
        <f aca="false">IF(E652="","",COUNTIFS($E$5:$E$1000,E652,$AB$5:$AB$1000,AB652,$C$5:$C$1000,"&lt;&gt;"&amp;C652))</f>
        <v/>
      </c>
      <c r="Y652" s="33"/>
      <c r="Z652" s="31"/>
      <c r="AA652" s="33"/>
      <c r="AB652" s="37" t="str">
        <f aca="false">IF(B652="","",YEAR(B652)*100+MONTH(B652))</f>
        <v/>
      </c>
      <c r="AC652" s="37" t="str">
        <f aca="false">IF(AND(E652&lt;&gt;"",E652=Cruce!$C$5),COUNTIF($E$5:E652,E652),"")</f>
        <v/>
      </c>
      <c r="AD652" s="37" t="str">
        <f aca="false">IF(E652="","",C652&amp;"|"&amp;Y652&amp;"|"&amp;IF(B652="","s/f",TEXT(B652,"yyyymmdd")))</f>
        <v/>
      </c>
      <c r="AE652" s="37" t="n">
        <f aca="false">IF(E652="",0,IF(COUNTIFS($E$5:E652,E652,$AD$5:AD652,AD652)=1,1,0))</f>
        <v>0</v>
      </c>
    </row>
    <row r="653" customFormat="false" ht="15" hidden="false" customHeight="true" outlineLevel="0" collapsed="false">
      <c r="A653" s="31"/>
      <c r="B653" s="30"/>
      <c r="C653" s="31"/>
      <c r="D653" s="31"/>
      <c r="E653" s="32"/>
      <c r="F653" s="32"/>
      <c r="G653" s="33"/>
      <c r="H653" s="31"/>
      <c r="I653" s="24" t="str">
        <f aca="false">IF(B653="","",YEAR(B653))</f>
        <v/>
      </c>
      <c r="J653" s="34" t="str">
        <f aca="false">IF(B653="","",IF(MONTH(B653)=1,"X",""))</f>
        <v/>
      </c>
      <c r="K653" s="34" t="str">
        <f aca="false">IF(B653="","",IF(MONTH(B653)=2,"X",""))</f>
        <v/>
      </c>
      <c r="L653" s="34" t="str">
        <f aca="false">IF(B653="","",IF(MONTH(B653)=3,"X",""))</f>
        <v/>
      </c>
      <c r="M653" s="34" t="str">
        <f aca="false">IF(B653="","",IF(MONTH(B653)=4,"X",""))</f>
        <v/>
      </c>
      <c r="N653" s="34" t="str">
        <f aca="false">IF(B653="","",IF(MONTH(B653)=5,"X",""))</f>
        <v/>
      </c>
      <c r="O653" s="34" t="str">
        <f aca="false">IF(B653="","",IF(MONTH(B653)=6,"X",""))</f>
        <v/>
      </c>
      <c r="P653" s="34" t="str">
        <f aca="false">IF(B653="","",IF(MONTH(B653)=7,"X",""))</f>
        <v/>
      </c>
      <c r="Q653" s="34" t="str">
        <f aca="false">IF(B653="","",IF(MONTH(B653)=8,"X",""))</f>
        <v/>
      </c>
      <c r="R653" s="34" t="str">
        <f aca="false">IF(B653="","",IF(MONTH(B653)=9,"X",""))</f>
        <v/>
      </c>
      <c r="S653" s="34" t="str">
        <f aca="false">IF(B653="","",IF(MONTH(B653)=10,"X",""))</f>
        <v/>
      </c>
      <c r="T653" s="34" t="str">
        <f aca="false">IF(B653="","",IF(MONTH(B653)=11,"X",""))</f>
        <v/>
      </c>
      <c r="U653" s="34" t="str">
        <f aca="false">IF(B653="","",IF(MONTH(B653)=12,"X",""))</f>
        <v/>
      </c>
      <c r="V653" s="24" t="str">
        <f aca="false">IF(E653="","",COUNTIF($E$5:$E$1000,E653))</f>
        <v/>
      </c>
      <c r="W653" s="35" t="str">
        <f aca="false">IF(E653="","",_xlfn.TEXTJOIN(" + ",TRUE(),IF(COUNTIFS($E$5:$E$1000,E653,$C$5:$C$1000,"Auditoría Interna")&gt;0,"Interna",""),IF(COUNTIFS($E$5:$E$1000,E653,$C$5:$C$1000,"Auditoría Externa")&gt;0,"Externa",""),IF(COUNTIFS($E$5:$E$1000,E653,$C$5:$C$1000,"SSF")&gt;0,"SSF",""),IF(COUNTIFS($E$5:$E$1000,E653,$C$5:$C$1000,"Comité de Supervisión")&gt;0,"Comité Sup.",""),IF(COUNTIFS($E$5:$E$1000,E653,$C$5:$C$1000,"Consejo de Administración")&gt;0,"Consejo",""),IF(COUNTIFS($E$5:$E$1000,E653,$C$5:$C$1000,"Otros")&gt;0,"Otros","")))</f>
        <v/>
      </c>
      <c r="X653" s="24" t="str">
        <f aca="false">IF(E653="","",COUNTIFS($E$5:$E$1000,E653,$AB$5:$AB$1000,AB653,$C$5:$C$1000,"&lt;&gt;"&amp;C653))</f>
        <v/>
      </c>
      <c r="Y653" s="33"/>
      <c r="Z653" s="31"/>
      <c r="AA653" s="33"/>
      <c r="AB653" s="37" t="str">
        <f aca="false">IF(B653="","",YEAR(B653)*100+MONTH(B653))</f>
        <v/>
      </c>
      <c r="AC653" s="37" t="str">
        <f aca="false">IF(AND(E653&lt;&gt;"",E653=Cruce!$C$5),COUNTIF($E$5:E653,E653),"")</f>
        <v/>
      </c>
      <c r="AD653" s="37" t="str">
        <f aca="false">IF(E653="","",C653&amp;"|"&amp;Y653&amp;"|"&amp;IF(B653="","s/f",TEXT(B653,"yyyymmdd")))</f>
        <v/>
      </c>
      <c r="AE653" s="37" t="n">
        <f aca="false">IF(E653="",0,IF(COUNTIFS($E$5:E653,E653,$AD$5:AD653,AD653)=1,1,0))</f>
        <v>0</v>
      </c>
    </row>
    <row r="654" customFormat="false" ht="15" hidden="false" customHeight="true" outlineLevel="0" collapsed="false">
      <c r="A654" s="31"/>
      <c r="B654" s="30"/>
      <c r="C654" s="31"/>
      <c r="D654" s="31"/>
      <c r="E654" s="32"/>
      <c r="F654" s="32"/>
      <c r="G654" s="33"/>
      <c r="H654" s="31"/>
      <c r="I654" s="24" t="str">
        <f aca="false">IF(B654="","",YEAR(B654))</f>
        <v/>
      </c>
      <c r="J654" s="34" t="str">
        <f aca="false">IF(B654="","",IF(MONTH(B654)=1,"X",""))</f>
        <v/>
      </c>
      <c r="K654" s="34" t="str">
        <f aca="false">IF(B654="","",IF(MONTH(B654)=2,"X",""))</f>
        <v/>
      </c>
      <c r="L654" s="34" t="str">
        <f aca="false">IF(B654="","",IF(MONTH(B654)=3,"X",""))</f>
        <v/>
      </c>
      <c r="M654" s="34" t="str">
        <f aca="false">IF(B654="","",IF(MONTH(B654)=4,"X",""))</f>
        <v/>
      </c>
      <c r="N654" s="34" t="str">
        <f aca="false">IF(B654="","",IF(MONTH(B654)=5,"X",""))</f>
        <v/>
      </c>
      <c r="O654" s="34" t="str">
        <f aca="false">IF(B654="","",IF(MONTH(B654)=6,"X",""))</f>
        <v/>
      </c>
      <c r="P654" s="34" t="str">
        <f aca="false">IF(B654="","",IF(MONTH(B654)=7,"X",""))</f>
        <v/>
      </c>
      <c r="Q654" s="34" t="str">
        <f aca="false">IF(B654="","",IF(MONTH(B654)=8,"X",""))</f>
        <v/>
      </c>
      <c r="R654" s="34" t="str">
        <f aca="false">IF(B654="","",IF(MONTH(B654)=9,"X",""))</f>
        <v/>
      </c>
      <c r="S654" s="34" t="str">
        <f aca="false">IF(B654="","",IF(MONTH(B654)=10,"X",""))</f>
        <v/>
      </c>
      <c r="T654" s="34" t="str">
        <f aca="false">IF(B654="","",IF(MONTH(B654)=11,"X",""))</f>
        <v/>
      </c>
      <c r="U654" s="34" t="str">
        <f aca="false">IF(B654="","",IF(MONTH(B654)=12,"X",""))</f>
        <v/>
      </c>
      <c r="V654" s="24" t="str">
        <f aca="false">IF(E654="","",COUNTIF($E$5:$E$1000,E654))</f>
        <v/>
      </c>
      <c r="W654" s="35" t="str">
        <f aca="false">IF(E654="","",_xlfn.TEXTJOIN(" + ",TRUE(),IF(COUNTIFS($E$5:$E$1000,E654,$C$5:$C$1000,"Auditoría Interna")&gt;0,"Interna",""),IF(COUNTIFS($E$5:$E$1000,E654,$C$5:$C$1000,"Auditoría Externa")&gt;0,"Externa",""),IF(COUNTIFS($E$5:$E$1000,E654,$C$5:$C$1000,"SSF")&gt;0,"SSF",""),IF(COUNTIFS($E$5:$E$1000,E654,$C$5:$C$1000,"Comité de Supervisión")&gt;0,"Comité Sup.",""),IF(COUNTIFS($E$5:$E$1000,E654,$C$5:$C$1000,"Consejo de Administración")&gt;0,"Consejo",""),IF(COUNTIFS($E$5:$E$1000,E654,$C$5:$C$1000,"Otros")&gt;0,"Otros","")))</f>
        <v/>
      </c>
      <c r="X654" s="24" t="str">
        <f aca="false">IF(E654="","",COUNTIFS($E$5:$E$1000,E654,$AB$5:$AB$1000,AB654,$C$5:$C$1000,"&lt;&gt;"&amp;C654))</f>
        <v/>
      </c>
      <c r="Y654" s="33"/>
      <c r="Z654" s="31"/>
      <c r="AA654" s="33"/>
      <c r="AB654" s="37" t="str">
        <f aca="false">IF(B654="","",YEAR(B654)*100+MONTH(B654))</f>
        <v/>
      </c>
      <c r="AC654" s="37" t="str">
        <f aca="false">IF(AND(E654&lt;&gt;"",E654=Cruce!$C$5),COUNTIF($E$5:E654,E654),"")</f>
        <v/>
      </c>
      <c r="AD654" s="37" t="str">
        <f aca="false">IF(E654="","",C654&amp;"|"&amp;Y654&amp;"|"&amp;IF(B654="","s/f",TEXT(B654,"yyyymmdd")))</f>
        <v/>
      </c>
      <c r="AE654" s="37" t="n">
        <f aca="false">IF(E654="",0,IF(COUNTIFS($E$5:E654,E654,$AD$5:AD654,AD654)=1,1,0))</f>
        <v>0</v>
      </c>
    </row>
    <row r="655" customFormat="false" ht="15" hidden="false" customHeight="true" outlineLevel="0" collapsed="false">
      <c r="A655" s="31"/>
      <c r="B655" s="30"/>
      <c r="C655" s="31"/>
      <c r="D655" s="31"/>
      <c r="E655" s="32"/>
      <c r="F655" s="32"/>
      <c r="G655" s="33"/>
      <c r="H655" s="31"/>
      <c r="I655" s="24" t="str">
        <f aca="false">IF(B655="","",YEAR(B655))</f>
        <v/>
      </c>
      <c r="J655" s="34" t="str">
        <f aca="false">IF(B655="","",IF(MONTH(B655)=1,"X",""))</f>
        <v/>
      </c>
      <c r="K655" s="34" t="str">
        <f aca="false">IF(B655="","",IF(MONTH(B655)=2,"X",""))</f>
        <v/>
      </c>
      <c r="L655" s="34" t="str">
        <f aca="false">IF(B655="","",IF(MONTH(B655)=3,"X",""))</f>
        <v/>
      </c>
      <c r="M655" s="34" t="str">
        <f aca="false">IF(B655="","",IF(MONTH(B655)=4,"X",""))</f>
        <v/>
      </c>
      <c r="N655" s="34" t="str">
        <f aca="false">IF(B655="","",IF(MONTH(B655)=5,"X",""))</f>
        <v/>
      </c>
      <c r="O655" s="34" t="str">
        <f aca="false">IF(B655="","",IF(MONTH(B655)=6,"X",""))</f>
        <v/>
      </c>
      <c r="P655" s="34" t="str">
        <f aca="false">IF(B655="","",IF(MONTH(B655)=7,"X",""))</f>
        <v/>
      </c>
      <c r="Q655" s="34" t="str">
        <f aca="false">IF(B655="","",IF(MONTH(B655)=8,"X",""))</f>
        <v/>
      </c>
      <c r="R655" s="34" t="str">
        <f aca="false">IF(B655="","",IF(MONTH(B655)=9,"X",""))</f>
        <v/>
      </c>
      <c r="S655" s="34" t="str">
        <f aca="false">IF(B655="","",IF(MONTH(B655)=10,"X",""))</f>
        <v/>
      </c>
      <c r="T655" s="34" t="str">
        <f aca="false">IF(B655="","",IF(MONTH(B655)=11,"X",""))</f>
        <v/>
      </c>
      <c r="U655" s="34" t="str">
        <f aca="false">IF(B655="","",IF(MONTH(B655)=12,"X",""))</f>
        <v/>
      </c>
      <c r="V655" s="24" t="str">
        <f aca="false">IF(E655="","",COUNTIF($E$5:$E$1000,E655))</f>
        <v/>
      </c>
      <c r="W655" s="35" t="str">
        <f aca="false">IF(E655="","",_xlfn.TEXTJOIN(" + ",TRUE(),IF(COUNTIFS($E$5:$E$1000,E655,$C$5:$C$1000,"Auditoría Interna")&gt;0,"Interna",""),IF(COUNTIFS($E$5:$E$1000,E655,$C$5:$C$1000,"Auditoría Externa")&gt;0,"Externa",""),IF(COUNTIFS($E$5:$E$1000,E655,$C$5:$C$1000,"SSF")&gt;0,"SSF",""),IF(COUNTIFS($E$5:$E$1000,E655,$C$5:$C$1000,"Comité de Supervisión")&gt;0,"Comité Sup.",""),IF(COUNTIFS($E$5:$E$1000,E655,$C$5:$C$1000,"Consejo de Administración")&gt;0,"Consejo",""),IF(COUNTIFS($E$5:$E$1000,E655,$C$5:$C$1000,"Otros")&gt;0,"Otros","")))</f>
        <v/>
      </c>
      <c r="X655" s="24" t="str">
        <f aca="false">IF(E655="","",COUNTIFS($E$5:$E$1000,E655,$AB$5:$AB$1000,AB655,$C$5:$C$1000,"&lt;&gt;"&amp;C655))</f>
        <v/>
      </c>
      <c r="Y655" s="33"/>
      <c r="Z655" s="31"/>
      <c r="AA655" s="33"/>
      <c r="AB655" s="37" t="str">
        <f aca="false">IF(B655="","",YEAR(B655)*100+MONTH(B655))</f>
        <v/>
      </c>
      <c r="AC655" s="37" t="str">
        <f aca="false">IF(AND(E655&lt;&gt;"",E655=Cruce!$C$5),COUNTIF($E$5:E655,E655),"")</f>
        <v/>
      </c>
      <c r="AD655" s="37" t="str">
        <f aca="false">IF(E655="","",C655&amp;"|"&amp;Y655&amp;"|"&amp;IF(B655="","s/f",TEXT(B655,"yyyymmdd")))</f>
        <v/>
      </c>
      <c r="AE655" s="37" t="n">
        <f aca="false">IF(E655="",0,IF(COUNTIFS($E$5:E655,E655,$AD$5:AD655,AD655)=1,1,0))</f>
        <v>0</v>
      </c>
    </row>
    <row r="656" customFormat="false" ht="15" hidden="false" customHeight="true" outlineLevel="0" collapsed="false">
      <c r="A656" s="31"/>
      <c r="B656" s="30"/>
      <c r="C656" s="31"/>
      <c r="D656" s="31"/>
      <c r="E656" s="32"/>
      <c r="F656" s="32"/>
      <c r="G656" s="33"/>
      <c r="H656" s="31"/>
      <c r="I656" s="24" t="str">
        <f aca="false">IF(B656="","",YEAR(B656))</f>
        <v/>
      </c>
      <c r="J656" s="34" t="str">
        <f aca="false">IF(B656="","",IF(MONTH(B656)=1,"X",""))</f>
        <v/>
      </c>
      <c r="K656" s="34" t="str">
        <f aca="false">IF(B656="","",IF(MONTH(B656)=2,"X",""))</f>
        <v/>
      </c>
      <c r="L656" s="34" t="str">
        <f aca="false">IF(B656="","",IF(MONTH(B656)=3,"X",""))</f>
        <v/>
      </c>
      <c r="M656" s="34" t="str">
        <f aca="false">IF(B656="","",IF(MONTH(B656)=4,"X",""))</f>
        <v/>
      </c>
      <c r="N656" s="34" t="str">
        <f aca="false">IF(B656="","",IF(MONTH(B656)=5,"X",""))</f>
        <v/>
      </c>
      <c r="O656" s="34" t="str">
        <f aca="false">IF(B656="","",IF(MONTH(B656)=6,"X",""))</f>
        <v/>
      </c>
      <c r="P656" s="34" t="str">
        <f aca="false">IF(B656="","",IF(MONTH(B656)=7,"X",""))</f>
        <v/>
      </c>
      <c r="Q656" s="34" t="str">
        <f aca="false">IF(B656="","",IF(MONTH(B656)=8,"X",""))</f>
        <v/>
      </c>
      <c r="R656" s="34" t="str">
        <f aca="false">IF(B656="","",IF(MONTH(B656)=9,"X",""))</f>
        <v/>
      </c>
      <c r="S656" s="34" t="str">
        <f aca="false">IF(B656="","",IF(MONTH(B656)=10,"X",""))</f>
        <v/>
      </c>
      <c r="T656" s="34" t="str">
        <f aca="false">IF(B656="","",IF(MONTH(B656)=11,"X",""))</f>
        <v/>
      </c>
      <c r="U656" s="34" t="str">
        <f aca="false">IF(B656="","",IF(MONTH(B656)=12,"X",""))</f>
        <v/>
      </c>
      <c r="V656" s="24" t="str">
        <f aca="false">IF(E656="","",COUNTIF($E$5:$E$1000,E656))</f>
        <v/>
      </c>
      <c r="W656" s="35" t="str">
        <f aca="false">IF(E656="","",_xlfn.TEXTJOIN(" + ",TRUE(),IF(COUNTIFS($E$5:$E$1000,E656,$C$5:$C$1000,"Auditoría Interna")&gt;0,"Interna",""),IF(COUNTIFS($E$5:$E$1000,E656,$C$5:$C$1000,"Auditoría Externa")&gt;0,"Externa",""),IF(COUNTIFS($E$5:$E$1000,E656,$C$5:$C$1000,"SSF")&gt;0,"SSF",""),IF(COUNTIFS($E$5:$E$1000,E656,$C$5:$C$1000,"Comité de Supervisión")&gt;0,"Comité Sup.",""),IF(COUNTIFS($E$5:$E$1000,E656,$C$5:$C$1000,"Consejo de Administración")&gt;0,"Consejo",""),IF(COUNTIFS($E$5:$E$1000,E656,$C$5:$C$1000,"Otros")&gt;0,"Otros","")))</f>
        <v/>
      </c>
      <c r="X656" s="24" t="str">
        <f aca="false">IF(E656="","",COUNTIFS($E$5:$E$1000,E656,$AB$5:$AB$1000,AB656,$C$5:$C$1000,"&lt;&gt;"&amp;C656))</f>
        <v/>
      </c>
      <c r="Y656" s="33"/>
      <c r="Z656" s="31"/>
      <c r="AA656" s="33"/>
      <c r="AB656" s="37" t="str">
        <f aca="false">IF(B656="","",YEAR(B656)*100+MONTH(B656))</f>
        <v/>
      </c>
      <c r="AC656" s="37" t="str">
        <f aca="false">IF(AND(E656&lt;&gt;"",E656=Cruce!$C$5),COUNTIF($E$5:E656,E656),"")</f>
        <v/>
      </c>
      <c r="AD656" s="37" t="str">
        <f aca="false">IF(E656="","",C656&amp;"|"&amp;Y656&amp;"|"&amp;IF(B656="","s/f",TEXT(B656,"yyyymmdd")))</f>
        <v/>
      </c>
      <c r="AE656" s="37" t="n">
        <f aca="false">IF(E656="",0,IF(COUNTIFS($E$5:E656,E656,$AD$5:AD656,AD656)=1,1,0))</f>
        <v>0</v>
      </c>
    </row>
    <row r="657" customFormat="false" ht="15" hidden="false" customHeight="true" outlineLevel="0" collapsed="false">
      <c r="A657" s="31"/>
      <c r="B657" s="30"/>
      <c r="C657" s="31"/>
      <c r="D657" s="31"/>
      <c r="E657" s="32"/>
      <c r="F657" s="32"/>
      <c r="G657" s="33"/>
      <c r="H657" s="31"/>
      <c r="I657" s="24" t="str">
        <f aca="false">IF(B657="","",YEAR(B657))</f>
        <v/>
      </c>
      <c r="J657" s="34" t="str">
        <f aca="false">IF(B657="","",IF(MONTH(B657)=1,"X",""))</f>
        <v/>
      </c>
      <c r="K657" s="34" t="str">
        <f aca="false">IF(B657="","",IF(MONTH(B657)=2,"X",""))</f>
        <v/>
      </c>
      <c r="L657" s="34" t="str">
        <f aca="false">IF(B657="","",IF(MONTH(B657)=3,"X",""))</f>
        <v/>
      </c>
      <c r="M657" s="34" t="str">
        <f aca="false">IF(B657="","",IF(MONTH(B657)=4,"X",""))</f>
        <v/>
      </c>
      <c r="N657" s="34" t="str">
        <f aca="false">IF(B657="","",IF(MONTH(B657)=5,"X",""))</f>
        <v/>
      </c>
      <c r="O657" s="34" t="str">
        <f aca="false">IF(B657="","",IF(MONTH(B657)=6,"X",""))</f>
        <v/>
      </c>
      <c r="P657" s="34" t="str">
        <f aca="false">IF(B657="","",IF(MONTH(B657)=7,"X",""))</f>
        <v/>
      </c>
      <c r="Q657" s="34" t="str">
        <f aca="false">IF(B657="","",IF(MONTH(B657)=8,"X",""))</f>
        <v/>
      </c>
      <c r="R657" s="34" t="str">
        <f aca="false">IF(B657="","",IF(MONTH(B657)=9,"X",""))</f>
        <v/>
      </c>
      <c r="S657" s="34" t="str">
        <f aca="false">IF(B657="","",IF(MONTH(B657)=10,"X",""))</f>
        <v/>
      </c>
      <c r="T657" s="34" t="str">
        <f aca="false">IF(B657="","",IF(MONTH(B657)=11,"X",""))</f>
        <v/>
      </c>
      <c r="U657" s="34" t="str">
        <f aca="false">IF(B657="","",IF(MONTH(B657)=12,"X",""))</f>
        <v/>
      </c>
      <c r="V657" s="24" t="str">
        <f aca="false">IF(E657="","",COUNTIF($E$5:$E$1000,E657))</f>
        <v/>
      </c>
      <c r="W657" s="35" t="str">
        <f aca="false">IF(E657="","",_xlfn.TEXTJOIN(" + ",TRUE(),IF(COUNTIFS($E$5:$E$1000,E657,$C$5:$C$1000,"Auditoría Interna")&gt;0,"Interna",""),IF(COUNTIFS($E$5:$E$1000,E657,$C$5:$C$1000,"Auditoría Externa")&gt;0,"Externa",""),IF(COUNTIFS($E$5:$E$1000,E657,$C$5:$C$1000,"SSF")&gt;0,"SSF",""),IF(COUNTIFS($E$5:$E$1000,E657,$C$5:$C$1000,"Comité de Supervisión")&gt;0,"Comité Sup.",""),IF(COUNTIFS($E$5:$E$1000,E657,$C$5:$C$1000,"Consejo de Administración")&gt;0,"Consejo",""),IF(COUNTIFS($E$5:$E$1000,E657,$C$5:$C$1000,"Otros")&gt;0,"Otros","")))</f>
        <v/>
      </c>
      <c r="X657" s="24" t="str">
        <f aca="false">IF(E657="","",COUNTIFS($E$5:$E$1000,E657,$AB$5:$AB$1000,AB657,$C$5:$C$1000,"&lt;&gt;"&amp;C657))</f>
        <v/>
      </c>
      <c r="Y657" s="33"/>
      <c r="Z657" s="31"/>
      <c r="AA657" s="33"/>
      <c r="AB657" s="37" t="str">
        <f aca="false">IF(B657="","",YEAR(B657)*100+MONTH(B657))</f>
        <v/>
      </c>
      <c r="AC657" s="37" t="str">
        <f aca="false">IF(AND(E657&lt;&gt;"",E657=Cruce!$C$5),COUNTIF($E$5:E657,E657),"")</f>
        <v/>
      </c>
      <c r="AD657" s="37" t="str">
        <f aca="false">IF(E657="","",C657&amp;"|"&amp;Y657&amp;"|"&amp;IF(B657="","s/f",TEXT(B657,"yyyymmdd")))</f>
        <v/>
      </c>
      <c r="AE657" s="37" t="n">
        <f aca="false">IF(E657="",0,IF(COUNTIFS($E$5:E657,E657,$AD$5:AD657,AD657)=1,1,0))</f>
        <v>0</v>
      </c>
    </row>
    <row r="658" customFormat="false" ht="15" hidden="false" customHeight="true" outlineLevel="0" collapsed="false">
      <c r="A658" s="31"/>
      <c r="B658" s="30"/>
      <c r="C658" s="31"/>
      <c r="D658" s="31"/>
      <c r="E658" s="32"/>
      <c r="F658" s="32"/>
      <c r="G658" s="33"/>
      <c r="H658" s="31"/>
      <c r="I658" s="24" t="str">
        <f aca="false">IF(B658="","",YEAR(B658))</f>
        <v/>
      </c>
      <c r="J658" s="34" t="str">
        <f aca="false">IF(B658="","",IF(MONTH(B658)=1,"X",""))</f>
        <v/>
      </c>
      <c r="K658" s="34" t="str">
        <f aca="false">IF(B658="","",IF(MONTH(B658)=2,"X",""))</f>
        <v/>
      </c>
      <c r="L658" s="34" t="str">
        <f aca="false">IF(B658="","",IF(MONTH(B658)=3,"X",""))</f>
        <v/>
      </c>
      <c r="M658" s="34" t="str">
        <f aca="false">IF(B658="","",IF(MONTH(B658)=4,"X",""))</f>
        <v/>
      </c>
      <c r="N658" s="34" t="str">
        <f aca="false">IF(B658="","",IF(MONTH(B658)=5,"X",""))</f>
        <v/>
      </c>
      <c r="O658" s="34" t="str">
        <f aca="false">IF(B658="","",IF(MONTH(B658)=6,"X",""))</f>
        <v/>
      </c>
      <c r="P658" s="34" t="str">
        <f aca="false">IF(B658="","",IF(MONTH(B658)=7,"X",""))</f>
        <v/>
      </c>
      <c r="Q658" s="34" t="str">
        <f aca="false">IF(B658="","",IF(MONTH(B658)=8,"X",""))</f>
        <v/>
      </c>
      <c r="R658" s="34" t="str">
        <f aca="false">IF(B658="","",IF(MONTH(B658)=9,"X",""))</f>
        <v/>
      </c>
      <c r="S658" s="34" t="str">
        <f aca="false">IF(B658="","",IF(MONTH(B658)=10,"X",""))</f>
        <v/>
      </c>
      <c r="T658" s="34" t="str">
        <f aca="false">IF(B658="","",IF(MONTH(B658)=11,"X",""))</f>
        <v/>
      </c>
      <c r="U658" s="34" t="str">
        <f aca="false">IF(B658="","",IF(MONTH(B658)=12,"X",""))</f>
        <v/>
      </c>
      <c r="V658" s="24" t="str">
        <f aca="false">IF(E658="","",COUNTIF($E$5:$E$1000,E658))</f>
        <v/>
      </c>
      <c r="W658" s="35" t="str">
        <f aca="false">IF(E658="","",_xlfn.TEXTJOIN(" + ",TRUE(),IF(COUNTIFS($E$5:$E$1000,E658,$C$5:$C$1000,"Auditoría Interna")&gt;0,"Interna",""),IF(COUNTIFS($E$5:$E$1000,E658,$C$5:$C$1000,"Auditoría Externa")&gt;0,"Externa",""),IF(COUNTIFS($E$5:$E$1000,E658,$C$5:$C$1000,"SSF")&gt;0,"SSF",""),IF(COUNTIFS($E$5:$E$1000,E658,$C$5:$C$1000,"Comité de Supervisión")&gt;0,"Comité Sup.",""),IF(COUNTIFS($E$5:$E$1000,E658,$C$5:$C$1000,"Consejo de Administración")&gt;0,"Consejo",""),IF(COUNTIFS($E$5:$E$1000,E658,$C$5:$C$1000,"Otros")&gt;0,"Otros","")))</f>
        <v/>
      </c>
      <c r="X658" s="24" t="str">
        <f aca="false">IF(E658="","",COUNTIFS($E$5:$E$1000,E658,$AB$5:$AB$1000,AB658,$C$5:$C$1000,"&lt;&gt;"&amp;C658))</f>
        <v/>
      </c>
      <c r="Y658" s="33"/>
      <c r="Z658" s="31"/>
      <c r="AA658" s="33"/>
      <c r="AB658" s="37" t="str">
        <f aca="false">IF(B658="","",YEAR(B658)*100+MONTH(B658))</f>
        <v/>
      </c>
      <c r="AC658" s="37" t="str">
        <f aca="false">IF(AND(E658&lt;&gt;"",E658=Cruce!$C$5),COUNTIF($E$5:E658,E658),"")</f>
        <v/>
      </c>
      <c r="AD658" s="37" t="str">
        <f aca="false">IF(E658="","",C658&amp;"|"&amp;Y658&amp;"|"&amp;IF(B658="","s/f",TEXT(B658,"yyyymmdd")))</f>
        <v/>
      </c>
      <c r="AE658" s="37" t="n">
        <f aca="false">IF(E658="",0,IF(COUNTIFS($E$5:E658,E658,$AD$5:AD658,AD658)=1,1,0))</f>
        <v>0</v>
      </c>
    </row>
    <row r="659" customFormat="false" ht="15" hidden="false" customHeight="true" outlineLevel="0" collapsed="false">
      <c r="A659" s="31"/>
      <c r="B659" s="30"/>
      <c r="C659" s="31"/>
      <c r="D659" s="31"/>
      <c r="E659" s="32"/>
      <c r="F659" s="32"/>
      <c r="G659" s="33"/>
      <c r="H659" s="31"/>
      <c r="I659" s="24" t="str">
        <f aca="false">IF(B659="","",YEAR(B659))</f>
        <v/>
      </c>
      <c r="J659" s="34" t="str">
        <f aca="false">IF(B659="","",IF(MONTH(B659)=1,"X",""))</f>
        <v/>
      </c>
      <c r="K659" s="34" t="str">
        <f aca="false">IF(B659="","",IF(MONTH(B659)=2,"X",""))</f>
        <v/>
      </c>
      <c r="L659" s="34" t="str">
        <f aca="false">IF(B659="","",IF(MONTH(B659)=3,"X",""))</f>
        <v/>
      </c>
      <c r="M659" s="34" t="str">
        <f aca="false">IF(B659="","",IF(MONTH(B659)=4,"X",""))</f>
        <v/>
      </c>
      <c r="N659" s="34" t="str">
        <f aca="false">IF(B659="","",IF(MONTH(B659)=5,"X",""))</f>
        <v/>
      </c>
      <c r="O659" s="34" t="str">
        <f aca="false">IF(B659="","",IF(MONTH(B659)=6,"X",""))</f>
        <v/>
      </c>
      <c r="P659" s="34" t="str">
        <f aca="false">IF(B659="","",IF(MONTH(B659)=7,"X",""))</f>
        <v/>
      </c>
      <c r="Q659" s="34" t="str">
        <f aca="false">IF(B659="","",IF(MONTH(B659)=8,"X",""))</f>
        <v/>
      </c>
      <c r="R659" s="34" t="str">
        <f aca="false">IF(B659="","",IF(MONTH(B659)=9,"X",""))</f>
        <v/>
      </c>
      <c r="S659" s="34" t="str">
        <f aca="false">IF(B659="","",IF(MONTH(B659)=10,"X",""))</f>
        <v/>
      </c>
      <c r="T659" s="34" t="str">
        <f aca="false">IF(B659="","",IF(MONTH(B659)=11,"X",""))</f>
        <v/>
      </c>
      <c r="U659" s="34" t="str">
        <f aca="false">IF(B659="","",IF(MONTH(B659)=12,"X",""))</f>
        <v/>
      </c>
      <c r="V659" s="24" t="str">
        <f aca="false">IF(E659="","",COUNTIF($E$5:$E$1000,E659))</f>
        <v/>
      </c>
      <c r="W659" s="35" t="str">
        <f aca="false">IF(E659="","",_xlfn.TEXTJOIN(" + ",TRUE(),IF(COUNTIFS($E$5:$E$1000,E659,$C$5:$C$1000,"Auditoría Interna")&gt;0,"Interna",""),IF(COUNTIFS($E$5:$E$1000,E659,$C$5:$C$1000,"Auditoría Externa")&gt;0,"Externa",""),IF(COUNTIFS($E$5:$E$1000,E659,$C$5:$C$1000,"SSF")&gt;0,"SSF",""),IF(COUNTIFS($E$5:$E$1000,E659,$C$5:$C$1000,"Comité de Supervisión")&gt;0,"Comité Sup.",""),IF(COUNTIFS($E$5:$E$1000,E659,$C$5:$C$1000,"Consejo de Administración")&gt;0,"Consejo",""),IF(COUNTIFS($E$5:$E$1000,E659,$C$5:$C$1000,"Otros")&gt;0,"Otros","")))</f>
        <v/>
      </c>
      <c r="X659" s="24" t="str">
        <f aca="false">IF(E659="","",COUNTIFS($E$5:$E$1000,E659,$AB$5:$AB$1000,AB659,$C$5:$C$1000,"&lt;&gt;"&amp;C659))</f>
        <v/>
      </c>
      <c r="Y659" s="33"/>
      <c r="Z659" s="31"/>
      <c r="AA659" s="33"/>
      <c r="AB659" s="37" t="str">
        <f aca="false">IF(B659="","",YEAR(B659)*100+MONTH(B659))</f>
        <v/>
      </c>
      <c r="AC659" s="37" t="str">
        <f aca="false">IF(AND(E659&lt;&gt;"",E659=Cruce!$C$5),COUNTIF($E$5:E659,E659),"")</f>
        <v/>
      </c>
      <c r="AD659" s="37" t="str">
        <f aca="false">IF(E659="","",C659&amp;"|"&amp;Y659&amp;"|"&amp;IF(B659="","s/f",TEXT(B659,"yyyymmdd")))</f>
        <v/>
      </c>
      <c r="AE659" s="37" t="n">
        <f aca="false">IF(E659="",0,IF(COUNTIFS($E$5:E659,E659,$AD$5:AD659,AD659)=1,1,0))</f>
        <v>0</v>
      </c>
    </row>
    <row r="660" customFormat="false" ht="15" hidden="false" customHeight="true" outlineLevel="0" collapsed="false">
      <c r="A660" s="31"/>
      <c r="B660" s="30"/>
      <c r="C660" s="31"/>
      <c r="D660" s="31"/>
      <c r="E660" s="32"/>
      <c r="F660" s="32"/>
      <c r="G660" s="33"/>
      <c r="H660" s="31"/>
      <c r="I660" s="24" t="str">
        <f aca="false">IF(B660="","",YEAR(B660))</f>
        <v/>
      </c>
      <c r="J660" s="34" t="str">
        <f aca="false">IF(B660="","",IF(MONTH(B660)=1,"X",""))</f>
        <v/>
      </c>
      <c r="K660" s="34" t="str">
        <f aca="false">IF(B660="","",IF(MONTH(B660)=2,"X",""))</f>
        <v/>
      </c>
      <c r="L660" s="34" t="str">
        <f aca="false">IF(B660="","",IF(MONTH(B660)=3,"X",""))</f>
        <v/>
      </c>
      <c r="M660" s="34" t="str">
        <f aca="false">IF(B660="","",IF(MONTH(B660)=4,"X",""))</f>
        <v/>
      </c>
      <c r="N660" s="34" t="str">
        <f aca="false">IF(B660="","",IF(MONTH(B660)=5,"X",""))</f>
        <v/>
      </c>
      <c r="O660" s="34" t="str">
        <f aca="false">IF(B660="","",IF(MONTH(B660)=6,"X",""))</f>
        <v/>
      </c>
      <c r="P660" s="34" t="str">
        <f aca="false">IF(B660="","",IF(MONTH(B660)=7,"X",""))</f>
        <v/>
      </c>
      <c r="Q660" s="34" t="str">
        <f aca="false">IF(B660="","",IF(MONTH(B660)=8,"X",""))</f>
        <v/>
      </c>
      <c r="R660" s="34" t="str">
        <f aca="false">IF(B660="","",IF(MONTH(B660)=9,"X",""))</f>
        <v/>
      </c>
      <c r="S660" s="34" t="str">
        <f aca="false">IF(B660="","",IF(MONTH(B660)=10,"X",""))</f>
        <v/>
      </c>
      <c r="T660" s="34" t="str">
        <f aca="false">IF(B660="","",IF(MONTH(B660)=11,"X",""))</f>
        <v/>
      </c>
      <c r="U660" s="34" t="str">
        <f aca="false">IF(B660="","",IF(MONTH(B660)=12,"X",""))</f>
        <v/>
      </c>
      <c r="V660" s="24" t="str">
        <f aca="false">IF(E660="","",COUNTIF($E$5:$E$1000,E660))</f>
        <v/>
      </c>
      <c r="W660" s="35" t="str">
        <f aca="false">IF(E660="","",_xlfn.TEXTJOIN(" + ",TRUE(),IF(COUNTIFS($E$5:$E$1000,E660,$C$5:$C$1000,"Auditoría Interna")&gt;0,"Interna",""),IF(COUNTIFS($E$5:$E$1000,E660,$C$5:$C$1000,"Auditoría Externa")&gt;0,"Externa",""),IF(COUNTIFS($E$5:$E$1000,E660,$C$5:$C$1000,"SSF")&gt;0,"SSF",""),IF(COUNTIFS($E$5:$E$1000,E660,$C$5:$C$1000,"Comité de Supervisión")&gt;0,"Comité Sup.",""),IF(COUNTIFS($E$5:$E$1000,E660,$C$5:$C$1000,"Consejo de Administración")&gt;0,"Consejo",""),IF(COUNTIFS($E$5:$E$1000,E660,$C$5:$C$1000,"Otros")&gt;0,"Otros","")))</f>
        <v/>
      </c>
      <c r="X660" s="24" t="str">
        <f aca="false">IF(E660="","",COUNTIFS($E$5:$E$1000,E660,$AB$5:$AB$1000,AB660,$C$5:$C$1000,"&lt;&gt;"&amp;C660))</f>
        <v/>
      </c>
      <c r="Y660" s="33"/>
      <c r="Z660" s="31"/>
      <c r="AA660" s="33"/>
      <c r="AB660" s="37" t="str">
        <f aca="false">IF(B660="","",YEAR(B660)*100+MONTH(B660))</f>
        <v/>
      </c>
      <c r="AC660" s="37" t="str">
        <f aca="false">IF(AND(E660&lt;&gt;"",E660=Cruce!$C$5),COUNTIF($E$5:E660,E660),"")</f>
        <v/>
      </c>
      <c r="AD660" s="37" t="str">
        <f aca="false">IF(E660="","",C660&amp;"|"&amp;Y660&amp;"|"&amp;IF(B660="","s/f",TEXT(B660,"yyyymmdd")))</f>
        <v/>
      </c>
      <c r="AE660" s="37" t="n">
        <f aca="false">IF(E660="",0,IF(COUNTIFS($E$5:E660,E660,$AD$5:AD660,AD660)=1,1,0))</f>
        <v>0</v>
      </c>
    </row>
    <row r="661" customFormat="false" ht="15" hidden="false" customHeight="true" outlineLevel="0" collapsed="false">
      <c r="A661" s="31"/>
      <c r="B661" s="30"/>
      <c r="C661" s="31"/>
      <c r="D661" s="31"/>
      <c r="E661" s="32"/>
      <c r="F661" s="32"/>
      <c r="G661" s="33"/>
      <c r="H661" s="31"/>
      <c r="I661" s="24" t="str">
        <f aca="false">IF(B661="","",YEAR(B661))</f>
        <v/>
      </c>
      <c r="J661" s="34" t="str">
        <f aca="false">IF(B661="","",IF(MONTH(B661)=1,"X",""))</f>
        <v/>
      </c>
      <c r="K661" s="34" t="str">
        <f aca="false">IF(B661="","",IF(MONTH(B661)=2,"X",""))</f>
        <v/>
      </c>
      <c r="L661" s="34" t="str">
        <f aca="false">IF(B661="","",IF(MONTH(B661)=3,"X",""))</f>
        <v/>
      </c>
      <c r="M661" s="34" t="str">
        <f aca="false">IF(B661="","",IF(MONTH(B661)=4,"X",""))</f>
        <v/>
      </c>
      <c r="N661" s="34" t="str">
        <f aca="false">IF(B661="","",IF(MONTH(B661)=5,"X",""))</f>
        <v/>
      </c>
      <c r="O661" s="34" t="str">
        <f aca="false">IF(B661="","",IF(MONTH(B661)=6,"X",""))</f>
        <v/>
      </c>
      <c r="P661" s="34" t="str">
        <f aca="false">IF(B661="","",IF(MONTH(B661)=7,"X",""))</f>
        <v/>
      </c>
      <c r="Q661" s="34" t="str">
        <f aca="false">IF(B661="","",IF(MONTH(B661)=8,"X",""))</f>
        <v/>
      </c>
      <c r="R661" s="34" t="str">
        <f aca="false">IF(B661="","",IF(MONTH(B661)=9,"X",""))</f>
        <v/>
      </c>
      <c r="S661" s="34" t="str">
        <f aca="false">IF(B661="","",IF(MONTH(B661)=10,"X",""))</f>
        <v/>
      </c>
      <c r="T661" s="34" t="str">
        <f aca="false">IF(B661="","",IF(MONTH(B661)=11,"X",""))</f>
        <v/>
      </c>
      <c r="U661" s="34" t="str">
        <f aca="false">IF(B661="","",IF(MONTH(B661)=12,"X",""))</f>
        <v/>
      </c>
      <c r="V661" s="24" t="str">
        <f aca="false">IF(E661="","",COUNTIF($E$5:$E$1000,E661))</f>
        <v/>
      </c>
      <c r="W661" s="35" t="str">
        <f aca="false">IF(E661="","",_xlfn.TEXTJOIN(" + ",TRUE(),IF(COUNTIFS($E$5:$E$1000,E661,$C$5:$C$1000,"Auditoría Interna")&gt;0,"Interna",""),IF(COUNTIFS($E$5:$E$1000,E661,$C$5:$C$1000,"Auditoría Externa")&gt;0,"Externa",""),IF(COUNTIFS($E$5:$E$1000,E661,$C$5:$C$1000,"SSF")&gt;0,"SSF",""),IF(COUNTIFS($E$5:$E$1000,E661,$C$5:$C$1000,"Comité de Supervisión")&gt;0,"Comité Sup.",""),IF(COUNTIFS($E$5:$E$1000,E661,$C$5:$C$1000,"Consejo de Administración")&gt;0,"Consejo",""),IF(COUNTIFS($E$5:$E$1000,E661,$C$5:$C$1000,"Otros")&gt;0,"Otros","")))</f>
        <v/>
      </c>
      <c r="X661" s="24" t="str">
        <f aca="false">IF(E661="","",COUNTIFS($E$5:$E$1000,E661,$AB$5:$AB$1000,AB661,$C$5:$C$1000,"&lt;&gt;"&amp;C661))</f>
        <v/>
      </c>
      <c r="Y661" s="33"/>
      <c r="Z661" s="31"/>
      <c r="AA661" s="33"/>
      <c r="AB661" s="37" t="str">
        <f aca="false">IF(B661="","",YEAR(B661)*100+MONTH(B661))</f>
        <v/>
      </c>
      <c r="AC661" s="37" t="str">
        <f aca="false">IF(AND(E661&lt;&gt;"",E661=Cruce!$C$5),COUNTIF($E$5:E661,E661),"")</f>
        <v/>
      </c>
      <c r="AD661" s="37" t="str">
        <f aca="false">IF(E661="","",C661&amp;"|"&amp;Y661&amp;"|"&amp;IF(B661="","s/f",TEXT(B661,"yyyymmdd")))</f>
        <v/>
      </c>
      <c r="AE661" s="37" t="n">
        <f aca="false">IF(E661="",0,IF(COUNTIFS($E$5:E661,E661,$AD$5:AD661,AD661)=1,1,0))</f>
        <v>0</v>
      </c>
    </row>
    <row r="662" customFormat="false" ht="15" hidden="false" customHeight="true" outlineLevel="0" collapsed="false">
      <c r="A662" s="31"/>
      <c r="B662" s="30"/>
      <c r="C662" s="31"/>
      <c r="D662" s="31"/>
      <c r="E662" s="32"/>
      <c r="F662" s="32"/>
      <c r="G662" s="33"/>
      <c r="H662" s="31"/>
      <c r="I662" s="24" t="str">
        <f aca="false">IF(B662="","",YEAR(B662))</f>
        <v/>
      </c>
      <c r="J662" s="34" t="str">
        <f aca="false">IF(B662="","",IF(MONTH(B662)=1,"X",""))</f>
        <v/>
      </c>
      <c r="K662" s="34" t="str">
        <f aca="false">IF(B662="","",IF(MONTH(B662)=2,"X",""))</f>
        <v/>
      </c>
      <c r="L662" s="34" t="str">
        <f aca="false">IF(B662="","",IF(MONTH(B662)=3,"X",""))</f>
        <v/>
      </c>
      <c r="M662" s="34" t="str">
        <f aca="false">IF(B662="","",IF(MONTH(B662)=4,"X",""))</f>
        <v/>
      </c>
      <c r="N662" s="34" t="str">
        <f aca="false">IF(B662="","",IF(MONTH(B662)=5,"X",""))</f>
        <v/>
      </c>
      <c r="O662" s="34" t="str">
        <f aca="false">IF(B662="","",IF(MONTH(B662)=6,"X",""))</f>
        <v/>
      </c>
      <c r="P662" s="34" t="str">
        <f aca="false">IF(B662="","",IF(MONTH(B662)=7,"X",""))</f>
        <v/>
      </c>
      <c r="Q662" s="34" t="str">
        <f aca="false">IF(B662="","",IF(MONTH(B662)=8,"X",""))</f>
        <v/>
      </c>
      <c r="R662" s="34" t="str">
        <f aca="false">IF(B662="","",IF(MONTH(B662)=9,"X",""))</f>
        <v/>
      </c>
      <c r="S662" s="34" t="str">
        <f aca="false">IF(B662="","",IF(MONTH(B662)=10,"X",""))</f>
        <v/>
      </c>
      <c r="T662" s="34" t="str">
        <f aca="false">IF(B662="","",IF(MONTH(B662)=11,"X",""))</f>
        <v/>
      </c>
      <c r="U662" s="34" t="str">
        <f aca="false">IF(B662="","",IF(MONTH(B662)=12,"X",""))</f>
        <v/>
      </c>
      <c r="V662" s="24" t="str">
        <f aca="false">IF(E662="","",COUNTIF($E$5:$E$1000,E662))</f>
        <v/>
      </c>
      <c r="W662" s="35" t="str">
        <f aca="false">IF(E662="","",_xlfn.TEXTJOIN(" + ",TRUE(),IF(COUNTIFS($E$5:$E$1000,E662,$C$5:$C$1000,"Auditoría Interna")&gt;0,"Interna",""),IF(COUNTIFS($E$5:$E$1000,E662,$C$5:$C$1000,"Auditoría Externa")&gt;0,"Externa",""),IF(COUNTIFS($E$5:$E$1000,E662,$C$5:$C$1000,"SSF")&gt;0,"SSF",""),IF(COUNTIFS($E$5:$E$1000,E662,$C$5:$C$1000,"Comité de Supervisión")&gt;0,"Comité Sup.",""),IF(COUNTIFS($E$5:$E$1000,E662,$C$5:$C$1000,"Consejo de Administración")&gt;0,"Consejo",""),IF(COUNTIFS($E$5:$E$1000,E662,$C$5:$C$1000,"Otros")&gt;0,"Otros","")))</f>
        <v/>
      </c>
      <c r="X662" s="24" t="str">
        <f aca="false">IF(E662="","",COUNTIFS($E$5:$E$1000,E662,$AB$5:$AB$1000,AB662,$C$5:$C$1000,"&lt;&gt;"&amp;C662))</f>
        <v/>
      </c>
      <c r="Y662" s="33"/>
      <c r="Z662" s="31"/>
      <c r="AA662" s="33"/>
      <c r="AB662" s="37" t="str">
        <f aca="false">IF(B662="","",YEAR(B662)*100+MONTH(B662))</f>
        <v/>
      </c>
      <c r="AC662" s="37" t="str">
        <f aca="false">IF(AND(E662&lt;&gt;"",E662=Cruce!$C$5),COUNTIF($E$5:E662,E662),"")</f>
        <v/>
      </c>
      <c r="AD662" s="37" t="str">
        <f aca="false">IF(E662="","",C662&amp;"|"&amp;Y662&amp;"|"&amp;IF(B662="","s/f",TEXT(B662,"yyyymmdd")))</f>
        <v/>
      </c>
      <c r="AE662" s="37" t="n">
        <f aca="false">IF(E662="",0,IF(COUNTIFS($E$5:E662,E662,$AD$5:AD662,AD662)=1,1,0))</f>
        <v>0</v>
      </c>
    </row>
    <row r="663" customFormat="false" ht="15" hidden="false" customHeight="true" outlineLevel="0" collapsed="false">
      <c r="A663" s="31"/>
      <c r="B663" s="30"/>
      <c r="C663" s="31"/>
      <c r="D663" s="31"/>
      <c r="E663" s="32"/>
      <c r="F663" s="32"/>
      <c r="G663" s="33"/>
      <c r="H663" s="31"/>
      <c r="I663" s="24" t="str">
        <f aca="false">IF(B663="","",YEAR(B663))</f>
        <v/>
      </c>
      <c r="J663" s="34" t="str">
        <f aca="false">IF(B663="","",IF(MONTH(B663)=1,"X",""))</f>
        <v/>
      </c>
      <c r="K663" s="34" t="str">
        <f aca="false">IF(B663="","",IF(MONTH(B663)=2,"X",""))</f>
        <v/>
      </c>
      <c r="L663" s="34" t="str">
        <f aca="false">IF(B663="","",IF(MONTH(B663)=3,"X",""))</f>
        <v/>
      </c>
      <c r="M663" s="34" t="str">
        <f aca="false">IF(B663="","",IF(MONTH(B663)=4,"X",""))</f>
        <v/>
      </c>
      <c r="N663" s="34" t="str">
        <f aca="false">IF(B663="","",IF(MONTH(B663)=5,"X",""))</f>
        <v/>
      </c>
      <c r="O663" s="34" t="str">
        <f aca="false">IF(B663="","",IF(MONTH(B663)=6,"X",""))</f>
        <v/>
      </c>
      <c r="P663" s="34" t="str">
        <f aca="false">IF(B663="","",IF(MONTH(B663)=7,"X",""))</f>
        <v/>
      </c>
      <c r="Q663" s="34" t="str">
        <f aca="false">IF(B663="","",IF(MONTH(B663)=8,"X",""))</f>
        <v/>
      </c>
      <c r="R663" s="34" t="str">
        <f aca="false">IF(B663="","",IF(MONTH(B663)=9,"X",""))</f>
        <v/>
      </c>
      <c r="S663" s="34" t="str">
        <f aca="false">IF(B663="","",IF(MONTH(B663)=10,"X",""))</f>
        <v/>
      </c>
      <c r="T663" s="34" t="str">
        <f aca="false">IF(B663="","",IF(MONTH(B663)=11,"X",""))</f>
        <v/>
      </c>
      <c r="U663" s="34" t="str">
        <f aca="false">IF(B663="","",IF(MONTH(B663)=12,"X",""))</f>
        <v/>
      </c>
      <c r="V663" s="24" t="str">
        <f aca="false">IF(E663="","",COUNTIF($E$5:$E$1000,E663))</f>
        <v/>
      </c>
      <c r="W663" s="35" t="str">
        <f aca="false">IF(E663="","",_xlfn.TEXTJOIN(" + ",TRUE(),IF(COUNTIFS($E$5:$E$1000,E663,$C$5:$C$1000,"Auditoría Interna")&gt;0,"Interna",""),IF(COUNTIFS($E$5:$E$1000,E663,$C$5:$C$1000,"Auditoría Externa")&gt;0,"Externa",""),IF(COUNTIFS($E$5:$E$1000,E663,$C$5:$C$1000,"SSF")&gt;0,"SSF",""),IF(COUNTIFS($E$5:$E$1000,E663,$C$5:$C$1000,"Comité de Supervisión")&gt;0,"Comité Sup.",""),IF(COUNTIFS($E$5:$E$1000,E663,$C$5:$C$1000,"Consejo de Administración")&gt;0,"Consejo",""),IF(COUNTIFS($E$5:$E$1000,E663,$C$5:$C$1000,"Otros")&gt;0,"Otros","")))</f>
        <v/>
      </c>
      <c r="X663" s="24" t="str">
        <f aca="false">IF(E663="","",COUNTIFS($E$5:$E$1000,E663,$AB$5:$AB$1000,AB663,$C$5:$C$1000,"&lt;&gt;"&amp;C663))</f>
        <v/>
      </c>
      <c r="Y663" s="33"/>
      <c r="Z663" s="31"/>
      <c r="AA663" s="33"/>
      <c r="AB663" s="37" t="str">
        <f aca="false">IF(B663="","",YEAR(B663)*100+MONTH(B663))</f>
        <v/>
      </c>
      <c r="AC663" s="37" t="str">
        <f aca="false">IF(AND(E663&lt;&gt;"",E663=Cruce!$C$5),COUNTIF($E$5:E663,E663),"")</f>
        <v/>
      </c>
      <c r="AD663" s="37" t="str">
        <f aca="false">IF(E663="","",C663&amp;"|"&amp;Y663&amp;"|"&amp;IF(B663="","s/f",TEXT(B663,"yyyymmdd")))</f>
        <v/>
      </c>
      <c r="AE663" s="37" t="n">
        <f aca="false">IF(E663="",0,IF(COUNTIFS($E$5:E663,E663,$AD$5:AD663,AD663)=1,1,0))</f>
        <v>0</v>
      </c>
    </row>
    <row r="664" customFormat="false" ht="15" hidden="false" customHeight="true" outlineLevel="0" collapsed="false">
      <c r="A664" s="31"/>
      <c r="B664" s="30"/>
      <c r="C664" s="31"/>
      <c r="D664" s="31"/>
      <c r="E664" s="32"/>
      <c r="F664" s="32"/>
      <c r="G664" s="33"/>
      <c r="H664" s="31"/>
      <c r="I664" s="24" t="str">
        <f aca="false">IF(B664="","",YEAR(B664))</f>
        <v/>
      </c>
      <c r="J664" s="34" t="str">
        <f aca="false">IF(B664="","",IF(MONTH(B664)=1,"X",""))</f>
        <v/>
      </c>
      <c r="K664" s="34" t="str">
        <f aca="false">IF(B664="","",IF(MONTH(B664)=2,"X",""))</f>
        <v/>
      </c>
      <c r="L664" s="34" t="str">
        <f aca="false">IF(B664="","",IF(MONTH(B664)=3,"X",""))</f>
        <v/>
      </c>
      <c r="M664" s="34" t="str">
        <f aca="false">IF(B664="","",IF(MONTH(B664)=4,"X",""))</f>
        <v/>
      </c>
      <c r="N664" s="34" t="str">
        <f aca="false">IF(B664="","",IF(MONTH(B664)=5,"X",""))</f>
        <v/>
      </c>
      <c r="O664" s="34" t="str">
        <f aca="false">IF(B664="","",IF(MONTH(B664)=6,"X",""))</f>
        <v/>
      </c>
      <c r="P664" s="34" t="str">
        <f aca="false">IF(B664="","",IF(MONTH(B664)=7,"X",""))</f>
        <v/>
      </c>
      <c r="Q664" s="34" t="str">
        <f aca="false">IF(B664="","",IF(MONTH(B664)=8,"X",""))</f>
        <v/>
      </c>
      <c r="R664" s="34" t="str">
        <f aca="false">IF(B664="","",IF(MONTH(B664)=9,"X",""))</f>
        <v/>
      </c>
      <c r="S664" s="34" t="str">
        <f aca="false">IF(B664="","",IF(MONTH(B664)=10,"X",""))</f>
        <v/>
      </c>
      <c r="T664" s="34" t="str">
        <f aca="false">IF(B664="","",IF(MONTH(B664)=11,"X",""))</f>
        <v/>
      </c>
      <c r="U664" s="34" t="str">
        <f aca="false">IF(B664="","",IF(MONTH(B664)=12,"X",""))</f>
        <v/>
      </c>
      <c r="V664" s="24" t="str">
        <f aca="false">IF(E664="","",COUNTIF($E$5:$E$1000,E664))</f>
        <v/>
      </c>
      <c r="W664" s="35" t="str">
        <f aca="false">IF(E664="","",_xlfn.TEXTJOIN(" + ",TRUE(),IF(COUNTIFS($E$5:$E$1000,E664,$C$5:$C$1000,"Auditoría Interna")&gt;0,"Interna",""),IF(COUNTIFS($E$5:$E$1000,E664,$C$5:$C$1000,"Auditoría Externa")&gt;0,"Externa",""),IF(COUNTIFS($E$5:$E$1000,E664,$C$5:$C$1000,"SSF")&gt;0,"SSF",""),IF(COUNTIFS($E$5:$E$1000,E664,$C$5:$C$1000,"Comité de Supervisión")&gt;0,"Comité Sup.",""),IF(COUNTIFS($E$5:$E$1000,E664,$C$5:$C$1000,"Consejo de Administración")&gt;0,"Consejo",""),IF(COUNTIFS($E$5:$E$1000,E664,$C$5:$C$1000,"Otros")&gt;0,"Otros","")))</f>
        <v/>
      </c>
      <c r="X664" s="24" t="str">
        <f aca="false">IF(E664="","",COUNTIFS($E$5:$E$1000,E664,$AB$5:$AB$1000,AB664,$C$5:$C$1000,"&lt;&gt;"&amp;C664))</f>
        <v/>
      </c>
      <c r="Y664" s="33"/>
      <c r="Z664" s="31"/>
      <c r="AA664" s="33"/>
      <c r="AB664" s="37" t="str">
        <f aca="false">IF(B664="","",YEAR(B664)*100+MONTH(B664))</f>
        <v/>
      </c>
      <c r="AC664" s="37" t="str">
        <f aca="false">IF(AND(E664&lt;&gt;"",E664=Cruce!$C$5),COUNTIF($E$5:E664,E664),"")</f>
        <v/>
      </c>
      <c r="AD664" s="37" t="str">
        <f aca="false">IF(E664="","",C664&amp;"|"&amp;Y664&amp;"|"&amp;IF(B664="","s/f",TEXT(B664,"yyyymmdd")))</f>
        <v/>
      </c>
      <c r="AE664" s="37" t="n">
        <f aca="false">IF(E664="",0,IF(COUNTIFS($E$5:E664,E664,$AD$5:AD664,AD664)=1,1,0))</f>
        <v>0</v>
      </c>
    </row>
    <row r="665" customFormat="false" ht="15" hidden="false" customHeight="true" outlineLevel="0" collapsed="false">
      <c r="A665" s="31"/>
      <c r="B665" s="30"/>
      <c r="C665" s="31"/>
      <c r="D665" s="31"/>
      <c r="E665" s="32"/>
      <c r="F665" s="32"/>
      <c r="G665" s="33"/>
      <c r="H665" s="31"/>
      <c r="I665" s="24" t="str">
        <f aca="false">IF(B665="","",YEAR(B665))</f>
        <v/>
      </c>
      <c r="J665" s="34" t="str">
        <f aca="false">IF(B665="","",IF(MONTH(B665)=1,"X",""))</f>
        <v/>
      </c>
      <c r="K665" s="34" t="str">
        <f aca="false">IF(B665="","",IF(MONTH(B665)=2,"X",""))</f>
        <v/>
      </c>
      <c r="L665" s="34" t="str">
        <f aca="false">IF(B665="","",IF(MONTH(B665)=3,"X",""))</f>
        <v/>
      </c>
      <c r="M665" s="34" t="str">
        <f aca="false">IF(B665="","",IF(MONTH(B665)=4,"X",""))</f>
        <v/>
      </c>
      <c r="N665" s="34" t="str">
        <f aca="false">IF(B665="","",IF(MONTH(B665)=5,"X",""))</f>
        <v/>
      </c>
      <c r="O665" s="34" t="str">
        <f aca="false">IF(B665="","",IF(MONTH(B665)=6,"X",""))</f>
        <v/>
      </c>
      <c r="P665" s="34" t="str">
        <f aca="false">IF(B665="","",IF(MONTH(B665)=7,"X",""))</f>
        <v/>
      </c>
      <c r="Q665" s="34" t="str">
        <f aca="false">IF(B665="","",IF(MONTH(B665)=8,"X",""))</f>
        <v/>
      </c>
      <c r="R665" s="34" t="str">
        <f aca="false">IF(B665="","",IF(MONTH(B665)=9,"X",""))</f>
        <v/>
      </c>
      <c r="S665" s="34" t="str">
        <f aca="false">IF(B665="","",IF(MONTH(B665)=10,"X",""))</f>
        <v/>
      </c>
      <c r="T665" s="34" t="str">
        <f aca="false">IF(B665="","",IF(MONTH(B665)=11,"X",""))</f>
        <v/>
      </c>
      <c r="U665" s="34" t="str">
        <f aca="false">IF(B665="","",IF(MONTH(B665)=12,"X",""))</f>
        <v/>
      </c>
      <c r="V665" s="24" t="str">
        <f aca="false">IF(E665="","",COUNTIF($E$5:$E$1000,E665))</f>
        <v/>
      </c>
      <c r="W665" s="35" t="str">
        <f aca="false">IF(E665="","",_xlfn.TEXTJOIN(" + ",TRUE(),IF(COUNTIFS($E$5:$E$1000,E665,$C$5:$C$1000,"Auditoría Interna")&gt;0,"Interna",""),IF(COUNTIFS($E$5:$E$1000,E665,$C$5:$C$1000,"Auditoría Externa")&gt;0,"Externa",""),IF(COUNTIFS($E$5:$E$1000,E665,$C$5:$C$1000,"SSF")&gt;0,"SSF",""),IF(COUNTIFS($E$5:$E$1000,E665,$C$5:$C$1000,"Comité de Supervisión")&gt;0,"Comité Sup.",""),IF(COUNTIFS($E$5:$E$1000,E665,$C$5:$C$1000,"Consejo de Administración")&gt;0,"Consejo",""),IF(COUNTIFS($E$5:$E$1000,E665,$C$5:$C$1000,"Otros")&gt;0,"Otros","")))</f>
        <v/>
      </c>
      <c r="X665" s="24" t="str">
        <f aca="false">IF(E665="","",COUNTIFS($E$5:$E$1000,E665,$AB$5:$AB$1000,AB665,$C$5:$C$1000,"&lt;&gt;"&amp;C665))</f>
        <v/>
      </c>
      <c r="Y665" s="33"/>
      <c r="Z665" s="31"/>
      <c r="AA665" s="33"/>
      <c r="AB665" s="37" t="str">
        <f aca="false">IF(B665="","",YEAR(B665)*100+MONTH(B665))</f>
        <v/>
      </c>
      <c r="AC665" s="37" t="str">
        <f aca="false">IF(AND(E665&lt;&gt;"",E665=Cruce!$C$5),COUNTIF($E$5:E665,E665),"")</f>
        <v/>
      </c>
      <c r="AD665" s="37" t="str">
        <f aca="false">IF(E665="","",C665&amp;"|"&amp;Y665&amp;"|"&amp;IF(B665="","s/f",TEXT(B665,"yyyymmdd")))</f>
        <v/>
      </c>
      <c r="AE665" s="37" t="n">
        <f aca="false">IF(E665="",0,IF(COUNTIFS($E$5:E665,E665,$AD$5:AD665,AD665)=1,1,0))</f>
        <v>0</v>
      </c>
    </row>
    <row r="666" customFormat="false" ht="15" hidden="false" customHeight="true" outlineLevel="0" collapsed="false">
      <c r="A666" s="31"/>
      <c r="B666" s="30"/>
      <c r="C666" s="31"/>
      <c r="D666" s="31"/>
      <c r="E666" s="32"/>
      <c r="F666" s="32"/>
      <c r="G666" s="33"/>
      <c r="H666" s="31"/>
      <c r="I666" s="24" t="str">
        <f aca="false">IF(B666="","",YEAR(B666))</f>
        <v/>
      </c>
      <c r="J666" s="34" t="str">
        <f aca="false">IF(B666="","",IF(MONTH(B666)=1,"X",""))</f>
        <v/>
      </c>
      <c r="K666" s="34" t="str">
        <f aca="false">IF(B666="","",IF(MONTH(B666)=2,"X",""))</f>
        <v/>
      </c>
      <c r="L666" s="34" t="str">
        <f aca="false">IF(B666="","",IF(MONTH(B666)=3,"X",""))</f>
        <v/>
      </c>
      <c r="M666" s="34" t="str">
        <f aca="false">IF(B666="","",IF(MONTH(B666)=4,"X",""))</f>
        <v/>
      </c>
      <c r="N666" s="34" t="str">
        <f aca="false">IF(B666="","",IF(MONTH(B666)=5,"X",""))</f>
        <v/>
      </c>
      <c r="O666" s="34" t="str">
        <f aca="false">IF(B666="","",IF(MONTH(B666)=6,"X",""))</f>
        <v/>
      </c>
      <c r="P666" s="34" t="str">
        <f aca="false">IF(B666="","",IF(MONTH(B666)=7,"X",""))</f>
        <v/>
      </c>
      <c r="Q666" s="34" t="str">
        <f aca="false">IF(B666="","",IF(MONTH(B666)=8,"X",""))</f>
        <v/>
      </c>
      <c r="R666" s="34" t="str">
        <f aca="false">IF(B666="","",IF(MONTH(B666)=9,"X",""))</f>
        <v/>
      </c>
      <c r="S666" s="34" t="str">
        <f aca="false">IF(B666="","",IF(MONTH(B666)=10,"X",""))</f>
        <v/>
      </c>
      <c r="T666" s="34" t="str">
        <f aca="false">IF(B666="","",IF(MONTH(B666)=11,"X",""))</f>
        <v/>
      </c>
      <c r="U666" s="34" t="str">
        <f aca="false">IF(B666="","",IF(MONTH(B666)=12,"X",""))</f>
        <v/>
      </c>
      <c r="V666" s="24" t="str">
        <f aca="false">IF(E666="","",COUNTIF($E$5:$E$1000,E666))</f>
        <v/>
      </c>
      <c r="W666" s="35" t="str">
        <f aca="false">IF(E666="","",_xlfn.TEXTJOIN(" + ",TRUE(),IF(COUNTIFS($E$5:$E$1000,E666,$C$5:$C$1000,"Auditoría Interna")&gt;0,"Interna",""),IF(COUNTIFS($E$5:$E$1000,E666,$C$5:$C$1000,"Auditoría Externa")&gt;0,"Externa",""),IF(COUNTIFS($E$5:$E$1000,E666,$C$5:$C$1000,"SSF")&gt;0,"SSF",""),IF(COUNTIFS($E$5:$E$1000,E666,$C$5:$C$1000,"Comité de Supervisión")&gt;0,"Comité Sup.",""),IF(COUNTIFS($E$5:$E$1000,E666,$C$5:$C$1000,"Consejo de Administración")&gt;0,"Consejo",""),IF(COUNTIFS($E$5:$E$1000,E666,$C$5:$C$1000,"Otros")&gt;0,"Otros","")))</f>
        <v/>
      </c>
      <c r="X666" s="24" t="str">
        <f aca="false">IF(E666="","",COUNTIFS($E$5:$E$1000,E666,$AB$5:$AB$1000,AB666,$C$5:$C$1000,"&lt;&gt;"&amp;C666))</f>
        <v/>
      </c>
      <c r="Y666" s="33"/>
      <c r="Z666" s="31"/>
      <c r="AA666" s="33"/>
      <c r="AB666" s="37" t="str">
        <f aca="false">IF(B666="","",YEAR(B666)*100+MONTH(B666))</f>
        <v/>
      </c>
      <c r="AC666" s="37" t="str">
        <f aca="false">IF(AND(E666&lt;&gt;"",E666=Cruce!$C$5),COUNTIF($E$5:E666,E666),"")</f>
        <v/>
      </c>
      <c r="AD666" s="37" t="str">
        <f aca="false">IF(E666="","",C666&amp;"|"&amp;Y666&amp;"|"&amp;IF(B666="","s/f",TEXT(B666,"yyyymmdd")))</f>
        <v/>
      </c>
      <c r="AE666" s="37" t="n">
        <f aca="false">IF(E666="",0,IF(COUNTIFS($E$5:E666,E666,$AD$5:AD666,AD666)=1,1,0))</f>
        <v>0</v>
      </c>
    </row>
    <row r="667" customFormat="false" ht="15" hidden="false" customHeight="true" outlineLevel="0" collapsed="false">
      <c r="A667" s="31"/>
      <c r="B667" s="30"/>
      <c r="C667" s="31"/>
      <c r="D667" s="31"/>
      <c r="E667" s="32"/>
      <c r="F667" s="32"/>
      <c r="G667" s="33"/>
      <c r="H667" s="31"/>
      <c r="I667" s="24" t="str">
        <f aca="false">IF(B667="","",YEAR(B667))</f>
        <v/>
      </c>
      <c r="J667" s="34" t="str">
        <f aca="false">IF(B667="","",IF(MONTH(B667)=1,"X",""))</f>
        <v/>
      </c>
      <c r="K667" s="34" t="str">
        <f aca="false">IF(B667="","",IF(MONTH(B667)=2,"X",""))</f>
        <v/>
      </c>
      <c r="L667" s="34" t="str">
        <f aca="false">IF(B667="","",IF(MONTH(B667)=3,"X",""))</f>
        <v/>
      </c>
      <c r="M667" s="34" t="str">
        <f aca="false">IF(B667="","",IF(MONTH(B667)=4,"X",""))</f>
        <v/>
      </c>
      <c r="N667" s="34" t="str">
        <f aca="false">IF(B667="","",IF(MONTH(B667)=5,"X",""))</f>
        <v/>
      </c>
      <c r="O667" s="34" t="str">
        <f aca="false">IF(B667="","",IF(MONTH(B667)=6,"X",""))</f>
        <v/>
      </c>
      <c r="P667" s="34" t="str">
        <f aca="false">IF(B667="","",IF(MONTH(B667)=7,"X",""))</f>
        <v/>
      </c>
      <c r="Q667" s="34" t="str">
        <f aca="false">IF(B667="","",IF(MONTH(B667)=8,"X",""))</f>
        <v/>
      </c>
      <c r="R667" s="34" t="str">
        <f aca="false">IF(B667="","",IF(MONTH(B667)=9,"X",""))</f>
        <v/>
      </c>
      <c r="S667" s="34" t="str">
        <f aca="false">IF(B667="","",IF(MONTH(B667)=10,"X",""))</f>
        <v/>
      </c>
      <c r="T667" s="34" t="str">
        <f aca="false">IF(B667="","",IF(MONTH(B667)=11,"X",""))</f>
        <v/>
      </c>
      <c r="U667" s="34" t="str">
        <f aca="false">IF(B667="","",IF(MONTH(B667)=12,"X",""))</f>
        <v/>
      </c>
      <c r="V667" s="24" t="str">
        <f aca="false">IF(E667="","",COUNTIF($E$5:$E$1000,E667))</f>
        <v/>
      </c>
      <c r="W667" s="35" t="str">
        <f aca="false">IF(E667="","",_xlfn.TEXTJOIN(" + ",TRUE(),IF(COUNTIFS($E$5:$E$1000,E667,$C$5:$C$1000,"Auditoría Interna")&gt;0,"Interna",""),IF(COUNTIFS($E$5:$E$1000,E667,$C$5:$C$1000,"Auditoría Externa")&gt;0,"Externa",""),IF(COUNTIFS($E$5:$E$1000,E667,$C$5:$C$1000,"SSF")&gt;0,"SSF",""),IF(COUNTIFS($E$5:$E$1000,E667,$C$5:$C$1000,"Comité de Supervisión")&gt;0,"Comité Sup.",""),IF(COUNTIFS($E$5:$E$1000,E667,$C$5:$C$1000,"Consejo de Administración")&gt;0,"Consejo",""),IF(COUNTIFS($E$5:$E$1000,E667,$C$5:$C$1000,"Otros")&gt;0,"Otros","")))</f>
        <v/>
      </c>
      <c r="X667" s="24" t="str">
        <f aca="false">IF(E667="","",COUNTIFS($E$5:$E$1000,E667,$AB$5:$AB$1000,AB667,$C$5:$C$1000,"&lt;&gt;"&amp;C667))</f>
        <v/>
      </c>
      <c r="Y667" s="33"/>
      <c r="Z667" s="31"/>
      <c r="AA667" s="33"/>
      <c r="AB667" s="37" t="str">
        <f aca="false">IF(B667="","",YEAR(B667)*100+MONTH(B667))</f>
        <v/>
      </c>
      <c r="AC667" s="37" t="str">
        <f aca="false">IF(AND(E667&lt;&gt;"",E667=Cruce!$C$5),COUNTIF($E$5:E667,E667),"")</f>
        <v/>
      </c>
      <c r="AD667" s="37" t="str">
        <f aca="false">IF(E667="","",C667&amp;"|"&amp;Y667&amp;"|"&amp;IF(B667="","s/f",TEXT(B667,"yyyymmdd")))</f>
        <v/>
      </c>
      <c r="AE667" s="37" t="n">
        <f aca="false">IF(E667="",0,IF(COUNTIFS($E$5:E667,E667,$AD$5:AD667,AD667)=1,1,0))</f>
        <v>0</v>
      </c>
    </row>
    <row r="668" customFormat="false" ht="15" hidden="false" customHeight="true" outlineLevel="0" collapsed="false">
      <c r="A668" s="31"/>
      <c r="B668" s="30"/>
      <c r="C668" s="31"/>
      <c r="D668" s="31"/>
      <c r="E668" s="32"/>
      <c r="F668" s="32"/>
      <c r="G668" s="33"/>
      <c r="H668" s="31"/>
      <c r="I668" s="24" t="str">
        <f aca="false">IF(B668="","",YEAR(B668))</f>
        <v/>
      </c>
      <c r="J668" s="34" t="str">
        <f aca="false">IF(B668="","",IF(MONTH(B668)=1,"X",""))</f>
        <v/>
      </c>
      <c r="K668" s="34" t="str">
        <f aca="false">IF(B668="","",IF(MONTH(B668)=2,"X",""))</f>
        <v/>
      </c>
      <c r="L668" s="34" t="str">
        <f aca="false">IF(B668="","",IF(MONTH(B668)=3,"X",""))</f>
        <v/>
      </c>
      <c r="M668" s="34" t="str">
        <f aca="false">IF(B668="","",IF(MONTH(B668)=4,"X",""))</f>
        <v/>
      </c>
      <c r="N668" s="34" t="str">
        <f aca="false">IF(B668="","",IF(MONTH(B668)=5,"X",""))</f>
        <v/>
      </c>
      <c r="O668" s="34" t="str">
        <f aca="false">IF(B668="","",IF(MONTH(B668)=6,"X",""))</f>
        <v/>
      </c>
      <c r="P668" s="34" t="str">
        <f aca="false">IF(B668="","",IF(MONTH(B668)=7,"X",""))</f>
        <v/>
      </c>
      <c r="Q668" s="34" t="str">
        <f aca="false">IF(B668="","",IF(MONTH(B668)=8,"X",""))</f>
        <v/>
      </c>
      <c r="R668" s="34" t="str">
        <f aca="false">IF(B668="","",IF(MONTH(B668)=9,"X",""))</f>
        <v/>
      </c>
      <c r="S668" s="34" t="str">
        <f aca="false">IF(B668="","",IF(MONTH(B668)=10,"X",""))</f>
        <v/>
      </c>
      <c r="T668" s="34" t="str">
        <f aca="false">IF(B668="","",IF(MONTH(B668)=11,"X",""))</f>
        <v/>
      </c>
      <c r="U668" s="34" t="str">
        <f aca="false">IF(B668="","",IF(MONTH(B668)=12,"X",""))</f>
        <v/>
      </c>
      <c r="V668" s="24" t="str">
        <f aca="false">IF(E668="","",COUNTIF($E$5:$E$1000,E668))</f>
        <v/>
      </c>
      <c r="W668" s="35" t="str">
        <f aca="false">IF(E668="","",_xlfn.TEXTJOIN(" + ",TRUE(),IF(COUNTIFS($E$5:$E$1000,E668,$C$5:$C$1000,"Auditoría Interna")&gt;0,"Interna",""),IF(COUNTIFS($E$5:$E$1000,E668,$C$5:$C$1000,"Auditoría Externa")&gt;0,"Externa",""),IF(COUNTIFS($E$5:$E$1000,E668,$C$5:$C$1000,"SSF")&gt;0,"SSF",""),IF(COUNTIFS($E$5:$E$1000,E668,$C$5:$C$1000,"Comité de Supervisión")&gt;0,"Comité Sup.",""),IF(COUNTIFS($E$5:$E$1000,E668,$C$5:$C$1000,"Consejo de Administración")&gt;0,"Consejo",""),IF(COUNTIFS($E$5:$E$1000,E668,$C$5:$C$1000,"Otros")&gt;0,"Otros","")))</f>
        <v/>
      </c>
      <c r="X668" s="24" t="str">
        <f aca="false">IF(E668="","",COUNTIFS($E$5:$E$1000,E668,$AB$5:$AB$1000,AB668,$C$5:$C$1000,"&lt;&gt;"&amp;C668))</f>
        <v/>
      </c>
      <c r="Y668" s="33"/>
      <c r="Z668" s="31"/>
      <c r="AA668" s="33"/>
      <c r="AB668" s="37" t="str">
        <f aca="false">IF(B668="","",YEAR(B668)*100+MONTH(B668))</f>
        <v/>
      </c>
      <c r="AC668" s="37" t="str">
        <f aca="false">IF(AND(E668&lt;&gt;"",E668=Cruce!$C$5),COUNTIF($E$5:E668,E668),"")</f>
        <v/>
      </c>
      <c r="AD668" s="37" t="str">
        <f aca="false">IF(E668="","",C668&amp;"|"&amp;Y668&amp;"|"&amp;IF(B668="","s/f",TEXT(B668,"yyyymmdd")))</f>
        <v/>
      </c>
      <c r="AE668" s="37" t="n">
        <f aca="false">IF(E668="",0,IF(COUNTIFS($E$5:E668,E668,$AD$5:AD668,AD668)=1,1,0))</f>
        <v>0</v>
      </c>
    </row>
    <row r="669" customFormat="false" ht="15" hidden="false" customHeight="true" outlineLevel="0" collapsed="false">
      <c r="A669" s="31"/>
      <c r="B669" s="30"/>
      <c r="C669" s="31"/>
      <c r="D669" s="31"/>
      <c r="E669" s="32"/>
      <c r="F669" s="32"/>
      <c r="G669" s="33"/>
      <c r="H669" s="31"/>
      <c r="I669" s="24" t="str">
        <f aca="false">IF(B669="","",YEAR(B669))</f>
        <v/>
      </c>
      <c r="J669" s="34" t="str">
        <f aca="false">IF(B669="","",IF(MONTH(B669)=1,"X",""))</f>
        <v/>
      </c>
      <c r="K669" s="34" t="str">
        <f aca="false">IF(B669="","",IF(MONTH(B669)=2,"X",""))</f>
        <v/>
      </c>
      <c r="L669" s="34" t="str">
        <f aca="false">IF(B669="","",IF(MONTH(B669)=3,"X",""))</f>
        <v/>
      </c>
      <c r="M669" s="34" t="str">
        <f aca="false">IF(B669="","",IF(MONTH(B669)=4,"X",""))</f>
        <v/>
      </c>
      <c r="N669" s="34" t="str">
        <f aca="false">IF(B669="","",IF(MONTH(B669)=5,"X",""))</f>
        <v/>
      </c>
      <c r="O669" s="34" t="str">
        <f aca="false">IF(B669="","",IF(MONTH(B669)=6,"X",""))</f>
        <v/>
      </c>
      <c r="P669" s="34" t="str">
        <f aca="false">IF(B669="","",IF(MONTH(B669)=7,"X",""))</f>
        <v/>
      </c>
      <c r="Q669" s="34" t="str">
        <f aca="false">IF(B669="","",IF(MONTH(B669)=8,"X",""))</f>
        <v/>
      </c>
      <c r="R669" s="34" t="str">
        <f aca="false">IF(B669="","",IF(MONTH(B669)=9,"X",""))</f>
        <v/>
      </c>
      <c r="S669" s="34" t="str">
        <f aca="false">IF(B669="","",IF(MONTH(B669)=10,"X",""))</f>
        <v/>
      </c>
      <c r="T669" s="34" t="str">
        <f aca="false">IF(B669="","",IF(MONTH(B669)=11,"X",""))</f>
        <v/>
      </c>
      <c r="U669" s="34" t="str">
        <f aca="false">IF(B669="","",IF(MONTH(B669)=12,"X",""))</f>
        <v/>
      </c>
      <c r="V669" s="24" t="str">
        <f aca="false">IF(E669="","",COUNTIF($E$5:$E$1000,E669))</f>
        <v/>
      </c>
      <c r="W669" s="35" t="str">
        <f aca="false">IF(E669="","",_xlfn.TEXTJOIN(" + ",TRUE(),IF(COUNTIFS($E$5:$E$1000,E669,$C$5:$C$1000,"Auditoría Interna")&gt;0,"Interna",""),IF(COUNTIFS($E$5:$E$1000,E669,$C$5:$C$1000,"Auditoría Externa")&gt;0,"Externa",""),IF(COUNTIFS($E$5:$E$1000,E669,$C$5:$C$1000,"SSF")&gt;0,"SSF",""),IF(COUNTIFS($E$5:$E$1000,E669,$C$5:$C$1000,"Comité de Supervisión")&gt;0,"Comité Sup.",""),IF(COUNTIFS($E$5:$E$1000,E669,$C$5:$C$1000,"Consejo de Administración")&gt;0,"Consejo",""),IF(COUNTIFS($E$5:$E$1000,E669,$C$5:$C$1000,"Otros")&gt;0,"Otros","")))</f>
        <v/>
      </c>
      <c r="X669" s="24" t="str">
        <f aca="false">IF(E669="","",COUNTIFS($E$5:$E$1000,E669,$AB$5:$AB$1000,AB669,$C$5:$C$1000,"&lt;&gt;"&amp;C669))</f>
        <v/>
      </c>
      <c r="Y669" s="33"/>
      <c r="Z669" s="31"/>
      <c r="AA669" s="33"/>
      <c r="AB669" s="37" t="str">
        <f aca="false">IF(B669="","",YEAR(B669)*100+MONTH(B669))</f>
        <v/>
      </c>
      <c r="AC669" s="37" t="str">
        <f aca="false">IF(AND(E669&lt;&gt;"",E669=Cruce!$C$5),COUNTIF($E$5:E669,E669),"")</f>
        <v/>
      </c>
      <c r="AD669" s="37" t="str">
        <f aca="false">IF(E669="","",C669&amp;"|"&amp;Y669&amp;"|"&amp;IF(B669="","s/f",TEXT(B669,"yyyymmdd")))</f>
        <v/>
      </c>
      <c r="AE669" s="37" t="n">
        <f aca="false">IF(E669="",0,IF(COUNTIFS($E$5:E669,E669,$AD$5:AD669,AD669)=1,1,0))</f>
        <v>0</v>
      </c>
    </row>
    <row r="670" customFormat="false" ht="15" hidden="false" customHeight="true" outlineLevel="0" collapsed="false">
      <c r="A670" s="31"/>
      <c r="B670" s="30"/>
      <c r="C670" s="31"/>
      <c r="D670" s="31"/>
      <c r="E670" s="32"/>
      <c r="F670" s="32"/>
      <c r="G670" s="33"/>
      <c r="H670" s="31"/>
      <c r="I670" s="24" t="str">
        <f aca="false">IF(B670="","",YEAR(B670))</f>
        <v/>
      </c>
      <c r="J670" s="34" t="str">
        <f aca="false">IF(B670="","",IF(MONTH(B670)=1,"X",""))</f>
        <v/>
      </c>
      <c r="K670" s="34" t="str">
        <f aca="false">IF(B670="","",IF(MONTH(B670)=2,"X",""))</f>
        <v/>
      </c>
      <c r="L670" s="34" t="str">
        <f aca="false">IF(B670="","",IF(MONTH(B670)=3,"X",""))</f>
        <v/>
      </c>
      <c r="M670" s="34" t="str">
        <f aca="false">IF(B670="","",IF(MONTH(B670)=4,"X",""))</f>
        <v/>
      </c>
      <c r="N670" s="34" t="str">
        <f aca="false">IF(B670="","",IF(MONTH(B670)=5,"X",""))</f>
        <v/>
      </c>
      <c r="O670" s="34" t="str">
        <f aca="false">IF(B670="","",IF(MONTH(B670)=6,"X",""))</f>
        <v/>
      </c>
      <c r="P670" s="34" t="str">
        <f aca="false">IF(B670="","",IF(MONTH(B670)=7,"X",""))</f>
        <v/>
      </c>
      <c r="Q670" s="34" t="str">
        <f aca="false">IF(B670="","",IF(MONTH(B670)=8,"X",""))</f>
        <v/>
      </c>
      <c r="R670" s="34" t="str">
        <f aca="false">IF(B670="","",IF(MONTH(B670)=9,"X",""))</f>
        <v/>
      </c>
      <c r="S670" s="34" t="str">
        <f aca="false">IF(B670="","",IF(MONTH(B670)=10,"X",""))</f>
        <v/>
      </c>
      <c r="T670" s="34" t="str">
        <f aca="false">IF(B670="","",IF(MONTH(B670)=11,"X",""))</f>
        <v/>
      </c>
      <c r="U670" s="34" t="str">
        <f aca="false">IF(B670="","",IF(MONTH(B670)=12,"X",""))</f>
        <v/>
      </c>
      <c r="V670" s="24" t="str">
        <f aca="false">IF(E670="","",COUNTIF($E$5:$E$1000,E670))</f>
        <v/>
      </c>
      <c r="W670" s="35" t="str">
        <f aca="false">IF(E670="","",_xlfn.TEXTJOIN(" + ",TRUE(),IF(COUNTIFS($E$5:$E$1000,E670,$C$5:$C$1000,"Auditoría Interna")&gt;0,"Interna",""),IF(COUNTIFS($E$5:$E$1000,E670,$C$5:$C$1000,"Auditoría Externa")&gt;0,"Externa",""),IF(COUNTIFS($E$5:$E$1000,E670,$C$5:$C$1000,"SSF")&gt;0,"SSF",""),IF(COUNTIFS($E$5:$E$1000,E670,$C$5:$C$1000,"Comité de Supervisión")&gt;0,"Comité Sup.",""),IF(COUNTIFS($E$5:$E$1000,E670,$C$5:$C$1000,"Consejo de Administración")&gt;0,"Consejo",""),IF(COUNTIFS($E$5:$E$1000,E670,$C$5:$C$1000,"Otros")&gt;0,"Otros","")))</f>
        <v/>
      </c>
      <c r="X670" s="24" t="str">
        <f aca="false">IF(E670="","",COUNTIFS($E$5:$E$1000,E670,$AB$5:$AB$1000,AB670,$C$5:$C$1000,"&lt;&gt;"&amp;C670))</f>
        <v/>
      </c>
      <c r="Y670" s="33"/>
      <c r="Z670" s="31"/>
      <c r="AA670" s="33"/>
      <c r="AB670" s="37" t="str">
        <f aca="false">IF(B670="","",YEAR(B670)*100+MONTH(B670))</f>
        <v/>
      </c>
      <c r="AC670" s="37" t="str">
        <f aca="false">IF(AND(E670&lt;&gt;"",E670=Cruce!$C$5),COUNTIF($E$5:E670,E670),"")</f>
        <v/>
      </c>
      <c r="AD670" s="37" t="str">
        <f aca="false">IF(E670="","",C670&amp;"|"&amp;Y670&amp;"|"&amp;IF(B670="","s/f",TEXT(B670,"yyyymmdd")))</f>
        <v/>
      </c>
      <c r="AE670" s="37" t="n">
        <f aca="false">IF(E670="",0,IF(COUNTIFS($E$5:E670,E670,$AD$5:AD670,AD670)=1,1,0))</f>
        <v>0</v>
      </c>
    </row>
    <row r="671" customFormat="false" ht="15" hidden="false" customHeight="true" outlineLevel="0" collapsed="false">
      <c r="A671" s="31"/>
      <c r="B671" s="30"/>
      <c r="C671" s="31"/>
      <c r="D671" s="31"/>
      <c r="E671" s="32"/>
      <c r="F671" s="32"/>
      <c r="G671" s="33"/>
      <c r="H671" s="31"/>
      <c r="I671" s="24" t="str">
        <f aca="false">IF(B671="","",YEAR(B671))</f>
        <v/>
      </c>
      <c r="J671" s="34" t="str">
        <f aca="false">IF(B671="","",IF(MONTH(B671)=1,"X",""))</f>
        <v/>
      </c>
      <c r="K671" s="34" t="str">
        <f aca="false">IF(B671="","",IF(MONTH(B671)=2,"X",""))</f>
        <v/>
      </c>
      <c r="L671" s="34" t="str">
        <f aca="false">IF(B671="","",IF(MONTH(B671)=3,"X",""))</f>
        <v/>
      </c>
      <c r="M671" s="34" t="str">
        <f aca="false">IF(B671="","",IF(MONTH(B671)=4,"X",""))</f>
        <v/>
      </c>
      <c r="N671" s="34" t="str">
        <f aca="false">IF(B671="","",IF(MONTH(B671)=5,"X",""))</f>
        <v/>
      </c>
      <c r="O671" s="34" t="str">
        <f aca="false">IF(B671="","",IF(MONTH(B671)=6,"X",""))</f>
        <v/>
      </c>
      <c r="P671" s="34" t="str">
        <f aca="false">IF(B671="","",IF(MONTH(B671)=7,"X",""))</f>
        <v/>
      </c>
      <c r="Q671" s="34" t="str">
        <f aca="false">IF(B671="","",IF(MONTH(B671)=8,"X",""))</f>
        <v/>
      </c>
      <c r="R671" s="34" t="str">
        <f aca="false">IF(B671="","",IF(MONTH(B671)=9,"X",""))</f>
        <v/>
      </c>
      <c r="S671" s="34" t="str">
        <f aca="false">IF(B671="","",IF(MONTH(B671)=10,"X",""))</f>
        <v/>
      </c>
      <c r="T671" s="34" t="str">
        <f aca="false">IF(B671="","",IF(MONTH(B671)=11,"X",""))</f>
        <v/>
      </c>
      <c r="U671" s="34" t="str">
        <f aca="false">IF(B671="","",IF(MONTH(B671)=12,"X",""))</f>
        <v/>
      </c>
      <c r="V671" s="24" t="str">
        <f aca="false">IF(E671="","",COUNTIF($E$5:$E$1000,E671))</f>
        <v/>
      </c>
      <c r="W671" s="35" t="str">
        <f aca="false">IF(E671="","",_xlfn.TEXTJOIN(" + ",TRUE(),IF(COUNTIFS($E$5:$E$1000,E671,$C$5:$C$1000,"Auditoría Interna")&gt;0,"Interna",""),IF(COUNTIFS($E$5:$E$1000,E671,$C$5:$C$1000,"Auditoría Externa")&gt;0,"Externa",""),IF(COUNTIFS($E$5:$E$1000,E671,$C$5:$C$1000,"SSF")&gt;0,"SSF",""),IF(COUNTIFS($E$5:$E$1000,E671,$C$5:$C$1000,"Comité de Supervisión")&gt;0,"Comité Sup.",""),IF(COUNTIFS($E$5:$E$1000,E671,$C$5:$C$1000,"Consejo de Administración")&gt;0,"Consejo",""),IF(COUNTIFS($E$5:$E$1000,E671,$C$5:$C$1000,"Otros")&gt;0,"Otros","")))</f>
        <v/>
      </c>
      <c r="X671" s="24" t="str">
        <f aca="false">IF(E671="","",COUNTIFS($E$5:$E$1000,E671,$AB$5:$AB$1000,AB671,$C$5:$C$1000,"&lt;&gt;"&amp;C671))</f>
        <v/>
      </c>
      <c r="Y671" s="33"/>
      <c r="Z671" s="31"/>
      <c r="AA671" s="33"/>
      <c r="AB671" s="37" t="str">
        <f aca="false">IF(B671="","",YEAR(B671)*100+MONTH(B671))</f>
        <v/>
      </c>
      <c r="AC671" s="37" t="str">
        <f aca="false">IF(AND(E671&lt;&gt;"",E671=Cruce!$C$5),COUNTIF($E$5:E671,E671),"")</f>
        <v/>
      </c>
      <c r="AD671" s="37" t="str">
        <f aca="false">IF(E671="","",C671&amp;"|"&amp;Y671&amp;"|"&amp;IF(B671="","s/f",TEXT(B671,"yyyymmdd")))</f>
        <v/>
      </c>
      <c r="AE671" s="37" t="n">
        <f aca="false">IF(E671="",0,IF(COUNTIFS($E$5:E671,E671,$AD$5:AD671,AD671)=1,1,0))</f>
        <v>0</v>
      </c>
    </row>
    <row r="672" customFormat="false" ht="15" hidden="false" customHeight="true" outlineLevel="0" collapsed="false">
      <c r="A672" s="31"/>
      <c r="B672" s="30"/>
      <c r="C672" s="31"/>
      <c r="D672" s="31"/>
      <c r="E672" s="32"/>
      <c r="F672" s="32"/>
      <c r="G672" s="33"/>
      <c r="H672" s="31"/>
      <c r="I672" s="24" t="str">
        <f aca="false">IF(B672="","",YEAR(B672))</f>
        <v/>
      </c>
      <c r="J672" s="34" t="str">
        <f aca="false">IF(B672="","",IF(MONTH(B672)=1,"X",""))</f>
        <v/>
      </c>
      <c r="K672" s="34" t="str">
        <f aca="false">IF(B672="","",IF(MONTH(B672)=2,"X",""))</f>
        <v/>
      </c>
      <c r="L672" s="34" t="str">
        <f aca="false">IF(B672="","",IF(MONTH(B672)=3,"X",""))</f>
        <v/>
      </c>
      <c r="M672" s="34" t="str">
        <f aca="false">IF(B672="","",IF(MONTH(B672)=4,"X",""))</f>
        <v/>
      </c>
      <c r="N672" s="34" t="str">
        <f aca="false">IF(B672="","",IF(MONTH(B672)=5,"X",""))</f>
        <v/>
      </c>
      <c r="O672" s="34" t="str">
        <f aca="false">IF(B672="","",IF(MONTH(B672)=6,"X",""))</f>
        <v/>
      </c>
      <c r="P672" s="34" t="str">
        <f aca="false">IF(B672="","",IF(MONTH(B672)=7,"X",""))</f>
        <v/>
      </c>
      <c r="Q672" s="34" t="str">
        <f aca="false">IF(B672="","",IF(MONTH(B672)=8,"X",""))</f>
        <v/>
      </c>
      <c r="R672" s="34" t="str">
        <f aca="false">IF(B672="","",IF(MONTH(B672)=9,"X",""))</f>
        <v/>
      </c>
      <c r="S672" s="34" t="str">
        <f aca="false">IF(B672="","",IF(MONTH(B672)=10,"X",""))</f>
        <v/>
      </c>
      <c r="T672" s="34" t="str">
        <f aca="false">IF(B672="","",IF(MONTH(B672)=11,"X",""))</f>
        <v/>
      </c>
      <c r="U672" s="34" t="str">
        <f aca="false">IF(B672="","",IF(MONTH(B672)=12,"X",""))</f>
        <v/>
      </c>
      <c r="V672" s="24" t="str">
        <f aca="false">IF(E672="","",COUNTIF($E$5:$E$1000,E672))</f>
        <v/>
      </c>
      <c r="W672" s="35" t="str">
        <f aca="false">IF(E672="","",_xlfn.TEXTJOIN(" + ",TRUE(),IF(COUNTIFS($E$5:$E$1000,E672,$C$5:$C$1000,"Auditoría Interna")&gt;0,"Interna",""),IF(COUNTIFS($E$5:$E$1000,E672,$C$5:$C$1000,"Auditoría Externa")&gt;0,"Externa",""),IF(COUNTIFS($E$5:$E$1000,E672,$C$5:$C$1000,"SSF")&gt;0,"SSF",""),IF(COUNTIFS($E$5:$E$1000,E672,$C$5:$C$1000,"Comité de Supervisión")&gt;0,"Comité Sup.",""),IF(COUNTIFS($E$5:$E$1000,E672,$C$5:$C$1000,"Consejo de Administración")&gt;0,"Consejo",""),IF(COUNTIFS($E$5:$E$1000,E672,$C$5:$C$1000,"Otros")&gt;0,"Otros","")))</f>
        <v/>
      </c>
      <c r="X672" s="24" t="str">
        <f aca="false">IF(E672="","",COUNTIFS($E$5:$E$1000,E672,$AB$5:$AB$1000,AB672,$C$5:$C$1000,"&lt;&gt;"&amp;C672))</f>
        <v/>
      </c>
      <c r="Y672" s="33"/>
      <c r="Z672" s="31"/>
      <c r="AA672" s="33"/>
      <c r="AB672" s="37" t="str">
        <f aca="false">IF(B672="","",YEAR(B672)*100+MONTH(B672))</f>
        <v/>
      </c>
      <c r="AC672" s="37" t="str">
        <f aca="false">IF(AND(E672&lt;&gt;"",E672=Cruce!$C$5),COUNTIF($E$5:E672,E672),"")</f>
        <v/>
      </c>
      <c r="AD672" s="37" t="str">
        <f aca="false">IF(E672="","",C672&amp;"|"&amp;Y672&amp;"|"&amp;IF(B672="","s/f",TEXT(B672,"yyyymmdd")))</f>
        <v/>
      </c>
      <c r="AE672" s="37" t="n">
        <f aca="false">IF(E672="",0,IF(COUNTIFS($E$5:E672,E672,$AD$5:AD672,AD672)=1,1,0))</f>
        <v>0</v>
      </c>
    </row>
    <row r="673" customFormat="false" ht="15" hidden="false" customHeight="true" outlineLevel="0" collapsed="false">
      <c r="A673" s="31"/>
      <c r="B673" s="30"/>
      <c r="C673" s="31"/>
      <c r="D673" s="31"/>
      <c r="E673" s="32"/>
      <c r="F673" s="32"/>
      <c r="G673" s="33"/>
      <c r="H673" s="31"/>
      <c r="I673" s="24" t="str">
        <f aca="false">IF(B673="","",YEAR(B673))</f>
        <v/>
      </c>
      <c r="J673" s="34" t="str">
        <f aca="false">IF(B673="","",IF(MONTH(B673)=1,"X",""))</f>
        <v/>
      </c>
      <c r="K673" s="34" t="str">
        <f aca="false">IF(B673="","",IF(MONTH(B673)=2,"X",""))</f>
        <v/>
      </c>
      <c r="L673" s="34" t="str">
        <f aca="false">IF(B673="","",IF(MONTH(B673)=3,"X",""))</f>
        <v/>
      </c>
      <c r="M673" s="34" t="str">
        <f aca="false">IF(B673="","",IF(MONTH(B673)=4,"X",""))</f>
        <v/>
      </c>
      <c r="N673" s="34" t="str">
        <f aca="false">IF(B673="","",IF(MONTH(B673)=5,"X",""))</f>
        <v/>
      </c>
      <c r="O673" s="34" t="str">
        <f aca="false">IF(B673="","",IF(MONTH(B673)=6,"X",""))</f>
        <v/>
      </c>
      <c r="P673" s="34" t="str">
        <f aca="false">IF(B673="","",IF(MONTH(B673)=7,"X",""))</f>
        <v/>
      </c>
      <c r="Q673" s="34" t="str">
        <f aca="false">IF(B673="","",IF(MONTH(B673)=8,"X",""))</f>
        <v/>
      </c>
      <c r="R673" s="34" t="str">
        <f aca="false">IF(B673="","",IF(MONTH(B673)=9,"X",""))</f>
        <v/>
      </c>
      <c r="S673" s="34" t="str">
        <f aca="false">IF(B673="","",IF(MONTH(B673)=10,"X",""))</f>
        <v/>
      </c>
      <c r="T673" s="34" t="str">
        <f aca="false">IF(B673="","",IF(MONTH(B673)=11,"X",""))</f>
        <v/>
      </c>
      <c r="U673" s="34" t="str">
        <f aca="false">IF(B673="","",IF(MONTH(B673)=12,"X",""))</f>
        <v/>
      </c>
      <c r="V673" s="24" t="str">
        <f aca="false">IF(E673="","",COUNTIF($E$5:$E$1000,E673))</f>
        <v/>
      </c>
      <c r="W673" s="35" t="str">
        <f aca="false">IF(E673="","",_xlfn.TEXTJOIN(" + ",TRUE(),IF(COUNTIFS($E$5:$E$1000,E673,$C$5:$C$1000,"Auditoría Interna")&gt;0,"Interna",""),IF(COUNTIFS($E$5:$E$1000,E673,$C$5:$C$1000,"Auditoría Externa")&gt;0,"Externa",""),IF(COUNTIFS($E$5:$E$1000,E673,$C$5:$C$1000,"SSF")&gt;0,"SSF",""),IF(COUNTIFS($E$5:$E$1000,E673,$C$5:$C$1000,"Comité de Supervisión")&gt;0,"Comité Sup.",""),IF(COUNTIFS($E$5:$E$1000,E673,$C$5:$C$1000,"Consejo de Administración")&gt;0,"Consejo",""),IF(COUNTIFS($E$5:$E$1000,E673,$C$5:$C$1000,"Otros")&gt;0,"Otros","")))</f>
        <v/>
      </c>
      <c r="X673" s="24" t="str">
        <f aca="false">IF(E673="","",COUNTIFS($E$5:$E$1000,E673,$AB$5:$AB$1000,AB673,$C$5:$C$1000,"&lt;&gt;"&amp;C673))</f>
        <v/>
      </c>
      <c r="Y673" s="33"/>
      <c r="Z673" s="31"/>
      <c r="AA673" s="33"/>
      <c r="AB673" s="37" t="str">
        <f aca="false">IF(B673="","",YEAR(B673)*100+MONTH(B673))</f>
        <v/>
      </c>
      <c r="AC673" s="37" t="str">
        <f aca="false">IF(AND(E673&lt;&gt;"",E673=Cruce!$C$5),COUNTIF($E$5:E673,E673),"")</f>
        <v/>
      </c>
      <c r="AD673" s="37" t="str">
        <f aca="false">IF(E673="","",C673&amp;"|"&amp;Y673&amp;"|"&amp;IF(B673="","s/f",TEXT(B673,"yyyymmdd")))</f>
        <v/>
      </c>
      <c r="AE673" s="37" t="n">
        <f aca="false">IF(E673="",0,IF(COUNTIFS($E$5:E673,E673,$AD$5:AD673,AD673)=1,1,0))</f>
        <v>0</v>
      </c>
    </row>
    <row r="674" customFormat="false" ht="15" hidden="false" customHeight="true" outlineLevel="0" collapsed="false">
      <c r="A674" s="31"/>
      <c r="B674" s="30"/>
      <c r="C674" s="31"/>
      <c r="D674" s="31"/>
      <c r="E674" s="32"/>
      <c r="F674" s="32"/>
      <c r="G674" s="33"/>
      <c r="H674" s="31"/>
      <c r="I674" s="24" t="str">
        <f aca="false">IF(B674="","",YEAR(B674))</f>
        <v/>
      </c>
      <c r="J674" s="34" t="str">
        <f aca="false">IF(B674="","",IF(MONTH(B674)=1,"X",""))</f>
        <v/>
      </c>
      <c r="K674" s="34" t="str">
        <f aca="false">IF(B674="","",IF(MONTH(B674)=2,"X",""))</f>
        <v/>
      </c>
      <c r="L674" s="34" t="str">
        <f aca="false">IF(B674="","",IF(MONTH(B674)=3,"X",""))</f>
        <v/>
      </c>
      <c r="M674" s="34" t="str">
        <f aca="false">IF(B674="","",IF(MONTH(B674)=4,"X",""))</f>
        <v/>
      </c>
      <c r="N674" s="34" t="str">
        <f aca="false">IF(B674="","",IF(MONTH(B674)=5,"X",""))</f>
        <v/>
      </c>
      <c r="O674" s="34" t="str">
        <f aca="false">IF(B674="","",IF(MONTH(B674)=6,"X",""))</f>
        <v/>
      </c>
      <c r="P674" s="34" t="str">
        <f aca="false">IF(B674="","",IF(MONTH(B674)=7,"X",""))</f>
        <v/>
      </c>
      <c r="Q674" s="34" t="str">
        <f aca="false">IF(B674="","",IF(MONTH(B674)=8,"X",""))</f>
        <v/>
      </c>
      <c r="R674" s="34" t="str">
        <f aca="false">IF(B674="","",IF(MONTH(B674)=9,"X",""))</f>
        <v/>
      </c>
      <c r="S674" s="34" t="str">
        <f aca="false">IF(B674="","",IF(MONTH(B674)=10,"X",""))</f>
        <v/>
      </c>
      <c r="T674" s="34" t="str">
        <f aca="false">IF(B674="","",IF(MONTH(B674)=11,"X",""))</f>
        <v/>
      </c>
      <c r="U674" s="34" t="str">
        <f aca="false">IF(B674="","",IF(MONTH(B674)=12,"X",""))</f>
        <v/>
      </c>
      <c r="V674" s="24" t="str">
        <f aca="false">IF(E674="","",COUNTIF($E$5:$E$1000,E674))</f>
        <v/>
      </c>
      <c r="W674" s="35" t="str">
        <f aca="false">IF(E674="","",_xlfn.TEXTJOIN(" + ",TRUE(),IF(COUNTIFS($E$5:$E$1000,E674,$C$5:$C$1000,"Auditoría Interna")&gt;0,"Interna",""),IF(COUNTIFS($E$5:$E$1000,E674,$C$5:$C$1000,"Auditoría Externa")&gt;0,"Externa",""),IF(COUNTIFS($E$5:$E$1000,E674,$C$5:$C$1000,"SSF")&gt;0,"SSF",""),IF(COUNTIFS($E$5:$E$1000,E674,$C$5:$C$1000,"Comité de Supervisión")&gt;0,"Comité Sup.",""),IF(COUNTIFS($E$5:$E$1000,E674,$C$5:$C$1000,"Consejo de Administración")&gt;0,"Consejo",""),IF(COUNTIFS($E$5:$E$1000,E674,$C$5:$C$1000,"Otros")&gt;0,"Otros","")))</f>
        <v/>
      </c>
      <c r="X674" s="24" t="str">
        <f aca="false">IF(E674="","",COUNTIFS($E$5:$E$1000,E674,$AB$5:$AB$1000,AB674,$C$5:$C$1000,"&lt;&gt;"&amp;C674))</f>
        <v/>
      </c>
      <c r="Y674" s="33"/>
      <c r="Z674" s="31"/>
      <c r="AA674" s="33"/>
      <c r="AB674" s="37" t="str">
        <f aca="false">IF(B674="","",YEAR(B674)*100+MONTH(B674))</f>
        <v/>
      </c>
      <c r="AC674" s="37" t="str">
        <f aca="false">IF(AND(E674&lt;&gt;"",E674=Cruce!$C$5),COUNTIF($E$5:E674,E674),"")</f>
        <v/>
      </c>
      <c r="AD674" s="37" t="str">
        <f aca="false">IF(E674="","",C674&amp;"|"&amp;Y674&amp;"|"&amp;IF(B674="","s/f",TEXT(B674,"yyyymmdd")))</f>
        <v/>
      </c>
      <c r="AE674" s="37" t="n">
        <f aca="false">IF(E674="",0,IF(COUNTIFS($E$5:E674,E674,$AD$5:AD674,AD674)=1,1,0))</f>
        <v>0</v>
      </c>
    </row>
    <row r="675" customFormat="false" ht="15" hidden="false" customHeight="true" outlineLevel="0" collapsed="false">
      <c r="A675" s="31"/>
      <c r="B675" s="30"/>
      <c r="C675" s="31"/>
      <c r="D675" s="31"/>
      <c r="E675" s="32"/>
      <c r="F675" s="32"/>
      <c r="G675" s="33"/>
      <c r="H675" s="31"/>
      <c r="I675" s="24" t="str">
        <f aca="false">IF(B675="","",YEAR(B675))</f>
        <v/>
      </c>
      <c r="J675" s="34" t="str">
        <f aca="false">IF(B675="","",IF(MONTH(B675)=1,"X",""))</f>
        <v/>
      </c>
      <c r="K675" s="34" t="str">
        <f aca="false">IF(B675="","",IF(MONTH(B675)=2,"X",""))</f>
        <v/>
      </c>
      <c r="L675" s="34" t="str">
        <f aca="false">IF(B675="","",IF(MONTH(B675)=3,"X",""))</f>
        <v/>
      </c>
      <c r="M675" s="34" t="str">
        <f aca="false">IF(B675="","",IF(MONTH(B675)=4,"X",""))</f>
        <v/>
      </c>
      <c r="N675" s="34" t="str">
        <f aca="false">IF(B675="","",IF(MONTH(B675)=5,"X",""))</f>
        <v/>
      </c>
      <c r="O675" s="34" t="str">
        <f aca="false">IF(B675="","",IF(MONTH(B675)=6,"X",""))</f>
        <v/>
      </c>
      <c r="P675" s="34" t="str">
        <f aca="false">IF(B675="","",IF(MONTH(B675)=7,"X",""))</f>
        <v/>
      </c>
      <c r="Q675" s="34" t="str">
        <f aca="false">IF(B675="","",IF(MONTH(B675)=8,"X",""))</f>
        <v/>
      </c>
      <c r="R675" s="34" t="str">
        <f aca="false">IF(B675="","",IF(MONTH(B675)=9,"X",""))</f>
        <v/>
      </c>
      <c r="S675" s="34" t="str">
        <f aca="false">IF(B675="","",IF(MONTH(B675)=10,"X",""))</f>
        <v/>
      </c>
      <c r="T675" s="34" t="str">
        <f aca="false">IF(B675="","",IF(MONTH(B675)=11,"X",""))</f>
        <v/>
      </c>
      <c r="U675" s="34" t="str">
        <f aca="false">IF(B675="","",IF(MONTH(B675)=12,"X",""))</f>
        <v/>
      </c>
      <c r="V675" s="24" t="str">
        <f aca="false">IF(E675="","",COUNTIF($E$5:$E$1000,E675))</f>
        <v/>
      </c>
      <c r="W675" s="35" t="str">
        <f aca="false">IF(E675="","",_xlfn.TEXTJOIN(" + ",TRUE(),IF(COUNTIFS($E$5:$E$1000,E675,$C$5:$C$1000,"Auditoría Interna")&gt;0,"Interna",""),IF(COUNTIFS($E$5:$E$1000,E675,$C$5:$C$1000,"Auditoría Externa")&gt;0,"Externa",""),IF(COUNTIFS($E$5:$E$1000,E675,$C$5:$C$1000,"SSF")&gt;0,"SSF",""),IF(COUNTIFS($E$5:$E$1000,E675,$C$5:$C$1000,"Comité de Supervisión")&gt;0,"Comité Sup.",""),IF(COUNTIFS($E$5:$E$1000,E675,$C$5:$C$1000,"Consejo de Administración")&gt;0,"Consejo",""),IF(COUNTIFS($E$5:$E$1000,E675,$C$5:$C$1000,"Otros")&gt;0,"Otros","")))</f>
        <v/>
      </c>
      <c r="X675" s="24" t="str">
        <f aca="false">IF(E675="","",COUNTIFS($E$5:$E$1000,E675,$AB$5:$AB$1000,AB675,$C$5:$C$1000,"&lt;&gt;"&amp;C675))</f>
        <v/>
      </c>
      <c r="Y675" s="33"/>
      <c r="Z675" s="31"/>
      <c r="AA675" s="33"/>
      <c r="AB675" s="37" t="str">
        <f aca="false">IF(B675="","",YEAR(B675)*100+MONTH(B675))</f>
        <v/>
      </c>
      <c r="AC675" s="37" t="str">
        <f aca="false">IF(AND(E675&lt;&gt;"",E675=Cruce!$C$5),COUNTIF($E$5:E675,E675),"")</f>
        <v/>
      </c>
      <c r="AD675" s="37" t="str">
        <f aca="false">IF(E675="","",C675&amp;"|"&amp;Y675&amp;"|"&amp;IF(B675="","s/f",TEXT(B675,"yyyymmdd")))</f>
        <v/>
      </c>
      <c r="AE675" s="37" t="n">
        <f aca="false">IF(E675="",0,IF(COUNTIFS($E$5:E675,E675,$AD$5:AD675,AD675)=1,1,0))</f>
        <v>0</v>
      </c>
    </row>
    <row r="676" customFormat="false" ht="15" hidden="false" customHeight="true" outlineLevel="0" collapsed="false">
      <c r="A676" s="31"/>
      <c r="B676" s="30"/>
      <c r="C676" s="31"/>
      <c r="D676" s="31"/>
      <c r="E676" s="32"/>
      <c r="F676" s="32"/>
      <c r="G676" s="33"/>
      <c r="H676" s="31"/>
      <c r="I676" s="24" t="str">
        <f aca="false">IF(B676="","",YEAR(B676))</f>
        <v/>
      </c>
      <c r="J676" s="34" t="str">
        <f aca="false">IF(B676="","",IF(MONTH(B676)=1,"X",""))</f>
        <v/>
      </c>
      <c r="K676" s="34" t="str">
        <f aca="false">IF(B676="","",IF(MONTH(B676)=2,"X",""))</f>
        <v/>
      </c>
      <c r="L676" s="34" t="str">
        <f aca="false">IF(B676="","",IF(MONTH(B676)=3,"X",""))</f>
        <v/>
      </c>
      <c r="M676" s="34" t="str">
        <f aca="false">IF(B676="","",IF(MONTH(B676)=4,"X",""))</f>
        <v/>
      </c>
      <c r="N676" s="34" t="str">
        <f aca="false">IF(B676="","",IF(MONTH(B676)=5,"X",""))</f>
        <v/>
      </c>
      <c r="O676" s="34" t="str">
        <f aca="false">IF(B676="","",IF(MONTH(B676)=6,"X",""))</f>
        <v/>
      </c>
      <c r="P676" s="34" t="str">
        <f aca="false">IF(B676="","",IF(MONTH(B676)=7,"X",""))</f>
        <v/>
      </c>
      <c r="Q676" s="34" t="str">
        <f aca="false">IF(B676="","",IF(MONTH(B676)=8,"X",""))</f>
        <v/>
      </c>
      <c r="R676" s="34" t="str">
        <f aca="false">IF(B676="","",IF(MONTH(B676)=9,"X",""))</f>
        <v/>
      </c>
      <c r="S676" s="34" t="str">
        <f aca="false">IF(B676="","",IF(MONTH(B676)=10,"X",""))</f>
        <v/>
      </c>
      <c r="T676" s="34" t="str">
        <f aca="false">IF(B676="","",IF(MONTH(B676)=11,"X",""))</f>
        <v/>
      </c>
      <c r="U676" s="34" t="str">
        <f aca="false">IF(B676="","",IF(MONTH(B676)=12,"X",""))</f>
        <v/>
      </c>
      <c r="V676" s="24" t="str">
        <f aca="false">IF(E676="","",COUNTIF($E$5:$E$1000,E676))</f>
        <v/>
      </c>
      <c r="W676" s="35" t="str">
        <f aca="false">IF(E676="","",_xlfn.TEXTJOIN(" + ",TRUE(),IF(COUNTIFS($E$5:$E$1000,E676,$C$5:$C$1000,"Auditoría Interna")&gt;0,"Interna",""),IF(COUNTIFS($E$5:$E$1000,E676,$C$5:$C$1000,"Auditoría Externa")&gt;0,"Externa",""),IF(COUNTIFS($E$5:$E$1000,E676,$C$5:$C$1000,"SSF")&gt;0,"SSF",""),IF(COUNTIFS($E$5:$E$1000,E676,$C$5:$C$1000,"Comité de Supervisión")&gt;0,"Comité Sup.",""),IF(COUNTIFS($E$5:$E$1000,E676,$C$5:$C$1000,"Consejo de Administración")&gt;0,"Consejo",""),IF(COUNTIFS($E$5:$E$1000,E676,$C$5:$C$1000,"Otros")&gt;0,"Otros","")))</f>
        <v/>
      </c>
      <c r="X676" s="24" t="str">
        <f aca="false">IF(E676="","",COUNTIFS($E$5:$E$1000,E676,$AB$5:$AB$1000,AB676,$C$5:$C$1000,"&lt;&gt;"&amp;C676))</f>
        <v/>
      </c>
      <c r="Y676" s="33"/>
      <c r="Z676" s="31"/>
      <c r="AA676" s="33"/>
      <c r="AB676" s="37" t="str">
        <f aca="false">IF(B676="","",YEAR(B676)*100+MONTH(B676))</f>
        <v/>
      </c>
      <c r="AC676" s="37" t="str">
        <f aca="false">IF(AND(E676&lt;&gt;"",E676=Cruce!$C$5),COUNTIF($E$5:E676,E676),"")</f>
        <v/>
      </c>
      <c r="AD676" s="37" t="str">
        <f aca="false">IF(E676="","",C676&amp;"|"&amp;Y676&amp;"|"&amp;IF(B676="","s/f",TEXT(B676,"yyyymmdd")))</f>
        <v/>
      </c>
      <c r="AE676" s="37" t="n">
        <f aca="false">IF(E676="",0,IF(COUNTIFS($E$5:E676,E676,$AD$5:AD676,AD676)=1,1,0))</f>
        <v>0</v>
      </c>
    </row>
    <row r="677" customFormat="false" ht="15" hidden="false" customHeight="true" outlineLevel="0" collapsed="false">
      <c r="A677" s="31"/>
      <c r="B677" s="30"/>
      <c r="C677" s="31"/>
      <c r="D677" s="31"/>
      <c r="E677" s="32"/>
      <c r="F677" s="32"/>
      <c r="G677" s="33"/>
      <c r="H677" s="31"/>
      <c r="I677" s="24" t="str">
        <f aca="false">IF(B677="","",YEAR(B677))</f>
        <v/>
      </c>
      <c r="J677" s="34" t="str">
        <f aca="false">IF(B677="","",IF(MONTH(B677)=1,"X",""))</f>
        <v/>
      </c>
      <c r="K677" s="34" t="str">
        <f aca="false">IF(B677="","",IF(MONTH(B677)=2,"X",""))</f>
        <v/>
      </c>
      <c r="L677" s="34" t="str">
        <f aca="false">IF(B677="","",IF(MONTH(B677)=3,"X",""))</f>
        <v/>
      </c>
      <c r="M677" s="34" t="str">
        <f aca="false">IF(B677="","",IF(MONTH(B677)=4,"X",""))</f>
        <v/>
      </c>
      <c r="N677" s="34" t="str">
        <f aca="false">IF(B677="","",IF(MONTH(B677)=5,"X",""))</f>
        <v/>
      </c>
      <c r="O677" s="34" t="str">
        <f aca="false">IF(B677="","",IF(MONTH(B677)=6,"X",""))</f>
        <v/>
      </c>
      <c r="P677" s="34" t="str">
        <f aca="false">IF(B677="","",IF(MONTH(B677)=7,"X",""))</f>
        <v/>
      </c>
      <c r="Q677" s="34" t="str">
        <f aca="false">IF(B677="","",IF(MONTH(B677)=8,"X",""))</f>
        <v/>
      </c>
      <c r="R677" s="34" t="str">
        <f aca="false">IF(B677="","",IF(MONTH(B677)=9,"X",""))</f>
        <v/>
      </c>
      <c r="S677" s="34" t="str">
        <f aca="false">IF(B677="","",IF(MONTH(B677)=10,"X",""))</f>
        <v/>
      </c>
      <c r="T677" s="34" t="str">
        <f aca="false">IF(B677="","",IF(MONTH(B677)=11,"X",""))</f>
        <v/>
      </c>
      <c r="U677" s="34" t="str">
        <f aca="false">IF(B677="","",IF(MONTH(B677)=12,"X",""))</f>
        <v/>
      </c>
      <c r="V677" s="24" t="str">
        <f aca="false">IF(E677="","",COUNTIF($E$5:$E$1000,E677))</f>
        <v/>
      </c>
      <c r="W677" s="35" t="str">
        <f aca="false">IF(E677="","",_xlfn.TEXTJOIN(" + ",TRUE(),IF(COUNTIFS($E$5:$E$1000,E677,$C$5:$C$1000,"Auditoría Interna")&gt;0,"Interna",""),IF(COUNTIFS($E$5:$E$1000,E677,$C$5:$C$1000,"Auditoría Externa")&gt;0,"Externa",""),IF(COUNTIFS($E$5:$E$1000,E677,$C$5:$C$1000,"SSF")&gt;0,"SSF",""),IF(COUNTIFS($E$5:$E$1000,E677,$C$5:$C$1000,"Comité de Supervisión")&gt;0,"Comité Sup.",""),IF(COUNTIFS($E$5:$E$1000,E677,$C$5:$C$1000,"Consejo de Administración")&gt;0,"Consejo",""),IF(COUNTIFS($E$5:$E$1000,E677,$C$5:$C$1000,"Otros")&gt;0,"Otros","")))</f>
        <v/>
      </c>
      <c r="X677" s="24" t="str">
        <f aca="false">IF(E677="","",COUNTIFS($E$5:$E$1000,E677,$AB$5:$AB$1000,AB677,$C$5:$C$1000,"&lt;&gt;"&amp;C677))</f>
        <v/>
      </c>
      <c r="Y677" s="33"/>
      <c r="Z677" s="31"/>
      <c r="AA677" s="33"/>
      <c r="AB677" s="37" t="str">
        <f aca="false">IF(B677="","",YEAR(B677)*100+MONTH(B677))</f>
        <v/>
      </c>
      <c r="AC677" s="37" t="str">
        <f aca="false">IF(AND(E677&lt;&gt;"",E677=Cruce!$C$5),COUNTIF($E$5:E677,E677),"")</f>
        <v/>
      </c>
      <c r="AD677" s="37" t="str">
        <f aca="false">IF(E677="","",C677&amp;"|"&amp;Y677&amp;"|"&amp;IF(B677="","s/f",TEXT(B677,"yyyymmdd")))</f>
        <v/>
      </c>
      <c r="AE677" s="37" t="n">
        <f aca="false">IF(E677="",0,IF(COUNTIFS($E$5:E677,E677,$AD$5:AD677,AD677)=1,1,0))</f>
        <v>0</v>
      </c>
    </row>
    <row r="678" customFormat="false" ht="15" hidden="false" customHeight="true" outlineLevel="0" collapsed="false">
      <c r="A678" s="31"/>
      <c r="B678" s="30"/>
      <c r="C678" s="31"/>
      <c r="D678" s="31"/>
      <c r="E678" s="32"/>
      <c r="F678" s="32"/>
      <c r="G678" s="33"/>
      <c r="H678" s="31"/>
      <c r="I678" s="24" t="str">
        <f aca="false">IF(B678="","",YEAR(B678))</f>
        <v/>
      </c>
      <c r="J678" s="34" t="str">
        <f aca="false">IF(B678="","",IF(MONTH(B678)=1,"X",""))</f>
        <v/>
      </c>
      <c r="K678" s="34" t="str">
        <f aca="false">IF(B678="","",IF(MONTH(B678)=2,"X",""))</f>
        <v/>
      </c>
      <c r="L678" s="34" t="str">
        <f aca="false">IF(B678="","",IF(MONTH(B678)=3,"X",""))</f>
        <v/>
      </c>
      <c r="M678" s="34" t="str">
        <f aca="false">IF(B678="","",IF(MONTH(B678)=4,"X",""))</f>
        <v/>
      </c>
      <c r="N678" s="34" t="str">
        <f aca="false">IF(B678="","",IF(MONTH(B678)=5,"X",""))</f>
        <v/>
      </c>
      <c r="O678" s="34" t="str">
        <f aca="false">IF(B678="","",IF(MONTH(B678)=6,"X",""))</f>
        <v/>
      </c>
      <c r="P678" s="34" t="str">
        <f aca="false">IF(B678="","",IF(MONTH(B678)=7,"X",""))</f>
        <v/>
      </c>
      <c r="Q678" s="34" t="str">
        <f aca="false">IF(B678="","",IF(MONTH(B678)=8,"X",""))</f>
        <v/>
      </c>
      <c r="R678" s="34" t="str">
        <f aca="false">IF(B678="","",IF(MONTH(B678)=9,"X",""))</f>
        <v/>
      </c>
      <c r="S678" s="34" t="str">
        <f aca="false">IF(B678="","",IF(MONTH(B678)=10,"X",""))</f>
        <v/>
      </c>
      <c r="T678" s="34" t="str">
        <f aca="false">IF(B678="","",IF(MONTH(B678)=11,"X",""))</f>
        <v/>
      </c>
      <c r="U678" s="34" t="str">
        <f aca="false">IF(B678="","",IF(MONTH(B678)=12,"X",""))</f>
        <v/>
      </c>
      <c r="V678" s="24" t="str">
        <f aca="false">IF(E678="","",COUNTIF($E$5:$E$1000,E678))</f>
        <v/>
      </c>
      <c r="W678" s="35" t="str">
        <f aca="false">IF(E678="","",_xlfn.TEXTJOIN(" + ",TRUE(),IF(COUNTIFS($E$5:$E$1000,E678,$C$5:$C$1000,"Auditoría Interna")&gt;0,"Interna",""),IF(COUNTIFS($E$5:$E$1000,E678,$C$5:$C$1000,"Auditoría Externa")&gt;0,"Externa",""),IF(COUNTIFS($E$5:$E$1000,E678,$C$5:$C$1000,"SSF")&gt;0,"SSF",""),IF(COUNTIFS($E$5:$E$1000,E678,$C$5:$C$1000,"Comité de Supervisión")&gt;0,"Comité Sup.",""),IF(COUNTIFS($E$5:$E$1000,E678,$C$5:$C$1000,"Consejo de Administración")&gt;0,"Consejo",""),IF(COUNTIFS($E$5:$E$1000,E678,$C$5:$C$1000,"Otros")&gt;0,"Otros","")))</f>
        <v/>
      </c>
      <c r="X678" s="24" t="str">
        <f aca="false">IF(E678="","",COUNTIFS($E$5:$E$1000,E678,$AB$5:$AB$1000,AB678,$C$5:$C$1000,"&lt;&gt;"&amp;C678))</f>
        <v/>
      </c>
      <c r="Y678" s="33"/>
      <c r="Z678" s="31"/>
      <c r="AA678" s="33"/>
      <c r="AB678" s="37" t="str">
        <f aca="false">IF(B678="","",YEAR(B678)*100+MONTH(B678))</f>
        <v/>
      </c>
      <c r="AC678" s="37" t="str">
        <f aca="false">IF(AND(E678&lt;&gt;"",E678=Cruce!$C$5),COUNTIF($E$5:E678,E678),"")</f>
        <v/>
      </c>
      <c r="AD678" s="37" t="str">
        <f aca="false">IF(E678="","",C678&amp;"|"&amp;Y678&amp;"|"&amp;IF(B678="","s/f",TEXT(B678,"yyyymmdd")))</f>
        <v/>
      </c>
      <c r="AE678" s="37" t="n">
        <f aca="false">IF(E678="",0,IF(COUNTIFS($E$5:E678,E678,$AD$5:AD678,AD678)=1,1,0))</f>
        <v>0</v>
      </c>
    </row>
    <row r="679" customFormat="false" ht="15" hidden="false" customHeight="true" outlineLevel="0" collapsed="false">
      <c r="A679" s="31"/>
      <c r="B679" s="30"/>
      <c r="C679" s="31"/>
      <c r="D679" s="31"/>
      <c r="E679" s="32"/>
      <c r="F679" s="32"/>
      <c r="G679" s="33"/>
      <c r="H679" s="31"/>
      <c r="I679" s="24" t="str">
        <f aca="false">IF(B679="","",YEAR(B679))</f>
        <v/>
      </c>
      <c r="J679" s="34" t="str">
        <f aca="false">IF(B679="","",IF(MONTH(B679)=1,"X",""))</f>
        <v/>
      </c>
      <c r="K679" s="34" t="str">
        <f aca="false">IF(B679="","",IF(MONTH(B679)=2,"X",""))</f>
        <v/>
      </c>
      <c r="L679" s="34" t="str">
        <f aca="false">IF(B679="","",IF(MONTH(B679)=3,"X",""))</f>
        <v/>
      </c>
      <c r="M679" s="34" t="str">
        <f aca="false">IF(B679="","",IF(MONTH(B679)=4,"X",""))</f>
        <v/>
      </c>
      <c r="N679" s="34" t="str">
        <f aca="false">IF(B679="","",IF(MONTH(B679)=5,"X",""))</f>
        <v/>
      </c>
      <c r="O679" s="34" t="str">
        <f aca="false">IF(B679="","",IF(MONTH(B679)=6,"X",""))</f>
        <v/>
      </c>
      <c r="P679" s="34" t="str">
        <f aca="false">IF(B679="","",IF(MONTH(B679)=7,"X",""))</f>
        <v/>
      </c>
      <c r="Q679" s="34" t="str">
        <f aca="false">IF(B679="","",IF(MONTH(B679)=8,"X",""))</f>
        <v/>
      </c>
      <c r="R679" s="34" t="str">
        <f aca="false">IF(B679="","",IF(MONTH(B679)=9,"X",""))</f>
        <v/>
      </c>
      <c r="S679" s="34" t="str">
        <f aca="false">IF(B679="","",IF(MONTH(B679)=10,"X",""))</f>
        <v/>
      </c>
      <c r="T679" s="34" t="str">
        <f aca="false">IF(B679="","",IF(MONTH(B679)=11,"X",""))</f>
        <v/>
      </c>
      <c r="U679" s="34" t="str">
        <f aca="false">IF(B679="","",IF(MONTH(B679)=12,"X",""))</f>
        <v/>
      </c>
      <c r="V679" s="24" t="str">
        <f aca="false">IF(E679="","",COUNTIF($E$5:$E$1000,E679))</f>
        <v/>
      </c>
      <c r="W679" s="35" t="str">
        <f aca="false">IF(E679="","",_xlfn.TEXTJOIN(" + ",TRUE(),IF(COUNTIFS($E$5:$E$1000,E679,$C$5:$C$1000,"Auditoría Interna")&gt;0,"Interna",""),IF(COUNTIFS($E$5:$E$1000,E679,$C$5:$C$1000,"Auditoría Externa")&gt;0,"Externa",""),IF(COUNTIFS($E$5:$E$1000,E679,$C$5:$C$1000,"SSF")&gt;0,"SSF",""),IF(COUNTIFS($E$5:$E$1000,E679,$C$5:$C$1000,"Comité de Supervisión")&gt;0,"Comité Sup.",""),IF(COUNTIFS($E$5:$E$1000,E679,$C$5:$C$1000,"Consejo de Administración")&gt;0,"Consejo",""),IF(COUNTIFS($E$5:$E$1000,E679,$C$5:$C$1000,"Otros")&gt;0,"Otros","")))</f>
        <v/>
      </c>
      <c r="X679" s="24" t="str">
        <f aca="false">IF(E679="","",COUNTIFS($E$5:$E$1000,E679,$AB$5:$AB$1000,AB679,$C$5:$C$1000,"&lt;&gt;"&amp;C679))</f>
        <v/>
      </c>
      <c r="Y679" s="33"/>
      <c r="Z679" s="31"/>
      <c r="AA679" s="33"/>
      <c r="AB679" s="37" t="str">
        <f aca="false">IF(B679="","",YEAR(B679)*100+MONTH(B679))</f>
        <v/>
      </c>
      <c r="AC679" s="37" t="str">
        <f aca="false">IF(AND(E679&lt;&gt;"",E679=Cruce!$C$5),COUNTIF($E$5:E679,E679),"")</f>
        <v/>
      </c>
      <c r="AD679" s="37" t="str">
        <f aca="false">IF(E679="","",C679&amp;"|"&amp;Y679&amp;"|"&amp;IF(B679="","s/f",TEXT(B679,"yyyymmdd")))</f>
        <v/>
      </c>
      <c r="AE679" s="37" t="n">
        <f aca="false">IF(E679="",0,IF(COUNTIFS($E$5:E679,E679,$AD$5:AD679,AD679)=1,1,0))</f>
        <v>0</v>
      </c>
    </row>
    <row r="680" customFormat="false" ht="15" hidden="false" customHeight="true" outlineLevel="0" collapsed="false">
      <c r="A680" s="31"/>
      <c r="B680" s="30"/>
      <c r="C680" s="31"/>
      <c r="D680" s="31"/>
      <c r="E680" s="32"/>
      <c r="F680" s="32"/>
      <c r="G680" s="33"/>
      <c r="H680" s="31"/>
      <c r="I680" s="24" t="str">
        <f aca="false">IF(B680="","",YEAR(B680))</f>
        <v/>
      </c>
      <c r="J680" s="34" t="str">
        <f aca="false">IF(B680="","",IF(MONTH(B680)=1,"X",""))</f>
        <v/>
      </c>
      <c r="K680" s="34" t="str">
        <f aca="false">IF(B680="","",IF(MONTH(B680)=2,"X",""))</f>
        <v/>
      </c>
      <c r="L680" s="34" t="str">
        <f aca="false">IF(B680="","",IF(MONTH(B680)=3,"X",""))</f>
        <v/>
      </c>
      <c r="M680" s="34" t="str">
        <f aca="false">IF(B680="","",IF(MONTH(B680)=4,"X",""))</f>
        <v/>
      </c>
      <c r="N680" s="34" t="str">
        <f aca="false">IF(B680="","",IF(MONTH(B680)=5,"X",""))</f>
        <v/>
      </c>
      <c r="O680" s="34" t="str">
        <f aca="false">IF(B680="","",IF(MONTH(B680)=6,"X",""))</f>
        <v/>
      </c>
      <c r="P680" s="34" t="str">
        <f aca="false">IF(B680="","",IF(MONTH(B680)=7,"X",""))</f>
        <v/>
      </c>
      <c r="Q680" s="34" t="str">
        <f aca="false">IF(B680="","",IF(MONTH(B680)=8,"X",""))</f>
        <v/>
      </c>
      <c r="R680" s="34" t="str">
        <f aca="false">IF(B680="","",IF(MONTH(B680)=9,"X",""))</f>
        <v/>
      </c>
      <c r="S680" s="34" t="str">
        <f aca="false">IF(B680="","",IF(MONTH(B680)=10,"X",""))</f>
        <v/>
      </c>
      <c r="T680" s="34" t="str">
        <f aca="false">IF(B680="","",IF(MONTH(B680)=11,"X",""))</f>
        <v/>
      </c>
      <c r="U680" s="34" t="str">
        <f aca="false">IF(B680="","",IF(MONTH(B680)=12,"X",""))</f>
        <v/>
      </c>
      <c r="V680" s="24" t="str">
        <f aca="false">IF(E680="","",COUNTIF($E$5:$E$1000,E680))</f>
        <v/>
      </c>
      <c r="W680" s="35" t="str">
        <f aca="false">IF(E680="","",_xlfn.TEXTJOIN(" + ",TRUE(),IF(COUNTIFS($E$5:$E$1000,E680,$C$5:$C$1000,"Auditoría Interna")&gt;0,"Interna",""),IF(COUNTIFS($E$5:$E$1000,E680,$C$5:$C$1000,"Auditoría Externa")&gt;0,"Externa",""),IF(COUNTIFS($E$5:$E$1000,E680,$C$5:$C$1000,"SSF")&gt;0,"SSF",""),IF(COUNTIFS($E$5:$E$1000,E680,$C$5:$C$1000,"Comité de Supervisión")&gt;0,"Comité Sup.",""),IF(COUNTIFS($E$5:$E$1000,E680,$C$5:$C$1000,"Consejo de Administración")&gt;0,"Consejo",""),IF(COUNTIFS($E$5:$E$1000,E680,$C$5:$C$1000,"Otros")&gt;0,"Otros","")))</f>
        <v/>
      </c>
      <c r="X680" s="24" t="str">
        <f aca="false">IF(E680="","",COUNTIFS($E$5:$E$1000,E680,$AB$5:$AB$1000,AB680,$C$5:$C$1000,"&lt;&gt;"&amp;C680))</f>
        <v/>
      </c>
      <c r="Y680" s="33"/>
      <c r="Z680" s="31"/>
      <c r="AA680" s="33"/>
      <c r="AB680" s="37" t="str">
        <f aca="false">IF(B680="","",YEAR(B680)*100+MONTH(B680))</f>
        <v/>
      </c>
      <c r="AC680" s="37" t="str">
        <f aca="false">IF(AND(E680&lt;&gt;"",E680=Cruce!$C$5),COUNTIF($E$5:E680,E680),"")</f>
        <v/>
      </c>
      <c r="AD680" s="37" t="str">
        <f aca="false">IF(E680="","",C680&amp;"|"&amp;Y680&amp;"|"&amp;IF(B680="","s/f",TEXT(B680,"yyyymmdd")))</f>
        <v/>
      </c>
      <c r="AE680" s="37" t="n">
        <f aca="false">IF(E680="",0,IF(COUNTIFS($E$5:E680,E680,$AD$5:AD680,AD680)=1,1,0))</f>
        <v>0</v>
      </c>
    </row>
    <row r="681" customFormat="false" ht="15" hidden="false" customHeight="true" outlineLevel="0" collapsed="false">
      <c r="A681" s="31"/>
      <c r="B681" s="30"/>
      <c r="C681" s="31"/>
      <c r="D681" s="31"/>
      <c r="E681" s="32"/>
      <c r="F681" s="32"/>
      <c r="G681" s="33"/>
      <c r="H681" s="31"/>
      <c r="I681" s="24" t="str">
        <f aca="false">IF(B681="","",YEAR(B681))</f>
        <v/>
      </c>
      <c r="J681" s="34" t="str">
        <f aca="false">IF(B681="","",IF(MONTH(B681)=1,"X",""))</f>
        <v/>
      </c>
      <c r="K681" s="34" t="str">
        <f aca="false">IF(B681="","",IF(MONTH(B681)=2,"X",""))</f>
        <v/>
      </c>
      <c r="L681" s="34" t="str">
        <f aca="false">IF(B681="","",IF(MONTH(B681)=3,"X",""))</f>
        <v/>
      </c>
      <c r="M681" s="34" t="str">
        <f aca="false">IF(B681="","",IF(MONTH(B681)=4,"X",""))</f>
        <v/>
      </c>
      <c r="N681" s="34" t="str">
        <f aca="false">IF(B681="","",IF(MONTH(B681)=5,"X",""))</f>
        <v/>
      </c>
      <c r="O681" s="34" t="str">
        <f aca="false">IF(B681="","",IF(MONTH(B681)=6,"X",""))</f>
        <v/>
      </c>
      <c r="P681" s="34" t="str">
        <f aca="false">IF(B681="","",IF(MONTH(B681)=7,"X",""))</f>
        <v/>
      </c>
      <c r="Q681" s="34" t="str">
        <f aca="false">IF(B681="","",IF(MONTH(B681)=8,"X",""))</f>
        <v/>
      </c>
      <c r="R681" s="34" t="str">
        <f aca="false">IF(B681="","",IF(MONTH(B681)=9,"X",""))</f>
        <v/>
      </c>
      <c r="S681" s="34" t="str">
        <f aca="false">IF(B681="","",IF(MONTH(B681)=10,"X",""))</f>
        <v/>
      </c>
      <c r="T681" s="34" t="str">
        <f aca="false">IF(B681="","",IF(MONTH(B681)=11,"X",""))</f>
        <v/>
      </c>
      <c r="U681" s="34" t="str">
        <f aca="false">IF(B681="","",IF(MONTH(B681)=12,"X",""))</f>
        <v/>
      </c>
      <c r="V681" s="24" t="str">
        <f aca="false">IF(E681="","",COUNTIF($E$5:$E$1000,E681))</f>
        <v/>
      </c>
      <c r="W681" s="35" t="str">
        <f aca="false">IF(E681="","",_xlfn.TEXTJOIN(" + ",TRUE(),IF(COUNTIFS($E$5:$E$1000,E681,$C$5:$C$1000,"Auditoría Interna")&gt;0,"Interna",""),IF(COUNTIFS($E$5:$E$1000,E681,$C$5:$C$1000,"Auditoría Externa")&gt;0,"Externa",""),IF(COUNTIFS($E$5:$E$1000,E681,$C$5:$C$1000,"SSF")&gt;0,"SSF",""),IF(COUNTIFS($E$5:$E$1000,E681,$C$5:$C$1000,"Comité de Supervisión")&gt;0,"Comité Sup.",""),IF(COUNTIFS($E$5:$E$1000,E681,$C$5:$C$1000,"Consejo de Administración")&gt;0,"Consejo",""),IF(COUNTIFS($E$5:$E$1000,E681,$C$5:$C$1000,"Otros")&gt;0,"Otros","")))</f>
        <v/>
      </c>
      <c r="X681" s="24" t="str">
        <f aca="false">IF(E681="","",COUNTIFS($E$5:$E$1000,E681,$AB$5:$AB$1000,AB681,$C$5:$C$1000,"&lt;&gt;"&amp;C681))</f>
        <v/>
      </c>
      <c r="Y681" s="33"/>
      <c r="Z681" s="31"/>
      <c r="AA681" s="33"/>
      <c r="AB681" s="37" t="str">
        <f aca="false">IF(B681="","",YEAR(B681)*100+MONTH(B681))</f>
        <v/>
      </c>
      <c r="AC681" s="37" t="str">
        <f aca="false">IF(AND(E681&lt;&gt;"",E681=Cruce!$C$5),COUNTIF($E$5:E681,E681),"")</f>
        <v/>
      </c>
      <c r="AD681" s="37" t="str">
        <f aca="false">IF(E681="","",C681&amp;"|"&amp;Y681&amp;"|"&amp;IF(B681="","s/f",TEXT(B681,"yyyymmdd")))</f>
        <v/>
      </c>
      <c r="AE681" s="37" t="n">
        <f aca="false">IF(E681="",0,IF(COUNTIFS($E$5:E681,E681,$AD$5:AD681,AD681)=1,1,0))</f>
        <v>0</v>
      </c>
    </row>
    <row r="682" customFormat="false" ht="15" hidden="false" customHeight="true" outlineLevel="0" collapsed="false">
      <c r="A682" s="31"/>
      <c r="B682" s="30"/>
      <c r="C682" s="31"/>
      <c r="D682" s="31"/>
      <c r="E682" s="32"/>
      <c r="F682" s="32"/>
      <c r="G682" s="33"/>
      <c r="H682" s="31"/>
      <c r="I682" s="24" t="str">
        <f aca="false">IF(B682="","",YEAR(B682))</f>
        <v/>
      </c>
      <c r="J682" s="34" t="str">
        <f aca="false">IF(B682="","",IF(MONTH(B682)=1,"X",""))</f>
        <v/>
      </c>
      <c r="K682" s="34" t="str">
        <f aca="false">IF(B682="","",IF(MONTH(B682)=2,"X",""))</f>
        <v/>
      </c>
      <c r="L682" s="34" t="str">
        <f aca="false">IF(B682="","",IF(MONTH(B682)=3,"X",""))</f>
        <v/>
      </c>
      <c r="M682" s="34" t="str">
        <f aca="false">IF(B682="","",IF(MONTH(B682)=4,"X",""))</f>
        <v/>
      </c>
      <c r="N682" s="34" t="str">
        <f aca="false">IF(B682="","",IF(MONTH(B682)=5,"X",""))</f>
        <v/>
      </c>
      <c r="O682" s="34" t="str">
        <f aca="false">IF(B682="","",IF(MONTH(B682)=6,"X",""))</f>
        <v/>
      </c>
      <c r="P682" s="34" t="str">
        <f aca="false">IF(B682="","",IF(MONTH(B682)=7,"X",""))</f>
        <v/>
      </c>
      <c r="Q682" s="34" t="str">
        <f aca="false">IF(B682="","",IF(MONTH(B682)=8,"X",""))</f>
        <v/>
      </c>
      <c r="R682" s="34" t="str">
        <f aca="false">IF(B682="","",IF(MONTH(B682)=9,"X",""))</f>
        <v/>
      </c>
      <c r="S682" s="34" t="str">
        <f aca="false">IF(B682="","",IF(MONTH(B682)=10,"X",""))</f>
        <v/>
      </c>
      <c r="T682" s="34" t="str">
        <f aca="false">IF(B682="","",IF(MONTH(B682)=11,"X",""))</f>
        <v/>
      </c>
      <c r="U682" s="34" t="str">
        <f aca="false">IF(B682="","",IF(MONTH(B682)=12,"X",""))</f>
        <v/>
      </c>
      <c r="V682" s="24" t="str">
        <f aca="false">IF(E682="","",COUNTIF($E$5:$E$1000,E682))</f>
        <v/>
      </c>
      <c r="W682" s="35" t="str">
        <f aca="false">IF(E682="","",_xlfn.TEXTJOIN(" + ",TRUE(),IF(COUNTIFS($E$5:$E$1000,E682,$C$5:$C$1000,"Auditoría Interna")&gt;0,"Interna",""),IF(COUNTIFS($E$5:$E$1000,E682,$C$5:$C$1000,"Auditoría Externa")&gt;0,"Externa",""),IF(COUNTIFS($E$5:$E$1000,E682,$C$5:$C$1000,"SSF")&gt;0,"SSF",""),IF(COUNTIFS($E$5:$E$1000,E682,$C$5:$C$1000,"Comité de Supervisión")&gt;0,"Comité Sup.",""),IF(COUNTIFS($E$5:$E$1000,E682,$C$5:$C$1000,"Consejo de Administración")&gt;0,"Consejo",""),IF(COUNTIFS($E$5:$E$1000,E682,$C$5:$C$1000,"Otros")&gt;0,"Otros","")))</f>
        <v/>
      </c>
      <c r="X682" s="24" t="str">
        <f aca="false">IF(E682="","",COUNTIFS($E$5:$E$1000,E682,$AB$5:$AB$1000,AB682,$C$5:$C$1000,"&lt;&gt;"&amp;C682))</f>
        <v/>
      </c>
      <c r="Y682" s="33"/>
      <c r="Z682" s="31"/>
      <c r="AA682" s="33"/>
      <c r="AB682" s="37" t="str">
        <f aca="false">IF(B682="","",YEAR(B682)*100+MONTH(B682))</f>
        <v/>
      </c>
      <c r="AC682" s="37" t="str">
        <f aca="false">IF(AND(E682&lt;&gt;"",E682=Cruce!$C$5),COUNTIF($E$5:E682,E682),"")</f>
        <v/>
      </c>
      <c r="AD682" s="37" t="str">
        <f aca="false">IF(E682="","",C682&amp;"|"&amp;Y682&amp;"|"&amp;IF(B682="","s/f",TEXT(B682,"yyyymmdd")))</f>
        <v/>
      </c>
      <c r="AE682" s="37" t="n">
        <f aca="false">IF(E682="",0,IF(COUNTIFS($E$5:E682,E682,$AD$5:AD682,AD682)=1,1,0))</f>
        <v>0</v>
      </c>
    </row>
    <row r="683" customFormat="false" ht="15" hidden="false" customHeight="true" outlineLevel="0" collapsed="false">
      <c r="A683" s="31"/>
      <c r="B683" s="30"/>
      <c r="C683" s="31"/>
      <c r="D683" s="31"/>
      <c r="E683" s="32"/>
      <c r="F683" s="32"/>
      <c r="G683" s="33"/>
      <c r="H683" s="31"/>
      <c r="I683" s="24" t="str">
        <f aca="false">IF(B683="","",YEAR(B683))</f>
        <v/>
      </c>
      <c r="J683" s="34" t="str">
        <f aca="false">IF(B683="","",IF(MONTH(B683)=1,"X",""))</f>
        <v/>
      </c>
      <c r="K683" s="34" t="str">
        <f aca="false">IF(B683="","",IF(MONTH(B683)=2,"X",""))</f>
        <v/>
      </c>
      <c r="L683" s="34" t="str">
        <f aca="false">IF(B683="","",IF(MONTH(B683)=3,"X",""))</f>
        <v/>
      </c>
      <c r="M683" s="34" t="str">
        <f aca="false">IF(B683="","",IF(MONTH(B683)=4,"X",""))</f>
        <v/>
      </c>
      <c r="N683" s="34" t="str">
        <f aca="false">IF(B683="","",IF(MONTH(B683)=5,"X",""))</f>
        <v/>
      </c>
      <c r="O683" s="34" t="str">
        <f aca="false">IF(B683="","",IF(MONTH(B683)=6,"X",""))</f>
        <v/>
      </c>
      <c r="P683" s="34" t="str">
        <f aca="false">IF(B683="","",IF(MONTH(B683)=7,"X",""))</f>
        <v/>
      </c>
      <c r="Q683" s="34" t="str">
        <f aca="false">IF(B683="","",IF(MONTH(B683)=8,"X",""))</f>
        <v/>
      </c>
      <c r="R683" s="34" t="str">
        <f aca="false">IF(B683="","",IF(MONTH(B683)=9,"X",""))</f>
        <v/>
      </c>
      <c r="S683" s="34" t="str">
        <f aca="false">IF(B683="","",IF(MONTH(B683)=10,"X",""))</f>
        <v/>
      </c>
      <c r="T683" s="34" t="str">
        <f aca="false">IF(B683="","",IF(MONTH(B683)=11,"X",""))</f>
        <v/>
      </c>
      <c r="U683" s="34" t="str">
        <f aca="false">IF(B683="","",IF(MONTH(B683)=12,"X",""))</f>
        <v/>
      </c>
      <c r="V683" s="24" t="str">
        <f aca="false">IF(E683="","",COUNTIF($E$5:$E$1000,E683))</f>
        <v/>
      </c>
      <c r="W683" s="35" t="str">
        <f aca="false">IF(E683="","",_xlfn.TEXTJOIN(" + ",TRUE(),IF(COUNTIFS($E$5:$E$1000,E683,$C$5:$C$1000,"Auditoría Interna")&gt;0,"Interna",""),IF(COUNTIFS($E$5:$E$1000,E683,$C$5:$C$1000,"Auditoría Externa")&gt;0,"Externa",""),IF(COUNTIFS($E$5:$E$1000,E683,$C$5:$C$1000,"SSF")&gt;0,"SSF",""),IF(COUNTIFS($E$5:$E$1000,E683,$C$5:$C$1000,"Comité de Supervisión")&gt;0,"Comité Sup.",""),IF(COUNTIFS($E$5:$E$1000,E683,$C$5:$C$1000,"Consejo de Administración")&gt;0,"Consejo",""),IF(COUNTIFS($E$5:$E$1000,E683,$C$5:$C$1000,"Otros")&gt;0,"Otros","")))</f>
        <v/>
      </c>
      <c r="X683" s="24" t="str">
        <f aca="false">IF(E683="","",COUNTIFS($E$5:$E$1000,E683,$AB$5:$AB$1000,AB683,$C$5:$C$1000,"&lt;&gt;"&amp;C683))</f>
        <v/>
      </c>
      <c r="Y683" s="33"/>
      <c r="Z683" s="31"/>
      <c r="AA683" s="33"/>
      <c r="AB683" s="37" t="str">
        <f aca="false">IF(B683="","",YEAR(B683)*100+MONTH(B683))</f>
        <v/>
      </c>
      <c r="AC683" s="37" t="str">
        <f aca="false">IF(AND(E683&lt;&gt;"",E683=Cruce!$C$5),COUNTIF($E$5:E683,E683),"")</f>
        <v/>
      </c>
      <c r="AD683" s="37" t="str">
        <f aca="false">IF(E683="","",C683&amp;"|"&amp;Y683&amp;"|"&amp;IF(B683="","s/f",TEXT(B683,"yyyymmdd")))</f>
        <v/>
      </c>
      <c r="AE683" s="37" t="n">
        <f aca="false">IF(E683="",0,IF(COUNTIFS($E$5:E683,E683,$AD$5:AD683,AD683)=1,1,0))</f>
        <v>0</v>
      </c>
    </row>
    <row r="684" customFormat="false" ht="15" hidden="false" customHeight="true" outlineLevel="0" collapsed="false">
      <c r="A684" s="31"/>
      <c r="B684" s="30"/>
      <c r="C684" s="31"/>
      <c r="D684" s="31"/>
      <c r="E684" s="32"/>
      <c r="F684" s="32"/>
      <c r="G684" s="33"/>
      <c r="H684" s="31"/>
      <c r="I684" s="24" t="str">
        <f aca="false">IF(B684="","",YEAR(B684))</f>
        <v/>
      </c>
      <c r="J684" s="34" t="str">
        <f aca="false">IF(B684="","",IF(MONTH(B684)=1,"X",""))</f>
        <v/>
      </c>
      <c r="K684" s="34" t="str">
        <f aca="false">IF(B684="","",IF(MONTH(B684)=2,"X",""))</f>
        <v/>
      </c>
      <c r="L684" s="34" t="str">
        <f aca="false">IF(B684="","",IF(MONTH(B684)=3,"X",""))</f>
        <v/>
      </c>
      <c r="M684" s="34" t="str">
        <f aca="false">IF(B684="","",IF(MONTH(B684)=4,"X",""))</f>
        <v/>
      </c>
      <c r="N684" s="34" t="str">
        <f aca="false">IF(B684="","",IF(MONTH(B684)=5,"X",""))</f>
        <v/>
      </c>
      <c r="O684" s="34" t="str">
        <f aca="false">IF(B684="","",IF(MONTH(B684)=6,"X",""))</f>
        <v/>
      </c>
      <c r="P684" s="34" t="str">
        <f aca="false">IF(B684="","",IF(MONTH(B684)=7,"X",""))</f>
        <v/>
      </c>
      <c r="Q684" s="34" t="str">
        <f aca="false">IF(B684="","",IF(MONTH(B684)=8,"X",""))</f>
        <v/>
      </c>
      <c r="R684" s="34" t="str">
        <f aca="false">IF(B684="","",IF(MONTH(B684)=9,"X",""))</f>
        <v/>
      </c>
      <c r="S684" s="34" t="str">
        <f aca="false">IF(B684="","",IF(MONTH(B684)=10,"X",""))</f>
        <v/>
      </c>
      <c r="T684" s="34" t="str">
        <f aca="false">IF(B684="","",IF(MONTH(B684)=11,"X",""))</f>
        <v/>
      </c>
      <c r="U684" s="34" t="str">
        <f aca="false">IF(B684="","",IF(MONTH(B684)=12,"X",""))</f>
        <v/>
      </c>
      <c r="V684" s="24" t="str">
        <f aca="false">IF(E684="","",COUNTIF($E$5:$E$1000,E684))</f>
        <v/>
      </c>
      <c r="W684" s="35" t="str">
        <f aca="false">IF(E684="","",_xlfn.TEXTJOIN(" + ",TRUE(),IF(COUNTIFS($E$5:$E$1000,E684,$C$5:$C$1000,"Auditoría Interna")&gt;0,"Interna",""),IF(COUNTIFS($E$5:$E$1000,E684,$C$5:$C$1000,"Auditoría Externa")&gt;0,"Externa",""),IF(COUNTIFS($E$5:$E$1000,E684,$C$5:$C$1000,"SSF")&gt;0,"SSF",""),IF(COUNTIFS($E$5:$E$1000,E684,$C$5:$C$1000,"Comité de Supervisión")&gt;0,"Comité Sup.",""),IF(COUNTIFS($E$5:$E$1000,E684,$C$5:$C$1000,"Consejo de Administración")&gt;0,"Consejo",""),IF(COUNTIFS($E$5:$E$1000,E684,$C$5:$C$1000,"Otros")&gt;0,"Otros","")))</f>
        <v/>
      </c>
      <c r="X684" s="24" t="str">
        <f aca="false">IF(E684="","",COUNTIFS($E$5:$E$1000,E684,$AB$5:$AB$1000,AB684,$C$5:$C$1000,"&lt;&gt;"&amp;C684))</f>
        <v/>
      </c>
      <c r="Y684" s="33"/>
      <c r="Z684" s="31"/>
      <c r="AA684" s="33"/>
      <c r="AB684" s="37" t="str">
        <f aca="false">IF(B684="","",YEAR(B684)*100+MONTH(B684))</f>
        <v/>
      </c>
      <c r="AC684" s="37" t="str">
        <f aca="false">IF(AND(E684&lt;&gt;"",E684=Cruce!$C$5),COUNTIF($E$5:E684,E684),"")</f>
        <v/>
      </c>
      <c r="AD684" s="37" t="str">
        <f aca="false">IF(E684="","",C684&amp;"|"&amp;Y684&amp;"|"&amp;IF(B684="","s/f",TEXT(B684,"yyyymmdd")))</f>
        <v/>
      </c>
      <c r="AE684" s="37" t="n">
        <f aca="false">IF(E684="",0,IF(COUNTIFS($E$5:E684,E684,$AD$5:AD684,AD684)=1,1,0))</f>
        <v>0</v>
      </c>
    </row>
    <row r="685" customFormat="false" ht="15" hidden="false" customHeight="true" outlineLevel="0" collapsed="false">
      <c r="A685" s="31"/>
      <c r="B685" s="30"/>
      <c r="C685" s="31"/>
      <c r="D685" s="31"/>
      <c r="E685" s="32"/>
      <c r="F685" s="32"/>
      <c r="G685" s="33"/>
      <c r="H685" s="31"/>
      <c r="I685" s="24" t="str">
        <f aca="false">IF(B685="","",YEAR(B685))</f>
        <v/>
      </c>
      <c r="J685" s="34" t="str">
        <f aca="false">IF(B685="","",IF(MONTH(B685)=1,"X",""))</f>
        <v/>
      </c>
      <c r="K685" s="34" t="str">
        <f aca="false">IF(B685="","",IF(MONTH(B685)=2,"X",""))</f>
        <v/>
      </c>
      <c r="L685" s="34" t="str">
        <f aca="false">IF(B685="","",IF(MONTH(B685)=3,"X",""))</f>
        <v/>
      </c>
      <c r="M685" s="34" t="str">
        <f aca="false">IF(B685="","",IF(MONTH(B685)=4,"X",""))</f>
        <v/>
      </c>
      <c r="N685" s="34" t="str">
        <f aca="false">IF(B685="","",IF(MONTH(B685)=5,"X",""))</f>
        <v/>
      </c>
      <c r="O685" s="34" t="str">
        <f aca="false">IF(B685="","",IF(MONTH(B685)=6,"X",""))</f>
        <v/>
      </c>
      <c r="P685" s="34" t="str">
        <f aca="false">IF(B685="","",IF(MONTH(B685)=7,"X",""))</f>
        <v/>
      </c>
      <c r="Q685" s="34" t="str">
        <f aca="false">IF(B685="","",IF(MONTH(B685)=8,"X",""))</f>
        <v/>
      </c>
      <c r="R685" s="34" t="str">
        <f aca="false">IF(B685="","",IF(MONTH(B685)=9,"X",""))</f>
        <v/>
      </c>
      <c r="S685" s="34" t="str">
        <f aca="false">IF(B685="","",IF(MONTH(B685)=10,"X",""))</f>
        <v/>
      </c>
      <c r="T685" s="34" t="str">
        <f aca="false">IF(B685="","",IF(MONTH(B685)=11,"X",""))</f>
        <v/>
      </c>
      <c r="U685" s="34" t="str">
        <f aca="false">IF(B685="","",IF(MONTH(B685)=12,"X",""))</f>
        <v/>
      </c>
      <c r="V685" s="24" t="str">
        <f aca="false">IF(E685="","",COUNTIF($E$5:$E$1000,E685))</f>
        <v/>
      </c>
      <c r="W685" s="35" t="str">
        <f aca="false">IF(E685="","",_xlfn.TEXTJOIN(" + ",TRUE(),IF(COUNTIFS($E$5:$E$1000,E685,$C$5:$C$1000,"Auditoría Interna")&gt;0,"Interna",""),IF(COUNTIFS($E$5:$E$1000,E685,$C$5:$C$1000,"Auditoría Externa")&gt;0,"Externa",""),IF(COUNTIFS($E$5:$E$1000,E685,$C$5:$C$1000,"SSF")&gt;0,"SSF",""),IF(COUNTIFS($E$5:$E$1000,E685,$C$5:$C$1000,"Comité de Supervisión")&gt;0,"Comité Sup.",""),IF(COUNTIFS($E$5:$E$1000,E685,$C$5:$C$1000,"Consejo de Administración")&gt;0,"Consejo",""),IF(COUNTIFS($E$5:$E$1000,E685,$C$5:$C$1000,"Otros")&gt;0,"Otros","")))</f>
        <v/>
      </c>
      <c r="X685" s="24" t="str">
        <f aca="false">IF(E685="","",COUNTIFS($E$5:$E$1000,E685,$AB$5:$AB$1000,AB685,$C$5:$C$1000,"&lt;&gt;"&amp;C685))</f>
        <v/>
      </c>
      <c r="Y685" s="33"/>
      <c r="Z685" s="31"/>
      <c r="AA685" s="33"/>
      <c r="AB685" s="37" t="str">
        <f aca="false">IF(B685="","",YEAR(B685)*100+MONTH(B685))</f>
        <v/>
      </c>
      <c r="AC685" s="37" t="str">
        <f aca="false">IF(AND(E685&lt;&gt;"",E685=Cruce!$C$5),COUNTIF($E$5:E685,E685),"")</f>
        <v/>
      </c>
      <c r="AD685" s="37" t="str">
        <f aca="false">IF(E685="","",C685&amp;"|"&amp;Y685&amp;"|"&amp;IF(B685="","s/f",TEXT(B685,"yyyymmdd")))</f>
        <v/>
      </c>
      <c r="AE685" s="37" t="n">
        <f aca="false">IF(E685="",0,IF(COUNTIFS($E$5:E685,E685,$AD$5:AD685,AD685)=1,1,0))</f>
        <v>0</v>
      </c>
    </row>
    <row r="686" customFormat="false" ht="15" hidden="false" customHeight="true" outlineLevel="0" collapsed="false">
      <c r="A686" s="31"/>
      <c r="B686" s="30"/>
      <c r="C686" s="31"/>
      <c r="D686" s="31"/>
      <c r="E686" s="32"/>
      <c r="F686" s="32"/>
      <c r="G686" s="33"/>
      <c r="H686" s="31"/>
      <c r="I686" s="24" t="str">
        <f aca="false">IF(B686="","",YEAR(B686))</f>
        <v/>
      </c>
      <c r="J686" s="34" t="str">
        <f aca="false">IF(B686="","",IF(MONTH(B686)=1,"X",""))</f>
        <v/>
      </c>
      <c r="K686" s="34" t="str">
        <f aca="false">IF(B686="","",IF(MONTH(B686)=2,"X",""))</f>
        <v/>
      </c>
      <c r="L686" s="34" t="str">
        <f aca="false">IF(B686="","",IF(MONTH(B686)=3,"X",""))</f>
        <v/>
      </c>
      <c r="M686" s="34" t="str">
        <f aca="false">IF(B686="","",IF(MONTH(B686)=4,"X",""))</f>
        <v/>
      </c>
      <c r="N686" s="34" t="str">
        <f aca="false">IF(B686="","",IF(MONTH(B686)=5,"X",""))</f>
        <v/>
      </c>
      <c r="O686" s="34" t="str">
        <f aca="false">IF(B686="","",IF(MONTH(B686)=6,"X",""))</f>
        <v/>
      </c>
      <c r="P686" s="34" t="str">
        <f aca="false">IF(B686="","",IF(MONTH(B686)=7,"X",""))</f>
        <v/>
      </c>
      <c r="Q686" s="34" t="str">
        <f aca="false">IF(B686="","",IF(MONTH(B686)=8,"X",""))</f>
        <v/>
      </c>
      <c r="R686" s="34" t="str">
        <f aca="false">IF(B686="","",IF(MONTH(B686)=9,"X",""))</f>
        <v/>
      </c>
      <c r="S686" s="34" t="str">
        <f aca="false">IF(B686="","",IF(MONTH(B686)=10,"X",""))</f>
        <v/>
      </c>
      <c r="T686" s="34" t="str">
        <f aca="false">IF(B686="","",IF(MONTH(B686)=11,"X",""))</f>
        <v/>
      </c>
      <c r="U686" s="34" t="str">
        <f aca="false">IF(B686="","",IF(MONTH(B686)=12,"X",""))</f>
        <v/>
      </c>
      <c r="V686" s="24" t="str">
        <f aca="false">IF(E686="","",COUNTIF($E$5:$E$1000,E686))</f>
        <v/>
      </c>
      <c r="W686" s="35" t="str">
        <f aca="false">IF(E686="","",_xlfn.TEXTJOIN(" + ",TRUE(),IF(COUNTIFS($E$5:$E$1000,E686,$C$5:$C$1000,"Auditoría Interna")&gt;0,"Interna",""),IF(COUNTIFS($E$5:$E$1000,E686,$C$5:$C$1000,"Auditoría Externa")&gt;0,"Externa",""),IF(COUNTIFS($E$5:$E$1000,E686,$C$5:$C$1000,"SSF")&gt;0,"SSF",""),IF(COUNTIFS($E$5:$E$1000,E686,$C$5:$C$1000,"Comité de Supervisión")&gt;0,"Comité Sup.",""),IF(COUNTIFS($E$5:$E$1000,E686,$C$5:$C$1000,"Consejo de Administración")&gt;0,"Consejo",""),IF(COUNTIFS($E$5:$E$1000,E686,$C$5:$C$1000,"Otros")&gt;0,"Otros","")))</f>
        <v/>
      </c>
      <c r="X686" s="24" t="str">
        <f aca="false">IF(E686="","",COUNTIFS($E$5:$E$1000,E686,$AB$5:$AB$1000,AB686,$C$5:$C$1000,"&lt;&gt;"&amp;C686))</f>
        <v/>
      </c>
      <c r="Y686" s="33"/>
      <c r="Z686" s="31"/>
      <c r="AA686" s="33"/>
      <c r="AB686" s="37" t="str">
        <f aca="false">IF(B686="","",YEAR(B686)*100+MONTH(B686))</f>
        <v/>
      </c>
      <c r="AC686" s="37" t="str">
        <f aca="false">IF(AND(E686&lt;&gt;"",E686=Cruce!$C$5),COUNTIF($E$5:E686,E686),"")</f>
        <v/>
      </c>
      <c r="AD686" s="37" t="str">
        <f aca="false">IF(E686="","",C686&amp;"|"&amp;Y686&amp;"|"&amp;IF(B686="","s/f",TEXT(B686,"yyyymmdd")))</f>
        <v/>
      </c>
      <c r="AE686" s="37" t="n">
        <f aca="false">IF(E686="",0,IF(COUNTIFS($E$5:E686,E686,$AD$5:AD686,AD686)=1,1,0))</f>
        <v>0</v>
      </c>
    </row>
    <row r="687" customFormat="false" ht="15" hidden="false" customHeight="true" outlineLevel="0" collapsed="false">
      <c r="A687" s="31"/>
      <c r="B687" s="30"/>
      <c r="C687" s="31"/>
      <c r="D687" s="31"/>
      <c r="E687" s="32"/>
      <c r="F687" s="32"/>
      <c r="G687" s="33"/>
      <c r="H687" s="31"/>
      <c r="I687" s="24" t="str">
        <f aca="false">IF(B687="","",YEAR(B687))</f>
        <v/>
      </c>
      <c r="J687" s="34" t="str">
        <f aca="false">IF(B687="","",IF(MONTH(B687)=1,"X",""))</f>
        <v/>
      </c>
      <c r="K687" s="34" t="str">
        <f aca="false">IF(B687="","",IF(MONTH(B687)=2,"X",""))</f>
        <v/>
      </c>
      <c r="L687" s="34" t="str">
        <f aca="false">IF(B687="","",IF(MONTH(B687)=3,"X",""))</f>
        <v/>
      </c>
      <c r="M687" s="34" t="str">
        <f aca="false">IF(B687="","",IF(MONTH(B687)=4,"X",""))</f>
        <v/>
      </c>
      <c r="N687" s="34" t="str">
        <f aca="false">IF(B687="","",IF(MONTH(B687)=5,"X",""))</f>
        <v/>
      </c>
      <c r="O687" s="34" t="str">
        <f aca="false">IF(B687="","",IF(MONTH(B687)=6,"X",""))</f>
        <v/>
      </c>
      <c r="P687" s="34" t="str">
        <f aca="false">IF(B687="","",IF(MONTH(B687)=7,"X",""))</f>
        <v/>
      </c>
      <c r="Q687" s="34" t="str">
        <f aca="false">IF(B687="","",IF(MONTH(B687)=8,"X",""))</f>
        <v/>
      </c>
      <c r="R687" s="34" t="str">
        <f aca="false">IF(B687="","",IF(MONTH(B687)=9,"X",""))</f>
        <v/>
      </c>
      <c r="S687" s="34" t="str">
        <f aca="false">IF(B687="","",IF(MONTH(B687)=10,"X",""))</f>
        <v/>
      </c>
      <c r="T687" s="34" t="str">
        <f aca="false">IF(B687="","",IF(MONTH(B687)=11,"X",""))</f>
        <v/>
      </c>
      <c r="U687" s="34" t="str">
        <f aca="false">IF(B687="","",IF(MONTH(B687)=12,"X",""))</f>
        <v/>
      </c>
      <c r="V687" s="24" t="str">
        <f aca="false">IF(E687="","",COUNTIF($E$5:$E$1000,E687))</f>
        <v/>
      </c>
      <c r="W687" s="35" t="str">
        <f aca="false">IF(E687="","",_xlfn.TEXTJOIN(" + ",TRUE(),IF(COUNTIFS($E$5:$E$1000,E687,$C$5:$C$1000,"Auditoría Interna")&gt;0,"Interna",""),IF(COUNTIFS($E$5:$E$1000,E687,$C$5:$C$1000,"Auditoría Externa")&gt;0,"Externa",""),IF(COUNTIFS($E$5:$E$1000,E687,$C$5:$C$1000,"SSF")&gt;0,"SSF",""),IF(COUNTIFS($E$5:$E$1000,E687,$C$5:$C$1000,"Comité de Supervisión")&gt;0,"Comité Sup.",""),IF(COUNTIFS($E$5:$E$1000,E687,$C$5:$C$1000,"Consejo de Administración")&gt;0,"Consejo",""),IF(COUNTIFS($E$5:$E$1000,E687,$C$5:$C$1000,"Otros")&gt;0,"Otros","")))</f>
        <v/>
      </c>
      <c r="X687" s="24" t="str">
        <f aca="false">IF(E687="","",COUNTIFS($E$5:$E$1000,E687,$AB$5:$AB$1000,AB687,$C$5:$C$1000,"&lt;&gt;"&amp;C687))</f>
        <v/>
      </c>
      <c r="Y687" s="33"/>
      <c r="Z687" s="31"/>
      <c r="AA687" s="33"/>
      <c r="AB687" s="37" t="str">
        <f aca="false">IF(B687="","",YEAR(B687)*100+MONTH(B687))</f>
        <v/>
      </c>
      <c r="AC687" s="37" t="str">
        <f aca="false">IF(AND(E687&lt;&gt;"",E687=Cruce!$C$5),COUNTIF($E$5:E687,E687),"")</f>
        <v/>
      </c>
      <c r="AD687" s="37" t="str">
        <f aca="false">IF(E687="","",C687&amp;"|"&amp;Y687&amp;"|"&amp;IF(B687="","s/f",TEXT(B687,"yyyymmdd")))</f>
        <v/>
      </c>
      <c r="AE687" s="37" t="n">
        <f aca="false">IF(E687="",0,IF(COUNTIFS($E$5:E687,E687,$AD$5:AD687,AD687)=1,1,0))</f>
        <v>0</v>
      </c>
    </row>
    <row r="688" customFormat="false" ht="15" hidden="false" customHeight="true" outlineLevel="0" collapsed="false">
      <c r="A688" s="31"/>
      <c r="B688" s="30"/>
      <c r="C688" s="31"/>
      <c r="D688" s="31"/>
      <c r="E688" s="32"/>
      <c r="F688" s="32"/>
      <c r="G688" s="33"/>
      <c r="H688" s="31"/>
      <c r="I688" s="24" t="str">
        <f aca="false">IF(B688="","",YEAR(B688))</f>
        <v/>
      </c>
      <c r="J688" s="34" t="str">
        <f aca="false">IF(B688="","",IF(MONTH(B688)=1,"X",""))</f>
        <v/>
      </c>
      <c r="K688" s="34" t="str">
        <f aca="false">IF(B688="","",IF(MONTH(B688)=2,"X",""))</f>
        <v/>
      </c>
      <c r="L688" s="34" t="str">
        <f aca="false">IF(B688="","",IF(MONTH(B688)=3,"X",""))</f>
        <v/>
      </c>
      <c r="M688" s="34" t="str">
        <f aca="false">IF(B688="","",IF(MONTH(B688)=4,"X",""))</f>
        <v/>
      </c>
      <c r="N688" s="34" t="str">
        <f aca="false">IF(B688="","",IF(MONTH(B688)=5,"X",""))</f>
        <v/>
      </c>
      <c r="O688" s="34" t="str">
        <f aca="false">IF(B688="","",IF(MONTH(B688)=6,"X",""))</f>
        <v/>
      </c>
      <c r="P688" s="34" t="str">
        <f aca="false">IF(B688="","",IF(MONTH(B688)=7,"X",""))</f>
        <v/>
      </c>
      <c r="Q688" s="34" t="str">
        <f aca="false">IF(B688="","",IF(MONTH(B688)=8,"X",""))</f>
        <v/>
      </c>
      <c r="R688" s="34" t="str">
        <f aca="false">IF(B688="","",IF(MONTH(B688)=9,"X",""))</f>
        <v/>
      </c>
      <c r="S688" s="34" t="str">
        <f aca="false">IF(B688="","",IF(MONTH(B688)=10,"X",""))</f>
        <v/>
      </c>
      <c r="T688" s="34" t="str">
        <f aca="false">IF(B688="","",IF(MONTH(B688)=11,"X",""))</f>
        <v/>
      </c>
      <c r="U688" s="34" t="str">
        <f aca="false">IF(B688="","",IF(MONTH(B688)=12,"X",""))</f>
        <v/>
      </c>
      <c r="V688" s="24" t="str">
        <f aca="false">IF(E688="","",COUNTIF($E$5:$E$1000,E688))</f>
        <v/>
      </c>
      <c r="W688" s="35" t="str">
        <f aca="false">IF(E688="","",_xlfn.TEXTJOIN(" + ",TRUE(),IF(COUNTIFS($E$5:$E$1000,E688,$C$5:$C$1000,"Auditoría Interna")&gt;0,"Interna",""),IF(COUNTIFS($E$5:$E$1000,E688,$C$5:$C$1000,"Auditoría Externa")&gt;0,"Externa",""),IF(COUNTIFS($E$5:$E$1000,E688,$C$5:$C$1000,"SSF")&gt;0,"SSF",""),IF(COUNTIFS($E$5:$E$1000,E688,$C$5:$C$1000,"Comité de Supervisión")&gt;0,"Comité Sup.",""),IF(COUNTIFS($E$5:$E$1000,E688,$C$5:$C$1000,"Consejo de Administración")&gt;0,"Consejo",""),IF(COUNTIFS($E$5:$E$1000,E688,$C$5:$C$1000,"Otros")&gt;0,"Otros","")))</f>
        <v/>
      </c>
      <c r="X688" s="24" t="str">
        <f aca="false">IF(E688="","",COUNTIFS($E$5:$E$1000,E688,$AB$5:$AB$1000,AB688,$C$5:$C$1000,"&lt;&gt;"&amp;C688))</f>
        <v/>
      </c>
      <c r="Y688" s="33"/>
      <c r="Z688" s="31"/>
      <c r="AA688" s="33"/>
      <c r="AB688" s="37" t="str">
        <f aca="false">IF(B688="","",YEAR(B688)*100+MONTH(B688))</f>
        <v/>
      </c>
      <c r="AC688" s="37" t="str">
        <f aca="false">IF(AND(E688&lt;&gt;"",E688=Cruce!$C$5),COUNTIF($E$5:E688,E688),"")</f>
        <v/>
      </c>
      <c r="AD688" s="37" t="str">
        <f aca="false">IF(E688="","",C688&amp;"|"&amp;Y688&amp;"|"&amp;IF(B688="","s/f",TEXT(B688,"yyyymmdd")))</f>
        <v/>
      </c>
      <c r="AE688" s="37" t="n">
        <f aca="false">IF(E688="",0,IF(COUNTIFS($E$5:E688,E688,$AD$5:AD688,AD688)=1,1,0))</f>
        <v>0</v>
      </c>
    </row>
    <row r="689" customFormat="false" ht="15" hidden="false" customHeight="true" outlineLevel="0" collapsed="false">
      <c r="A689" s="31"/>
      <c r="B689" s="30"/>
      <c r="C689" s="31"/>
      <c r="D689" s="31"/>
      <c r="E689" s="32"/>
      <c r="F689" s="32"/>
      <c r="G689" s="33"/>
      <c r="H689" s="31"/>
      <c r="I689" s="24" t="str">
        <f aca="false">IF(B689="","",YEAR(B689))</f>
        <v/>
      </c>
      <c r="J689" s="34" t="str">
        <f aca="false">IF(B689="","",IF(MONTH(B689)=1,"X",""))</f>
        <v/>
      </c>
      <c r="K689" s="34" t="str">
        <f aca="false">IF(B689="","",IF(MONTH(B689)=2,"X",""))</f>
        <v/>
      </c>
      <c r="L689" s="34" t="str">
        <f aca="false">IF(B689="","",IF(MONTH(B689)=3,"X",""))</f>
        <v/>
      </c>
      <c r="M689" s="34" t="str">
        <f aca="false">IF(B689="","",IF(MONTH(B689)=4,"X",""))</f>
        <v/>
      </c>
      <c r="N689" s="34" t="str">
        <f aca="false">IF(B689="","",IF(MONTH(B689)=5,"X",""))</f>
        <v/>
      </c>
      <c r="O689" s="34" t="str">
        <f aca="false">IF(B689="","",IF(MONTH(B689)=6,"X",""))</f>
        <v/>
      </c>
      <c r="P689" s="34" t="str">
        <f aca="false">IF(B689="","",IF(MONTH(B689)=7,"X",""))</f>
        <v/>
      </c>
      <c r="Q689" s="34" t="str">
        <f aca="false">IF(B689="","",IF(MONTH(B689)=8,"X",""))</f>
        <v/>
      </c>
      <c r="R689" s="34" t="str">
        <f aca="false">IF(B689="","",IF(MONTH(B689)=9,"X",""))</f>
        <v/>
      </c>
      <c r="S689" s="34" t="str">
        <f aca="false">IF(B689="","",IF(MONTH(B689)=10,"X",""))</f>
        <v/>
      </c>
      <c r="T689" s="34" t="str">
        <f aca="false">IF(B689="","",IF(MONTH(B689)=11,"X",""))</f>
        <v/>
      </c>
      <c r="U689" s="34" t="str">
        <f aca="false">IF(B689="","",IF(MONTH(B689)=12,"X",""))</f>
        <v/>
      </c>
      <c r="V689" s="24" t="str">
        <f aca="false">IF(E689="","",COUNTIF($E$5:$E$1000,E689))</f>
        <v/>
      </c>
      <c r="W689" s="35" t="str">
        <f aca="false">IF(E689="","",_xlfn.TEXTJOIN(" + ",TRUE(),IF(COUNTIFS($E$5:$E$1000,E689,$C$5:$C$1000,"Auditoría Interna")&gt;0,"Interna",""),IF(COUNTIFS($E$5:$E$1000,E689,$C$5:$C$1000,"Auditoría Externa")&gt;0,"Externa",""),IF(COUNTIFS($E$5:$E$1000,E689,$C$5:$C$1000,"SSF")&gt;0,"SSF",""),IF(COUNTIFS($E$5:$E$1000,E689,$C$5:$C$1000,"Comité de Supervisión")&gt;0,"Comité Sup.",""),IF(COUNTIFS($E$5:$E$1000,E689,$C$5:$C$1000,"Consejo de Administración")&gt;0,"Consejo",""),IF(COUNTIFS($E$5:$E$1000,E689,$C$5:$C$1000,"Otros")&gt;0,"Otros","")))</f>
        <v/>
      </c>
      <c r="X689" s="24" t="str">
        <f aca="false">IF(E689="","",COUNTIFS($E$5:$E$1000,E689,$AB$5:$AB$1000,AB689,$C$5:$C$1000,"&lt;&gt;"&amp;C689))</f>
        <v/>
      </c>
      <c r="Y689" s="33"/>
      <c r="Z689" s="31"/>
      <c r="AA689" s="33"/>
      <c r="AB689" s="37" t="str">
        <f aca="false">IF(B689="","",YEAR(B689)*100+MONTH(B689))</f>
        <v/>
      </c>
      <c r="AC689" s="37" t="str">
        <f aca="false">IF(AND(E689&lt;&gt;"",E689=Cruce!$C$5),COUNTIF($E$5:E689,E689),"")</f>
        <v/>
      </c>
      <c r="AD689" s="37" t="str">
        <f aca="false">IF(E689="","",C689&amp;"|"&amp;Y689&amp;"|"&amp;IF(B689="","s/f",TEXT(B689,"yyyymmdd")))</f>
        <v/>
      </c>
      <c r="AE689" s="37" t="n">
        <f aca="false">IF(E689="",0,IF(COUNTIFS($E$5:E689,E689,$AD$5:AD689,AD689)=1,1,0))</f>
        <v>0</v>
      </c>
    </row>
    <row r="690" customFormat="false" ht="15" hidden="false" customHeight="true" outlineLevel="0" collapsed="false">
      <c r="A690" s="31"/>
      <c r="B690" s="30"/>
      <c r="C690" s="31"/>
      <c r="D690" s="31"/>
      <c r="E690" s="32"/>
      <c r="F690" s="32"/>
      <c r="G690" s="33"/>
      <c r="H690" s="31"/>
      <c r="I690" s="24" t="str">
        <f aca="false">IF(B690="","",YEAR(B690))</f>
        <v/>
      </c>
      <c r="J690" s="34" t="str">
        <f aca="false">IF(B690="","",IF(MONTH(B690)=1,"X",""))</f>
        <v/>
      </c>
      <c r="K690" s="34" t="str">
        <f aca="false">IF(B690="","",IF(MONTH(B690)=2,"X",""))</f>
        <v/>
      </c>
      <c r="L690" s="34" t="str">
        <f aca="false">IF(B690="","",IF(MONTH(B690)=3,"X",""))</f>
        <v/>
      </c>
      <c r="M690" s="34" t="str">
        <f aca="false">IF(B690="","",IF(MONTH(B690)=4,"X",""))</f>
        <v/>
      </c>
      <c r="N690" s="34" t="str">
        <f aca="false">IF(B690="","",IF(MONTH(B690)=5,"X",""))</f>
        <v/>
      </c>
      <c r="O690" s="34" t="str">
        <f aca="false">IF(B690="","",IF(MONTH(B690)=6,"X",""))</f>
        <v/>
      </c>
      <c r="P690" s="34" t="str">
        <f aca="false">IF(B690="","",IF(MONTH(B690)=7,"X",""))</f>
        <v/>
      </c>
      <c r="Q690" s="34" t="str">
        <f aca="false">IF(B690="","",IF(MONTH(B690)=8,"X",""))</f>
        <v/>
      </c>
      <c r="R690" s="34" t="str">
        <f aca="false">IF(B690="","",IF(MONTH(B690)=9,"X",""))</f>
        <v/>
      </c>
      <c r="S690" s="34" t="str">
        <f aca="false">IF(B690="","",IF(MONTH(B690)=10,"X",""))</f>
        <v/>
      </c>
      <c r="T690" s="34" t="str">
        <f aca="false">IF(B690="","",IF(MONTH(B690)=11,"X",""))</f>
        <v/>
      </c>
      <c r="U690" s="34" t="str">
        <f aca="false">IF(B690="","",IF(MONTH(B690)=12,"X",""))</f>
        <v/>
      </c>
      <c r="V690" s="24" t="str">
        <f aca="false">IF(E690="","",COUNTIF($E$5:$E$1000,E690))</f>
        <v/>
      </c>
      <c r="W690" s="35" t="str">
        <f aca="false">IF(E690="","",_xlfn.TEXTJOIN(" + ",TRUE(),IF(COUNTIFS($E$5:$E$1000,E690,$C$5:$C$1000,"Auditoría Interna")&gt;0,"Interna",""),IF(COUNTIFS($E$5:$E$1000,E690,$C$5:$C$1000,"Auditoría Externa")&gt;0,"Externa",""),IF(COUNTIFS($E$5:$E$1000,E690,$C$5:$C$1000,"SSF")&gt;0,"SSF",""),IF(COUNTIFS($E$5:$E$1000,E690,$C$5:$C$1000,"Comité de Supervisión")&gt;0,"Comité Sup.",""),IF(COUNTIFS($E$5:$E$1000,E690,$C$5:$C$1000,"Consejo de Administración")&gt;0,"Consejo",""),IF(COUNTIFS($E$5:$E$1000,E690,$C$5:$C$1000,"Otros")&gt;0,"Otros","")))</f>
        <v/>
      </c>
      <c r="X690" s="24" t="str">
        <f aca="false">IF(E690="","",COUNTIFS($E$5:$E$1000,E690,$AB$5:$AB$1000,AB690,$C$5:$C$1000,"&lt;&gt;"&amp;C690))</f>
        <v/>
      </c>
      <c r="Y690" s="33"/>
      <c r="Z690" s="31"/>
      <c r="AA690" s="33"/>
      <c r="AB690" s="37" t="str">
        <f aca="false">IF(B690="","",YEAR(B690)*100+MONTH(B690))</f>
        <v/>
      </c>
      <c r="AC690" s="37" t="str">
        <f aca="false">IF(AND(E690&lt;&gt;"",E690=Cruce!$C$5),COUNTIF($E$5:E690,E690),"")</f>
        <v/>
      </c>
      <c r="AD690" s="37" t="str">
        <f aca="false">IF(E690="","",C690&amp;"|"&amp;Y690&amp;"|"&amp;IF(B690="","s/f",TEXT(B690,"yyyymmdd")))</f>
        <v/>
      </c>
      <c r="AE690" s="37" t="n">
        <f aca="false">IF(E690="",0,IF(COUNTIFS($E$5:E690,E690,$AD$5:AD690,AD690)=1,1,0))</f>
        <v>0</v>
      </c>
    </row>
    <row r="691" customFormat="false" ht="15" hidden="false" customHeight="true" outlineLevel="0" collapsed="false">
      <c r="A691" s="31"/>
      <c r="B691" s="30"/>
      <c r="C691" s="31"/>
      <c r="D691" s="31"/>
      <c r="E691" s="32"/>
      <c r="F691" s="32"/>
      <c r="G691" s="33"/>
      <c r="H691" s="31"/>
      <c r="I691" s="24" t="str">
        <f aca="false">IF(B691="","",YEAR(B691))</f>
        <v/>
      </c>
      <c r="J691" s="34" t="str">
        <f aca="false">IF(B691="","",IF(MONTH(B691)=1,"X",""))</f>
        <v/>
      </c>
      <c r="K691" s="34" t="str">
        <f aca="false">IF(B691="","",IF(MONTH(B691)=2,"X",""))</f>
        <v/>
      </c>
      <c r="L691" s="34" t="str">
        <f aca="false">IF(B691="","",IF(MONTH(B691)=3,"X",""))</f>
        <v/>
      </c>
      <c r="M691" s="34" t="str">
        <f aca="false">IF(B691="","",IF(MONTH(B691)=4,"X",""))</f>
        <v/>
      </c>
      <c r="N691" s="34" t="str">
        <f aca="false">IF(B691="","",IF(MONTH(B691)=5,"X",""))</f>
        <v/>
      </c>
      <c r="O691" s="34" t="str">
        <f aca="false">IF(B691="","",IF(MONTH(B691)=6,"X",""))</f>
        <v/>
      </c>
      <c r="P691" s="34" t="str">
        <f aca="false">IF(B691="","",IF(MONTH(B691)=7,"X",""))</f>
        <v/>
      </c>
      <c r="Q691" s="34" t="str">
        <f aca="false">IF(B691="","",IF(MONTH(B691)=8,"X",""))</f>
        <v/>
      </c>
      <c r="R691" s="34" t="str">
        <f aca="false">IF(B691="","",IF(MONTH(B691)=9,"X",""))</f>
        <v/>
      </c>
      <c r="S691" s="34" t="str">
        <f aca="false">IF(B691="","",IF(MONTH(B691)=10,"X",""))</f>
        <v/>
      </c>
      <c r="T691" s="34" t="str">
        <f aca="false">IF(B691="","",IF(MONTH(B691)=11,"X",""))</f>
        <v/>
      </c>
      <c r="U691" s="34" t="str">
        <f aca="false">IF(B691="","",IF(MONTH(B691)=12,"X",""))</f>
        <v/>
      </c>
      <c r="V691" s="24" t="str">
        <f aca="false">IF(E691="","",COUNTIF($E$5:$E$1000,E691))</f>
        <v/>
      </c>
      <c r="W691" s="35" t="str">
        <f aca="false">IF(E691="","",_xlfn.TEXTJOIN(" + ",TRUE(),IF(COUNTIFS($E$5:$E$1000,E691,$C$5:$C$1000,"Auditoría Interna")&gt;0,"Interna",""),IF(COUNTIFS($E$5:$E$1000,E691,$C$5:$C$1000,"Auditoría Externa")&gt;0,"Externa",""),IF(COUNTIFS($E$5:$E$1000,E691,$C$5:$C$1000,"SSF")&gt;0,"SSF",""),IF(COUNTIFS($E$5:$E$1000,E691,$C$5:$C$1000,"Comité de Supervisión")&gt;0,"Comité Sup.",""),IF(COUNTIFS($E$5:$E$1000,E691,$C$5:$C$1000,"Consejo de Administración")&gt;0,"Consejo",""),IF(COUNTIFS($E$5:$E$1000,E691,$C$5:$C$1000,"Otros")&gt;0,"Otros","")))</f>
        <v/>
      </c>
      <c r="X691" s="24" t="str">
        <f aca="false">IF(E691="","",COUNTIFS($E$5:$E$1000,E691,$AB$5:$AB$1000,AB691,$C$5:$C$1000,"&lt;&gt;"&amp;C691))</f>
        <v/>
      </c>
      <c r="Y691" s="33"/>
      <c r="Z691" s="31"/>
      <c r="AA691" s="33"/>
      <c r="AB691" s="37" t="str">
        <f aca="false">IF(B691="","",YEAR(B691)*100+MONTH(B691))</f>
        <v/>
      </c>
      <c r="AC691" s="37" t="str">
        <f aca="false">IF(AND(E691&lt;&gt;"",E691=Cruce!$C$5),COUNTIF($E$5:E691,E691),"")</f>
        <v/>
      </c>
      <c r="AD691" s="37" t="str">
        <f aca="false">IF(E691="","",C691&amp;"|"&amp;Y691&amp;"|"&amp;IF(B691="","s/f",TEXT(B691,"yyyymmdd")))</f>
        <v/>
      </c>
      <c r="AE691" s="37" t="n">
        <f aca="false">IF(E691="",0,IF(COUNTIFS($E$5:E691,E691,$AD$5:AD691,AD691)=1,1,0))</f>
        <v>0</v>
      </c>
    </row>
    <row r="692" customFormat="false" ht="15" hidden="false" customHeight="true" outlineLevel="0" collapsed="false">
      <c r="A692" s="31"/>
      <c r="B692" s="30"/>
      <c r="C692" s="31"/>
      <c r="D692" s="31"/>
      <c r="E692" s="32"/>
      <c r="F692" s="32"/>
      <c r="G692" s="33"/>
      <c r="H692" s="31"/>
      <c r="I692" s="24" t="str">
        <f aca="false">IF(B692="","",YEAR(B692))</f>
        <v/>
      </c>
      <c r="J692" s="34" t="str">
        <f aca="false">IF(B692="","",IF(MONTH(B692)=1,"X",""))</f>
        <v/>
      </c>
      <c r="K692" s="34" t="str">
        <f aca="false">IF(B692="","",IF(MONTH(B692)=2,"X",""))</f>
        <v/>
      </c>
      <c r="L692" s="34" t="str">
        <f aca="false">IF(B692="","",IF(MONTH(B692)=3,"X",""))</f>
        <v/>
      </c>
      <c r="M692" s="34" t="str">
        <f aca="false">IF(B692="","",IF(MONTH(B692)=4,"X",""))</f>
        <v/>
      </c>
      <c r="N692" s="34" t="str">
        <f aca="false">IF(B692="","",IF(MONTH(B692)=5,"X",""))</f>
        <v/>
      </c>
      <c r="O692" s="34" t="str">
        <f aca="false">IF(B692="","",IF(MONTH(B692)=6,"X",""))</f>
        <v/>
      </c>
      <c r="P692" s="34" t="str">
        <f aca="false">IF(B692="","",IF(MONTH(B692)=7,"X",""))</f>
        <v/>
      </c>
      <c r="Q692" s="34" t="str">
        <f aca="false">IF(B692="","",IF(MONTH(B692)=8,"X",""))</f>
        <v/>
      </c>
      <c r="R692" s="34" t="str">
        <f aca="false">IF(B692="","",IF(MONTH(B692)=9,"X",""))</f>
        <v/>
      </c>
      <c r="S692" s="34" t="str">
        <f aca="false">IF(B692="","",IF(MONTH(B692)=10,"X",""))</f>
        <v/>
      </c>
      <c r="T692" s="34" t="str">
        <f aca="false">IF(B692="","",IF(MONTH(B692)=11,"X",""))</f>
        <v/>
      </c>
      <c r="U692" s="34" t="str">
        <f aca="false">IF(B692="","",IF(MONTH(B692)=12,"X",""))</f>
        <v/>
      </c>
      <c r="V692" s="24" t="str">
        <f aca="false">IF(E692="","",COUNTIF($E$5:$E$1000,E692))</f>
        <v/>
      </c>
      <c r="W692" s="35" t="str">
        <f aca="false">IF(E692="","",_xlfn.TEXTJOIN(" + ",TRUE(),IF(COUNTIFS($E$5:$E$1000,E692,$C$5:$C$1000,"Auditoría Interna")&gt;0,"Interna",""),IF(COUNTIFS($E$5:$E$1000,E692,$C$5:$C$1000,"Auditoría Externa")&gt;0,"Externa",""),IF(COUNTIFS($E$5:$E$1000,E692,$C$5:$C$1000,"SSF")&gt;0,"SSF",""),IF(COUNTIFS($E$5:$E$1000,E692,$C$5:$C$1000,"Comité de Supervisión")&gt;0,"Comité Sup.",""),IF(COUNTIFS($E$5:$E$1000,E692,$C$5:$C$1000,"Consejo de Administración")&gt;0,"Consejo",""),IF(COUNTIFS($E$5:$E$1000,E692,$C$5:$C$1000,"Otros")&gt;0,"Otros","")))</f>
        <v/>
      </c>
      <c r="X692" s="24" t="str">
        <f aca="false">IF(E692="","",COUNTIFS($E$5:$E$1000,E692,$AB$5:$AB$1000,AB692,$C$5:$C$1000,"&lt;&gt;"&amp;C692))</f>
        <v/>
      </c>
      <c r="Y692" s="33"/>
      <c r="Z692" s="31"/>
      <c r="AA692" s="33"/>
      <c r="AB692" s="37" t="str">
        <f aca="false">IF(B692="","",YEAR(B692)*100+MONTH(B692))</f>
        <v/>
      </c>
      <c r="AC692" s="37" t="str">
        <f aca="false">IF(AND(E692&lt;&gt;"",E692=Cruce!$C$5),COUNTIF($E$5:E692,E692),"")</f>
        <v/>
      </c>
      <c r="AD692" s="37" t="str">
        <f aca="false">IF(E692="","",C692&amp;"|"&amp;Y692&amp;"|"&amp;IF(B692="","s/f",TEXT(B692,"yyyymmdd")))</f>
        <v/>
      </c>
      <c r="AE692" s="37" t="n">
        <f aca="false">IF(E692="",0,IF(COUNTIFS($E$5:E692,E692,$AD$5:AD692,AD692)=1,1,0))</f>
        <v>0</v>
      </c>
    </row>
    <row r="693" customFormat="false" ht="15" hidden="false" customHeight="true" outlineLevel="0" collapsed="false">
      <c r="A693" s="31"/>
      <c r="B693" s="30"/>
      <c r="C693" s="31"/>
      <c r="D693" s="31"/>
      <c r="E693" s="32"/>
      <c r="F693" s="32"/>
      <c r="G693" s="33"/>
      <c r="H693" s="31"/>
      <c r="I693" s="24" t="str">
        <f aca="false">IF(B693="","",YEAR(B693))</f>
        <v/>
      </c>
      <c r="J693" s="34" t="str">
        <f aca="false">IF(B693="","",IF(MONTH(B693)=1,"X",""))</f>
        <v/>
      </c>
      <c r="K693" s="34" t="str">
        <f aca="false">IF(B693="","",IF(MONTH(B693)=2,"X",""))</f>
        <v/>
      </c>
      <c r="L693" s="34" t="str">
        <f aca="false">IF(B693="","",IF(MONTH(B693)=3,"X",""))</f>
        <v/>
      </c>
      <c r="M693" s="34" t="str">
        <f aca="false">IF(B693="","",IF(MONTH(B693)=4,"X",""))</f>
        <v/>
      </c>
      <c r="N693" s="34" t="str">
        <f aca="false">IF(B693="","",IF(MONTH(B693)=5,"X",""))</f>
        <v/>
      </c>
      <c r="O693" s="34" t="str">
        <f aca="false">IF(B693="","",IF(MONTH(B693)=6,"X",""))</f>
        <v/>
      </c>
      <c r="P693" s="34" t="str">
        <f aca="false">IF(B693="","",IF(MONTH(B693)=7,"X",""))</f>
        <v/>
      </c>
      <c r="Q693" s="34" t="str">
        <f aca="false">IF(B693="","",IF(MONTH(B693)=8,"X",""))</f>
        <v/>
      </c>
      <c r="R693" s="34" t="str">
        <f aca="false">IF(B693="","",IF(MONTH(B693)=9,"X",""))</f>
        <v/>
      </c>
      <c r="S693" s="34" t="str">
        <f aca="false">IF(B693="","",IF(MONTH(B693)=10,"X",""))</f>
        <v/>
      </c>
      <c r="T693" s="34" t="str">
        <f aca="false">IF(B693="","",IF(MONTH(B693)=11,"X",""))</f>
        <v/>
      </c>
      <c r="U693" s="34" t="str">
        <f aca="false">IF(B693="","",IF(MONTH(B693)=12,"X",""))</f>
        <v/>
      </c>
      <c r="V693" s="24" t="str">
        <f aca="false">IF(E693="","",COUNTIF($E$5:$E$1000,E693))</f>
        <v/>
      </c>
      <c r="W693" s="35" t="str">
        <f aca="false">IF(E693="","",_xlfn.TEXTJOIN(" + ",TRUE(),IF(COUNTIFS($E$5:$E$1000,E693,$C$5:$C$1000,"Auditoría Interna")&gt;0,"Interna",""),IF(COUNTIFS($E$5:$E$1000,E693,$C$5:$C$1000,"Auditoría Externa")&gt;0,"Externa",""),IF(COUNTIFS($E$5:$E$1000,E693,$C$5:$C$1000,"SSF")&gt;0,"SSF",""),IF(COUNTIFS($E$5:$E$1000,E693,$C$5:$C$1000,"Comité de Supervisión")&gt;0,"Comité Sup.",""),IF(COUNTIFS($E$5:$E$1000,E693,$C$5:$C$1000,"Consejo de Administración")&gt;0,"Consejo",""),IF(COUNTIFS($E$5:$E$1000,E693,$C$5:$C$1000,"Otros")&gt;0,"Otros","")))</f>
        <v/>
      </c>
      <c r="X693" s="24" t="str">
        <f aca="false">IF(E693="","",COUNTIFS($E$5:$E$1000,E693,$AB$5:$AB$1000,AB693,$C$5:$C$1000,"&lt;&gt;"&amp;C693))</f>
        <v/>
      </c>
      <c r="Y693" s="33"/>
      <c r="Z693" s="31"/>
      <c r="AA693" s="33"/>
      <c r="AB693" s="37" t="str">
        <f aca="false">IF(B693="","",YEAR(B693)*100+MONTH(B693))</f>
        <v/>
      </c>
      <c r="AC693" s="37" t="str">
        <f aca="false">IF(AND(E693&lt;&gt;"",E693=Cruce!$C$5),COUNTIF($E$5:E693,E693),"")</f>
        <v/>
      </c>
      <c r="AD693" s="37" t="str">
        <f aca="false">IF(E693="","",C693&amp;"|"&amp;Y693&amp;"|"&amp;IF(B693="","s/f",TEXT(B693,"yyyymmdd")))</f>
        <v/>
      </c>
      <c r="AE693" s="37" t="n">
        <f aca="false">IF(E693="",0,IF(COUNTIFS($E$5:E693,E693,$AD$5:AD693,AD693)=1,1,0))</f>
        <v>0</v>
      </c>
    </row>
    <row r="694" customFormat="false" ht="15" hidden="false" customHeight="true" outlineLevel="0" collapsed="false">
      <c r="A694" s="31"/>
      <c r="B694" s="30"/>
      <c r="C694" s="31"/>
      <c r="D694" s="31"/>
      <c r="E694" s="32"/>
      <c r="F694" s="32"/>
      <c r="G694" s="33"/>
      <c r="H694" s="31"/>
      <c r="I694" s="24" t="str">
        <f aca="false">IF(B694="","",YEAR(B694))</f>
        <v/>
      </c>
      <c r="J694" s="34" t="str">
        <f aca="false">IF(B694="","",IF(MONTH(B694)=1,"X",""))</f>
        <v/>
      </c>
      <c r="K694" s="34" t="str">
        <f aca="false">IF(B694="","",IF(MONTH(B694)=2,"X",""))</f>
        <v/>
      </c>
      <c r="L694" s="34" t="str">
        <f aca="false">IF(B694="","",IF(MONTH(B694)=3,"X",""))</f>
        <v/>
      </c>
      <c r="M694" s="34" t="str">
        <f aca="false">IF(B694="","",IF(MONTH(B694)=4,"X",""))</f>
        <v/>
      </c>
      <c r="N694" s="34" t="str">
        <f aca="false">IF(B694="","",IF(MONTH(B694)=5,"X",""))</f>
        <v/>
      </c>
      <c r="O694" s="34" t="str">
        <f aca="false">IF(B694="","",IF(MONTH(B694)=6,"X",""))</f>
        <v/>
      </c>
      <c r="P694" s="34" t="str">
        <f aca="false">IF(B694="","",IF(MONTH(B694)=7,"X",""))</f>
        <v/>
      </c>
      <c r="Q694" s="34" t="str">
        <f aca="false">IF(B694="","",IF(MONTH(B694)=8,"X",""))</f>
        <v/>
      </c>
      <c r="R694" s="34" t="str">
        <f aca="false">IF(B694="","",IF(MONTH(B694)=9,"X",""))</f>
        <v/>
      </c>
      <c r="S694" s="34" t="str">
        <f aca="false">IF(B694="","",IF(MONTH(B694)=10,"X",""))</f>
        <v/>
      </c>
      <c r="T694" s="34" t="str">
        <f aca="false">IF(B694="","",IF(MONTH(B694)=11,"X",""))</f>
        <v/>
      </c>
      <c r="U694" s="34" t="str">
        <f aca="false">IF(B694="","",IF(MONTH(B694)=12,"X",""))</f>
        <v/>
      </c>
      <c r="V694" s="24" t="str">
        <f aca="false">IF(E694="","",COUNTIF($E$5:$E$1000,E694))</f>
        <v/>
      </c>
      <c r="W694" s="35" t="str">
        <f aca="false">IF(E694="","",_xlfn.TEXTJOIN(" + ",TRUE(),IF(COUNTIFS($E$5:$E$1000,E694,$C$5:$C$1000,"Auditoría Interna")&gt;0,"Interna",""),IF(COUNTIFS($E$5:$E$1000,E694,$C$5:$C$1000,"Auditoría Externa")&gt;0,"Externa",""),IF(COUNTIFS($E$5:$E$1000,E694,$C$5:$C$1000,"SSF")&gt;0,"SSF",""),IF(COUNTIFS($E$5:$E$1000,E694,$C$5:$C$1000,"Comité de Supervisión")&gt;0,"Comité Sup.",""),IF(COUNTIFS($E$5:$E$1000,E694,$C$5:$C$1000,"Consejo de Administración")&gt;0,"Consejo",""),IF(COUNTIFS($E$5:$E$1000,E694,$C$5:$C$1000,"Otros")&gt;0,"Otros","")))</f>
        <v/>
      </c>
      <c r="X694" s="24" t="str">
        <f aca="false">IF(E694="","",COUNTIFS($E$5:$E$1000,E694,$AB$5:$AB$1000,AB694,$C$5:$C$1000,"&lt;&gt;"&amp;C694))</f>
        <v/>
      </c>
      <c r="Y694" s="33"/>
      <c r="Z694" s="31"/>
      <c r="AA694" s="33"/>
      <c r="AB694" s="37" t="str">
        <f aca="false">IF(B694="","",YEAR(B694)*100+MONTH(B694))</f>
        <v/>
      </c>
      <c r="AC694" s="37" t="str">
        <f aca="false">IF(AND(E694&lt;&gt;"",E694=Cruce!$C$5),COUNTIF($E$5:E694,E694),"")</f>
        <v/>
      </c>
      <c r="AD694" s="37" t="str">
        <f aca="false">IF(E694="","",C694&amp;"|"&amp;Y694&amp;"|"&amp;IF(B694="","s/f",TEXT(B694,"yyyymmdd")))</f>
        <v/>
      </c>
      <c r="AE694" s="37" t="n">
        <f aca="false">IF(E694="",0,IF(COUNTIFS($E$5:E694,E694,$AD$5:AD694,AD694)=1,1,0))</f>
        <v>0</v>
      </c>
    </row>
    <row r="695" customFormat="false" ht="15" hidden="false" customHeight="true" outlineLevel="0" collapsed="false">
      <c r="A695" s="31"/>
      <c r="B695" s="30"/>
      <c r="C695" s="31"/>
      <c r="D695" s="31"/>
      <c r="E695" s="32"/>
      <c r="F695" s="32"/>
      <c r="G695" s="33"/>
      <c r="H695" s="31"/>
      <c r="I695" s="24" t="str">
        <f aca="false">IF(B695="","",YEAR(B695))</f>
        <v/>
      </c>
      <c r="J695" s="34" t="str">
        <f aca="false">IF(B695="","",IF(MONTH(B695)=1,"X",""))</f>
        <v/>
      </c>
      <c r="K695" s="34" t="str">
        <f aca="false">IF(B695="","",IF(MONTH(B695)=2,"X",""))</f>
        <v/>
      </c>
      <c r="L695" s="34" t="str">
        <f aca="false">IF(B695="","",IF(MONTH(B695)=3,"X",""))</f>
        <v/>
      </c>
      <c r="M695" s="34" t="str">
        <f aca="false">IF(B695="","",IF(MONTH(B695)=4,"X",""))</f>
        <v/>
      </c>
      <c r="N695" s="34" t="str">
        <f aca="false">IF(B695="","",IF(MONTH(B695)=5,"X",""))</f>
        <v/>
      </c>
      <c r="O695" s="34" t="str">
        <f aca="false">IF(B695="","",IF(MONTH(B695)=6,"X",""))</f>
        <v/>
      </c>
      <c r="P695" s="34" t="str">
        <f aca="false">IF(B695="","",IF(MONTH(B695)=7,"X",""))</f>
        <v/>
      </c>
      <c r="Q695" s="34" t="str">
        <f aca="false">IF(B695="","",IF(MONTH(B695)=8,"X",""))</f>
        <v/>
      </c>
      <c r="R695" s="34" t="str">
        <f aca="false">IF(B695="","",IF(MONTH(B695)=9,"X",""))</f>
        <v/>
      </c>
      <c r="S695" s="34" t="str">
        <f aca="false">IF(B695="","",IF(MONTH(B695)=10,"X",""))</f>
        <v/>
      </c>
      <c r="T695" s="34" t="str">
        <f aca="false">IF(B695="","",IF(MONTH(B695)=11,"X",""))</f>
        <v/>
      </c>
      <c r="U695" s="34" t="str">
        <f aca="false">IF(B695="","",IF(MONTH(B695)=12,"X",""))</f>
        <v/>
      </c>
      <c r="V695" s="24" t="str">
        <f aca="false">IF(E695="","",COUNTIF($E$5:$E$1000,E695))</f>
        <v/>
      </c>
      <c r="W695" s="35" t="str">
        <f aca="false">IF(E695="","",_xlfn.TEXTJOIN(" + ",TRUE(),IF(COUNTIFS($E$5:$E$1000,E695,$C$5:$C$1000,"Auditoría Interna")&gt;0,"Interna",""),IF(COUNTIFS($E$5:$E$1000,E695,$C$5:$C$1000,"Auditoría Externa")&gt;0,"Externa",""),IF(COUNTIFS($E$5:$E$1000,E695,$C$5:$C$1000,"SSF")&gt;0,"SSF",""),IF(COUNTIFS($E$5:$E$1000,E695,$C$5:$C$1000,"Comité de Supervisión")&gt;0,"Comité Sup.",""),IF(COUNTIFS($E$5:$E$1000,E695,$C$5:$C$1000,"Consejo de Administración")&gt;0,"Consejo",""),IF(COUNTIFS($E$5:$E$1000,E695,$C$5:$C$1000,"Otros")&gt;0,"Otros","")))</f>
        <v/>
      </c>
      <c r="X695" s="24" t="str">
        <f aca="false">IF(E695="","",COUNTIFS($E$5:$E$1000,E695,$AB$5:$AB$1000,AB695,$C$5:$C$1000,"&lt;&gt;"&amp;C695))</f>
        <v/>
      </c>
      <c r="Y695" s="33"/>
      <c r="Z695" s="31"/>
      <c r="AA695" s="33"/>
      <c r="AB695" s="37" t="str">
        <f aca="false">IF(B695="","",YEAR(B695)*100+MONTH(B695))</f>
        <v/>
      </c>
      <c r="AC695" s="37" t="str">
        <f aca="false">IF(AND(E695&lt;&gt;"",E695=Cruce!$C$5),COUNTIF($E$5:E695,E695),"")</f>
        <v/>
      </c>
      <c r="AD695" s="37" t="str">
        <f aca="false">IF(E695="","",C695&amp;"|"&amp;Y695&amp;"|"&amp;IF(B695="","s/f",TEXT(B695,"yyyymmdd")))</f>
        <v/>
      </c>
      <c r="AE695" s="37" t="n">
        <f aca="false">IF(E695="",0,IF(COUNTIFS($E$5:E695,E695,$AD$5:AD695,AD695)=1,1,0))</f>
        <v>0</v>
      </c>
    </row>
    <row r="696" customFormat="false" ht="15" hidden="false" customHeight="true" outlineLevel="0" collapsed="false">
      <c r="A696" s="31"/>
      <c r="B696" s="30"/>
      <c r="C696" s="31"/>
      <c r="D696" s="31"/>
      <c r="E696" s="32"/>
      <c r="F696" s="32"/>
      <c r="G696" s="33"/>
      <c r="H696" s="31"/>
      <c r="I696" s="24" t="str">
        <f aca="false">IF(B696="","",YEAR(B696))</f>
        <v/>
      </c>
      <c r="J696" s="34" t="str">
        <f aca="false">IF(B696="","",IF(MONTH(B696)=1,"X",""))</f>
        <v/>
      </c>
      <c r="K696" s="34" t="str">
        <f aca="false">IF(B696="","",IF(MONTH(B696)=2,"X",""))</f>
        <v/>
      </c>
      <c r="L696" s="34" t="str">
        <f aca="false">IF(B696="","",IF(MONTH(B696)=3,"X",""))</f>
        <v/>
      </c>
      <c r="M696" s="34" t="str">
        <f aca="false">IF(B696="","",IF(MONTH(B696)=4,"X",""))</f>
        <v/>
      </c>
      <c r="N696" s="34" t="str">
        <f aca="false">IF(B696="","",IF(MONTH(B696)=5,"X",""))</f>
        <v/>
      </c>
      <c r="O696" s="34" t="str">
        <f aca="false">IF(B696="","",IF(MONTH(B696)=6,"X",""))</f>
        <v/>
      </c>
      <c r="P696" s="34" t="str">
        <f aca="false">IF(B696="","",IF(MONTH(B696)=7,"X",""))</f>
        <v/>
      </c>
      <c r="Q696" s="34" t="str">
        <f aca="false">IF(B696="","",IF(MONTH(B696)=8,"X",""))</f>
        <v/>
      </c>
      <c r="R696" s="34" t="str">
        <f aca="false">IF(B696="","",IF(MONTH(B696)=9,"X",""))</f>
        <v/>
      </c>
      <c r="S696" s="34" t="str">
        <f aca="false">IF(B696="","",IF(MONTH(B696)=10,"X",""))</f>
        <v/>
      </c>
      <c r="T696" s="34" t="str">
        <f aca="false">IF(B696="","",IF(MONTH(B696)=11,"X",""))</f>
        <v/>
      </c>
      <c r="U696" s="34" t="str">
        <f aca="false">IF(B696="","",IF(MONTH(B696)=12,"X",""))</f>
        <v/>
      </c>
      <c r="V696" s="24" t="str">
        <f aca="false">IF(E696="","",COUNTIF($E$5:$E$1000,E696))</f>
        <v/>
      </c>
      <c r="W696" s="35" t="str">
        <f aca="false">IF(E696="","",_xlfn.TEXTJOIN(" + ",TRUE(),IF(COUNTIFS($E$5:$E$1000,E696,$C$5:$C$1000,"Auditoría Interna")&gt;0,"Interna",""),IF(COUNTIFS($E$5:$E$1000,E696,$C$5:$C$1000,"Auditoría Externa")&gt;0,"Externa",""),IF(COUNTIFS($E$5:$E$1000,E696,$C$5:$C$1000,"SSF")&gt;0,"SSF",""),IF(COUNTIFS($E$5:$E$1000,E696,$C$5:$C$1000,"Comité de Supervisión")&gt;0,"Comité Sup.",""),IF(COUNTIFS($E$5:$E$1000,E696,$C$5:$C$1000,"Consejo de Administración")&gt;0,"Consejo",""),IF(COUNTIFS($E$5:$E$1000,E696,$C$5:$C$1000,"Otros")&gt;0,"Otros","")))</f>
        <v/>
      </c>
      <c r="X696" s="24" t="str">
        <f aca="false">IF(E696="","",COUNTIFS($E$5:$E$1000,E696,$AB$5:$AB$1000,AB696,$C$5:$C$1000,"&lt;&gt;"&amp;C696))</f>
        <v/>
      </c>
      <c r="Y696" s="33"/>
      <c r="Z696" s="31"/>
      <c r="AA696" s="33"/>
      <c r="AB696" s="37" t="str">
        <f aca="false">IF(B696="","",YEAR(B696)*100+MONTH(B696))</f>
        <v/>
      </c>
      <c r="AC696" s="37" t="str">
        <f aca="false">IF(AND(E696&lt;&gt;"",E696=Cruce!$C$5),COUNTIF($E$5:E696,E696),"")</f>
        <v/>
      </c>
      <c r="AD696" s="37" t="str">
        <f aca="false">IF(E696="","",C696&amp;"|"&amp;Y696&amp;"|"&amp;IF(B696="","s/f",TEXT(B696,"yyyymmdd")))</f>
        <v/>
      </c>
      <c r="AE696" s="37" t="n">
        <f aca="false">IF(E696="",0,IF(COUNTIFS($E$5:E696,E696,$AD$5:AD696,AD696)=1,1,0))</f>
        <v>0</v>
      </c>
    </row>
    <row r="697" customFormat="false" ht="15" hidden="false" customHeight="true" outlineLevel="0" collapsed="false">
      <c r="A697" s="31"/>
      <c r="B697" s="30"/>
      <c r="C697" s="31"/>
      <c r="D697" s="31"/>
      <c r="E697" s="32"/>
      <c r="F697" s="32"/>
      <c r="G697" s="33"/>
      <c r="H697" s="31"/>
      <c r="I697" s="24" t="str">
        <f aca="false">IF(B697="","",YEAR(B697))</f>
        <v/>
      </c>
      <c r="J697" s="34" t="str">
        <f aca="false">IF(B697="","",IF(MONTH(B697)=1,"X",""))</f>
        <v/>
      </c>
      <c r="K697" s="34" t="str">
        <f aca="false">IF(B697="","",IF(MONTH(B697)=2,"X",""))</f>
        <v/>
      </c>
      <c r="L697" s="34" t="str">
        <f aca="false">IF(B697="","",IF(MONTH(B697)=3,"X",""))</f>
        <v/>
      </c>
      <c r="M697" s="34" t="str">
        <f aca="false">IF(B697="","",IF(MONTH(B697)=4,"X",""))</f>
        <v/>
      </c>
      <c r="N697" s="34" t="str">
        <f aca="false">IF(B697="","",IF(MONTH(B697)=5,"X",""))</f>
        <v/>
      </c>
      <c r="O697" s="34" t="str">
        <f aca="false">IF(B697="","",IF(MONTH(B697)=6,"X",""))</f>
        <v/>
      </c>
      <c r="P697" s="34" t="str">
        <f aca="false">IF(B697="","",IF(MONTH(B697)=7,"X",""))</f>
        <v/>
      </c>
      <c r="Q697" s="34" t="str">
        <f aca="false">IF(B697="","",IF(MONTH(B697)=8,"X",""))</f>
        <v/>
      </c>
      <c r="R697" s="34" t="str">
        <f aca="false">IF(B697="","",IF(MONTH(B697)=9,"X",""))</f>
        <v/>
      </c>
      <c r="S697" s="34" t="str">
        <f aca="false">IF(B697="","",IF(MONTH(B697)=10,"X",""))</f>
        <v/>
      </c>
      <c r="T697" s="34" t="str">
        <f aca="false">IF(B697="","",IF(MONTH(B697)=11,"X",""))</f>
        <v/>
      </c>
      <c r="U697" s="34" t="str">
        <f aca="false">IF(B697="","",IF(MONTH(B697)=12,"X",""))</f>
        <v/>
      </c>
      <c r="V697" s="24" t="str">
        <f aca="false">IF(E697="","",COUNTIF($E$5:$E$1000,E697))</f>
        <v/>
      </c>
      <c r="W697" s="35" t="str">
        <f aca="false">IF(E697="","",_xlfn.TEXTJOIN(" + ",TRUE(),IF(COUNTIFS($E$5:$E$1000,E697,$C$5:$C$1000,"Auditoría Interna")&gt;0,"Interna",""),IF(COUNTIFS($E$5:$E$1000,E697,$C$5:$C$1000,"Auditoría Externa")&gt;0,"Externa",""),IF(COUNTIFS($E$5:$E$1000,E697,$C$5:$C$1000,"SSF")&gt;0,"SSF",""),IF(COUNTIFS($E$5:$E$1000,E697,$C$5:$C$1000,"Comité de Supervisión")&gt;0,"Comité Sup.",""),IF(COUNTIFS($E$5:$E$1000,E697,$C$5:$C$1000,"Consejo de Administración")&gt;0,"Consejo",""),IF(COUNTIFS($E$5:$E$1000,E697,$C$5:$C$1000,"Otros")&gt;0,"Otros","")))</f>
        <v/>
      </c>
      <c r="X697" s="24" t="str">
        <f aca="false">IF(E697="","",COUNTIFS($E$5:$E$1000,E697,$AB$5:$AB$1000,AB697,$C$5:$C$1000,"&lt;&gt;"&amp;C697))</f>
        <v/>
      </c>
      <c r="Y697" s="33"/>
      <c r="Z697" s="31"/>
      <c r="AA697" s="33"/>
      <c r="AB697" s="37" t="str">
        <f aca="false">IF(B697="","",YEAR(B697)*100+MONTH(B697))</f>
        <v/>
      </c>
      <c r="AC697" s="37" t="str">
        <f aca="false">IF(AND(E697&lt;&gt;"",E697=Cruce!$C$5),COUNTIF($E$5:E697,E697),"")</f>
        <v/>
      </c>
      <c r="AD697" s="37" t="str">
        <f aca="false">IF(E697="","",C697&amp;"|"&amp;Y697&amp;"|"&amp;IF(B697="","s/f",TEXT(B697,"yyyymmdd")))</f>
        <v/>
      </c>
      <c r="AE697" s="37" t="n">
        <f aca="false">IF(E697="",0,IF(COUNTIFS($E$5:E697,E697,$AD$5:AD697,AD697)=1,1,0))</f>
        <v>0</v>
      </c>
    </row>
    <row r="698" customFormat="false" ht="15" hidden="false" customHeight="true" outlineLevel="0" collapsed="false">
      <c r="A698" s="31"/>
      <c r="B698" s="30"/>
      <c r="C698" s="31"/>
      <c r="D698" s="31"/>
      <c r="E698" s="32"/>
      <c r="F698" s="32"/>
      <c r="G698" s="33"/>
      <c r="H698" s="31"/>
      <c r="I698" s="24" t="str">
        <f aca="false">IF(B698="","",YEAR(B698))</f>
        <v/>
      </c>
      <c r="J698" s="34" t="str">
        <f aca="false">IF(B698="","",IF(MONTH(B698)=1,"X",""))</f>
        <v/>
      </c>
      <c r="K698" s="34" t="str">
        <f aca="false">IF(B698="","",IF(MONTH(B698)=2,"X",""))</f>
        <v/>
      </c>
      <c r="L698" s="34" t="str">
        <f aca="false">IF(B698="","",IF(MONTH(B698)=3,"X",""))</f>
        <v/>
      </c>
      <c r="M698" s="34" t="str">
        <f aca="false">IF(B698="","",IF(MONTH(B698)=4,"X",""))</f>
        <v/>
      </c>
      <c r="N698" s="34" t="str">
        <f aca="false">IF(B698="","",IF(MONTH(B698)=5,"X",""))</f>
        <v/>
      </c>
      <c r="O698" s="34" t="str">
        <f aca="false">IF(B698="","",IF(MONTH(B698)=6,"X",""))</f>
        <v/>
      </c>
      <c r="P698" s="34" t="str">
        <f aca="false">IF(B698="","",IF(MONTH(B698)=7,"X",""))</f>
        <v/>
      </c>
      <c r="Q698" s="34" t="str">
        <f aca="false">IF(B698="","",IF(MONTH(B698)=8,"X",""))</f>
        <v/>
      </c>
      <c r="R698" s="34" t="str">
        <f aca="false">IF(B698="","",IF(MONTH(B698)=9,"X",""))</f>
        <v/>
      </c>
      <c r="S698" s="34" t="str">
        <f aca="false">IF(B698="","",IF(MONTH(B698)=10,"X",""))</f>
        <v/>
      </c>
      <c r="T698" s="34" t="str">
        <f aca="false">IF(B698="","",IF(MONTH(B698)=11,"X",""))</f>
        <v/>
      </c>
      <c r="U698" s="34" t="str">
        <f aca="false">IF(B698="","",IF(MONTH(B698)=12,"X",""))</f>
        <v/>
      </c>
      <c r="V698" s="24" t="str">
        <f aca="false">IF(E698="","",COUNTIF($E$5:$E$1000,E698))</f>
        <v/>
      </c>
      <c r="W698" s="35" t="str">
        <f aca="false">IF(E698="","",_xlfn.TEXTJOIN(" + ",TRUE(),IF(COUNTIFS($E$5:$E$1000,E698,$C$5:$C$1000,"Auditoría Interna")&gt;0,"Interna",""),IF(COUNTIFS($E$5:$E$1000,E698,$C$5:$C$1000,"Auditoría Externa")&gt;0,"Externa",""),IF(COUNTIFS($E$5:$E$1000,E698,$C$5:$C$1000,"SSF")&gt;0,"SSF",""),IF(COUNTIFS($E$5:$E$1000,E698,$C$5:$C$1000,"Comité de Supervisión")&gt;0,"Comité Sup.",""),IF(COUNTIFS($E$5:$E$1000,E698,$C$5:$C$1000,"Consejo de Administración")&gt;0,"Consejo",""),IF(COUNTIFS($E$5:$E$1000,E698,$C$5:$C$1000,"Otros")&gt;0,"Otros","")))</f>
        <v/>
      </c>
      <c r="X698" s="24" t="str">
        <f aca="false">IF(E698="","",COUNTIFS($E$5:$E$1000,E698,$AB$5:$AB$1000,AB698,$C$5:$C$1000,"&lt;&gt;"&amp;C698))</f>
        <v/>
      </c>
      <c r="Y698" s="33"/>
      <c r="Z698" s="31"/>
      <c r="AA698" s="33"/>
      <c r="AB698" s="37" t="str">
        <f aca="false">IF(B698="","",YEAR(B698)*100+MONTH(B698))</f>
        <v/>
      </c>
      <c r="AC698" s="37" t="str">
        <f aca="false">IF(AND(E698&lt;&gt;"",E698=Cruce!$C$5),COUNTIF($E$5:E698,E698),"")</f>
        <v/>
      </c>
      <c r="AD698" s="37" t="str">
        <f aca="false">IF(E698="","",C698&amp;"|"&amp;Y698&amp;"|"&amp;IF(B698="","s/f",TEXT(B698,"yyyymmdd")))</f>
        <v/>
      </c>
      <c r="AE698" s="37" t="n">
        <f aca="false">IF(E698="",0,IF(COUNTIFS($E$5:E698,E698,$AD$5:AD698,AD698)=1,1,0))</f>
        <v>0</v>
      </c>
    </row>
    <row r="699" customFormat="false" ht="15" hidden="false" customHeight="true" outlineLevel="0" collapsed="false">
      <c r="A699" s="31"/>
      <c r="B699" s="30"/>
      <c r="C699" s="31"/>
      <c r="D699" s="31"/>
      <c r="E699" s="32"/>
      <c r="F699" s="32"/>
      <c r="G699" s="33"/>
      <c r="H699" s="31"/>
      <c r="I699" s="24" t="str">
        <f aca="false">IF(B699="","",YEAR(B699))</f>
        <v/>
      </c>
      <c r="J699" s="34" t="str">
        <f aca="false">IF(B699="","",IF(MONTH(B699)=1,"X",""))</f>
        <v/>
      </c>
      <c r="K699" s="34" t="str">
        <f aca="false">IF(B699="","",IF(MONTH(B699)=2,"X",""))</f>
        <v/>
      </c>
      <c r="L699" s="34" t="str">
        <f aca="false">IF(B699="","",IF(MONTH(B699)=3,"X",""))</f>
        <v/>
      </c>
      <c r="M699" s="34" t="str">
        <f aca="false">IF(B699="","",IF(MONTH(B699)=4,"X",""))</f>
        <v/>
      </c>
      <c r="N699" s="34" t="str">
        <f aca="false">IF(B699="","",IF(MONTH(B699)=5,"X",""))</f>
        <v/>
      </c>
      <c r="O699" s="34" t="str">
        <f aca="false">IF(B699="","",IF(MONTH(B699)=6,"X",""))</f>
        <v/>
      </c>
      <c r="P699" s="34" t="str">
        <f aca="false">IF(B699="","",IF(MONTH(B699)=7,"X",""))</f>
        <v/>
      </c>
      <c r="Q699" s="34" t="str">
        <f aca="false">IF(B699="","",IF(MONTH(B699)=8,"X",""))</f>
        <v/>
      </c>
      <c r="R699" s="34" t="str">
        <f aca="false">IF(B699="","",IF(MONTH(B699)=9,"X",""))</f>
        <v/>
      </c>
      <c r="S699" s="34" t="str">
        <f aca="false">IF(B699="","",IF(MONTH(B699)=10,"X",""))</f>
        <v/>
      </c>
      <c r="T699" s="34" t="str">
        <f aca="false">IF(B699="","",IF(MONTH(B699)=11,"X",""))</f>
        <v/>
      </c>
      <c r="U699" s="34" t="str">
        <f aca="false">IF(B699="","",IF(MONTH(B699)=12,"X",""))</f>
        <v/>
      </c>
      <c r="V699" s="24" t="str">
        <f aca="false">IF(E699="","",COUNTIF($E$5:$E$1000,E699))</f>
        <v/>
      </c>
      <c r="W699" s="35" t="str">
        <f aca="false">IF(E699="","",_xlfn.TEXTJOIN(" + ",TRUE(),IF(COUNTIFS($E$5:$E$1000,E699,$C$5:$C$1000,"Auditoría Interna")&gt;0,"Interna",""),IF(COUNTIFS($E$5:$E$1000,E699,$C$5:$C$1000,"Auditoría Externa")&gt;0,"Externa",""),IF(COUNTIFS($E$5:$E$1000,E699,$C$5:$C$1000,"SSF")&gt;0,"SSF",""),IF(COUNTIFS($E$5:$E$1000,E699,$C$5:$C$1000,"Comité de Supervisión")&gt;0,"Comité Sup.",""),IF(COUNTIFS($E$5:$E$1000,E699,$C$5:$C$1000,"Consejo de Administración")&gt;0,"Consejo",""),IF(COUNTIFS($E$5:$E$1000,E699,$C$5:$C$1000,"Otros")&gt;0,"Otros","")))</f>
        <v/>
      </c>
      <c r="X699" s="24" t="str">
        <f aca="false">IF(E699="","",COUNTIFS($E$5:$E$1000,E699,$AB$5:$AB$1000,AB699,$C$5:$C$1000,"&lt;&gt;"&amp;C699))</f>
        <v/>
      </c>
      <c r="Y699" s="33"/>
      <c r="Z699" s="31"/>
      <c r="AA699" s="33"/>
      <c r="AB699" s="37" t="str">
        <f aca="false">IF(B699="","",YEAR(B699)*100+MONTH(B699))</f>
        <v/>
      </c>
      <c r="AC699" s="37" t="str">
        <f aca="false">IF(AND(E699&lt;&gt;"",E699=Cruce!$C$5),COUNTIF($E$5:E699,E699),"")</f>
        <v/>
      </c>
      <c r="AD699" s="37" t="str">
        <f aca="false">IF(E699="","",C699&amp;"|"&amp;Y699&amp;"|"&amp;IF(B699="","s/f",TEXT(B699,"yyyymmdd")))</f>
        <v/>
      </c>
      <c r="AE699" s="37" t="n">
        <f aca="false">IF(E699="",0,IF(COUNTIFS($E$5:E699,E699,$AD$5:AD699,AD699)=1,1,0))</f>
        <v>0</v>
      </c>
    </row>
    <row r="700" customFormat="false" ht="15" hidden="false" customHeight="true" outlineLevel="0" collapsed="false">
      <c r="A700" s="31"/>
      <c r="B700" s="30"/>
      <c r="C700" s="31"/>
      <c r="D700" s="31"/>
      <c r="E700" s="32"/>
      <c r="F700" s="32"/>
      <c r="G700" s="33"/>
      <c r="H700" s="31"/>
      <c r="I700" s="24" t="str">
        <f aca="false">IF(B700="","",YEAR(B700))</f>
        <v/>
      </c>
      <c r="J700" s="34" t="str">
        <f aca="false">IF(B700="","",IF(MONTH(B700)=1,"X",""))</f>
        <v/>
      </c>
      <c r="K700" s="34" t="str">
        <f aca="false">IF(B700="","",IF(MONTH(B700)=2,"X",""))</f>
        <v/>
      </c>
      <c r="L700" s="34" t="str">
        <f aca="false">IF(B700="","",IF(MONTH(B700)=3,"X",""))</f>
        <v/>
      </c>
      <c r="M700" s="34" t="str">
        <f aca="false">IF(B700="","",IF(MONTH(B700)=4,"X",""))</f>
        <v/>
      </c>
      <c r="N700" s="34" t="str">
        <f aca="false">IF(B700="","",IF(MONTH(B700)=5,"X",""))</f>
        <v/>
      </c>
      <c r="O700" s="34" t="str">
        <f aca="false">IF(B700="","",IF(MONTH(B700)=6,"X",""))</f>
        <v/>
      </c>
      <c r="P700" s="34" t="str">
        <f aca="false">IF(B700="","",IF(MONTH(B700)=7,"X",""))</f>
        <v/>
      </c>
      <c r="Q700" s="34" t="str">
        <f aca="false">IF(B700="","",IF(MONTH(B700)=8,"X",""))</f>
        <v/>
      </c>
      <c r="R700" s="34" t="str">
        <f aca="false">IF(B700="","",IF(MONTH(B700)=9,"X",""))</f>
        <v/>
      </c>
      <c r="S700" s="34" t="str">
        <f aca="false">IF(B700="","",IF(MONTH(B700)=10,"X",""))</f>
        <v/>
      </c>
      <c r="T700" s="34" t="str">
        <f aca="false">IF(B700="","",IF(MONTH(B700)=11,"X",""))</f>
        <v/>
      </c>
      <c r="U700" s="34" t="str">
        <f aca="false">IF(B700="","",IF(MONTH(B700)=12,"X",""))</f>
        <v/>
      </c>
      <c r="V700" s="24" t="str">
        <f aca="false">IF(E700="","",COUNTIF($E$5:$E$1000,E700))</f>
        <v/>
      </c>
      <c r="W700" s="35" t="str">
        <f aca="false">IF(E700="","",_xlfn.TEXTJOIN(" + ",TRUE(),IF(COUNTIFS($E$5:$E$1000,E700,$C$5:$C$1000,"Auditoría Interna")&gt;0,"Interna",""),IF(COUNTIFS($E$5:$E$1000,E700,$C$5:$C$1000,"Auditoría Externa")&gt;0,"Externa",""),IF(COUNTIFS($E$5:$E$1000,E700,$C$5:$C$1000,"SSF")&gt;0,"SSF",""),IF(COUNTIFS($E$5:$E$1000,E700,$C$5:$C$1000,"Comité de Supervisión")&gt;0,"Comité Sup.",""),IF(COUNTIFS($E$5:$E$1000,E700,$C$5:$C$1000,"Consejo de Administración")&gt;0,"Consejo",""),IF(COUNTIFS($E$5:$E$1000,E700,$C$5:$C$1000,"Otros")&gt;0,"Otros","")))</f>
        <v/>
      </c>
      <c r="X700" s="24" t="str">
        <f aca="false">IF(E700="","",COUNTIFS($E$5:$E$1000,E700,$AB$5:$AB$1000,AB700,$C$5:$C$1000,"&lt;&gt;"&amp;C700))</f>
        <v/>
      </c>
      <c r="Y700" s="33"/>
      <c r="Z700" s="31"/>
      <c r="AA700" s="33"/>
      <c r="AB700" s="37" t="str">
        <f aca="false">IF(B700="","",YEAR(B700)*100+MONTH(B700))</f>
        <v/>
      </c>
      <c r="AC700" s="37" t="str">
        <f aca="false">IF(AND(E700&lt;&gt;"",E700=Cruce!$C$5),COUNTIF($E$5:E700,E700),"")</f>
        <v/>
      </c>
      <c r="AD700" s="37" t="str">
        <f aca="false">IF(E700="","",C700&amp;"|"&amp;Y700&amp;"|"&amp;IF(B700="","s/f",TEXT(B700,"yyyymmdd")))</f>
        <v/>
      </c>
      <c r="AE700" s="37" t="n">
        <f aca="false">IF(E700="",0,IF(COUNTIFS($E$5:E700,E700,$AD$5:AD700,AD700)=1,1,0))</f>
        <v>0</v>
      </c>
    </row>
    <row r="701" customFormat="false" ht="15" hidden="false" customHeight="true" outlineLevel="0" collapsed="false">
      <c r="A701" s="31"/>
      <c r="B701" s="30"/>
      <c r="C701" s="31"/>
      <c r="D701" s="31"/>
      <c r="E701" s="32"/>
      <c r="F701" s="32"/>
      <c r="G701" s="33"/>
      <c r="H701" s="31"/>
      <c r="I701" s="24" t="str">
        <f aca="false">IF(B701="","",YEAR(B701))</f>
        <v/>
      </c>
      <c r="J701" s="34" t="str">
        <f aca="false">IF(B701="","",IF(MONTH(B701)=1,"X",""))</f>
        <v/>
      </c>
      <c r="K701" s="34" t="str">
        <f aca="false">IF(B701="","",IF(MONTH(B701)=2,"X",""))</f>
        <v/>
      </c>
      <c r="L701" s="34" t="str">
        <f aca="false">IF(B701="","",IF(MONTH(B701)=3,"X",""))</f>
        <v/>
      </c>
      <c r="M701" s="34" t="str">
        <f aca="false">IF(B701="","",IF(MONTH(B701)=4,"X",""))</f>
        <v/>
      </c>
      <c r="N701" s="34" t="str">
        <f aca="false">IF(B701="","",IF(MONTH(B701)=5,"X",""))</f>
        <v/>
      </c>
      <c r="O701" s="34" t="str">
        <f aca="false">IF(B701="","",IF(MONTH(B701)=6,"X",""))</f>
        <v/>
      </c>
      <c r="P701" s="34" t="str">
        <f aca="false">IF(B701="","",IF(MONTH(B701)=7,"X",""))</f>
        <v/>
      </c>
      <c r="Q701" s="34" t="str">
        <f aca="false">IF(B701="","",IF(MONTH(B701)=8,"X",""))</f>
        <v/>
      </c>
      <c r="R701" s="34" t="str">
        <f aca="false">IF(B701="","",IF(MONTH(B701)=9,"X",""))</f>
        <v/>
      </c>
      <c r="S701" s="34" t="str">
        <f aca="false">IF(B701="","",IF(MONTH(B701)=10,"X",""))</f>
        <v/>
      </c>
      <c r="T701" s="34" t="str">
        <f aca="false">IF(B701="","",IF(MONTH(B701)=11,"X",""))</f>
        <v/>
      </c>
      <c r="U701" s="34" t="str">
        <f aca="false">IF(B701="","",IF(MONTH(B701)=12,"X",""))</f>
        <v/>
      </c>
      <c r="V701" s="24" t="str">
        <f aca="false">IF(E701="","",COUNTIF($E$5:$E$1000,E701))</f>
        <v/>
      </c>
      <c r="W701" s="35" t="str">
        <f aca="false">IF(E701="","",_xlfn.TEXTJOIN(" + ",TRUE(),IF(COUNTIFS($E$5:$E$1000,E701,$C$5:$C$1000,"Auditoría Interna")&gt;0,"Interna",""),IF(COUNTIFS($E$5:$E$1000,E701,$C$5:$C$1000,"Auditoría Externa")&gt;0,"Externa",""),IF(COUNTIFS($E$5:$E$1000,E701,$C$5:$C$1000,"SSF")&gt;0,"SSF",""),IF(COUNTIFS($E$5:$E$1000,E701,$C$5:$C$1000,"Comité de Supervisión")&gt;0,"Comité Sup.",""),IF(COUNTIFS($E$5:$E$1000,E701,$C$5:$C$1000,"Consejo de Administración")&gt;0,"Consejo",""),IF(COUNTIFS($E$5:$E$1000,E701,$C$5:$C$1000,"Otros")&gt;0,"Otros","")))</f>
        <v/>
      </c>
      <c r="X701" s="24" t="str">
        <f aca="false">IF(E701="","",COUNTIFS($E$5:$E$1000,E701,$AB$5:$AB$1000,AB701,$C$5:$C$1000,"&lt;&gt;"&amp;C701))</f>
        <v/>
      </c>
      <c r="Y701" s="33"/>
      <c r="Z701" s="31"/>
      <c r="AA701" s="33"/>
      <c r="AB701" s="37" t="str">
        <f aca="false">IF(B701="","",YEAR(B701)*100+MONTH(B701))</f>
        <v/>
      </c>
      <c r="AC701" s="37" t="str">
        <f aca="false">IF(AND(E701&lt;&gt;"",E701=Cruce!$C$5),COUNTIF($E$5:E701,E701),"")</f>
        <v/>
      </c>
      <c r="AD701" s="37" t="str">
        <f aca="false">IF(E701="","",C701&amp;"|"&amp;Y701&amp;"|"&amp;IF(B701="","s/f",TEXT(B701,"yyyymmdd")))</f>
        <v/>
      </c>
      <c r="AE701" s="37" t="n">
        <f aca="false">IF(E701="",0,IF(COUNTIFS($E$5:E701,E701,$AD$5:AD701,AD701)=1,1,0))</f>
        <v>0</v>
      </c>
    </row>
    <row r="702" customFormat="false" ht="15" hidden="false" customHeight="true" outlineLevel="0" collapsed="false">
      <c r="A702" s="31"/>
      <c r="B702" s="30"/>
      <c r="C702" s="31"/>
      <c r="D702" s="31"/>
      <c r="E702" s="32"/>
      <c r="F702" s="32"/>
      <c r="G702" s="33"/>
      <c r="H702" s="31"/>
      <c r="I702" s="24" t="str">
        <f aca="false">IF(B702="","",YEAR(B702))</f>
        <v/>
      </c>
      <c r="J702" s="34" t="str">
        <f aca="false">IF(B702="","",IF(MONTH(B702)=1,"X",""))</f>
        <v/>
      </c>
      <c r="K702" s="34" t="str">
        <f aca="false">IF(B702="","",IF(MONTH(B702)=2,"X",""))</f>
        <v/>
      </c>
      <c r="L702" s="34" t="str">
        <f aca="false">IF(B702="","",IF(MONTH(B702)=3,"X",""))</f>
        <v/>
      </c>
      <c r="M702" s="34" t="str">
        <f aca="false">IF(B702="","",IF(MONTH(B702)=4,"X",""))</f>
        <v/>
      </c>
      <c r="N702" s="34" t="str">
        <f aca="false">IF(B702="","",IF(MONTH(B702)=5,"X",""))</f>
        <v/>
      </c>
      <c r="O702" s="34" t="str">
        <f aca="false">IF(B702="","",IF(MONTH(B702)=6,"X",""))</f>
        <v/>
      </c>
      <c r="P702" s="34" t="str">
        <f aca="false">IF(B702="","",IF(MONTH(B702)=7,"X",""))</f>
        <v/>
      </c>
      <c r="Q702" s="34" t="str">
        <f aca="false">IF(B702="","",IF(MONTH(B702)=8,"X",""))</f>
        <v/>
      </c>
      <c r="R702" s="34" t="str">
        <f aca="false">IF(B702="","",IF(MONTH(B702)=9,"X",""))</f>
        <v/>
      </c>
      <c r="S702" s="34" t="str">
        <f aca="false">IF(B702="","",IF(MONTH(B702)=10,"X",""))</f>
        <v/>
      </c>
      <c r="T702" s="34" t="str">
        <f aca="false">IF(B702="","",IF(MONTH(B702)=11,"X",""))</f>
        <v/>
      </c>
      <c r="U702" s="34" t="str">
        <f aca="false">IF(B702="","",IF(MONTH(B702)=12,"X",""))</f>
        <v/>
      </c>
      <c r="V702" s="24" t="str">
        <f aca="false">IF(E702="","",COUNTIF($E$5:$E$1000,E702))</f>
        <v/>
      </c>
      <c r="W702" s="35" t="str">
        <f aca="false">IF(E702="","",_xlfn.TEXTJOIN(" + ",TRUE(),IF(COUNTIFS($E$5:$E$1000,E702,$C$5:$C$1000,"Auditoría Interna")&gt;0,"Interna",""),IF(COUNTIFS($E$5:$E$1000,E702,$C$5:$C$1000,"Auditoría Externa")&gt;0,"Externa",""),IF(COUNTIFS($E$5:$E$1000,E702,$C$5:$C$1000,"SSF")&gt;0,"SSF",""),IF(COUNTIFS($E$5:$E$1000,E702,$C$5:$C$1000,"Comité de Supervisión")&gt;0,"Comité Sup.",""),IF(COUNTIFS($E$5:$E$1000,E702,$C$5:$C$1000,"Consejo de Administración")&gt;0,"Consejo",""),IF(COUNTIFS($E$5:$E$1000,E702,$C$5:$C$1000,"Otros")&gt;0,"Otros","")))</f>
        <v/>
      </c>
      <c r="X702" s="24" t="str">
        <f aca="false">IF(E702="","",COUNTIFS($E$5:$E$1000,E702,$AB$5:$AB$1000,AB702,$C$5:$C$1000,"&lt;&gt;"&amp;C702))</f>
        <v/>
      </c>
      <c r="Y702" s="33"/>
      <c r="Z702" s="31"/>
      <c r="AA702" s="33"/>
      <c r="AB702" s="37" t="str">
        <f aca="false">IF(B702="","",YEAR(B702)*100+MONTH(B702))</f>
        <v/>
      </c>
      <c r="AC702" s="37" t="str">
        <f aca="false">IF(AND(E702&lt;&gt;"",E702=Cruce!$C$5),COUNTIF($E$5:E702,E702),"")</f>
        <v/>
      </c>
      <c r="AD702" s="37" t="str">
        <f aca="false">IF(E702="","",C702&amp;"|"&amp;Y702&amp;"|"&amp;IF(B702="","s/f",TEXT(B702,"yyyymmdd")))</f>
        <v/>
      </c>
      <c r="AE702" s="37" t="n">
        <f aca="false">IF(E702="",0,IF(COUNTIFS($E$5:E702,E702,$AD$5:AD702,AD702)=1,1,0))</f>
        <v>0</v>
      </c>
    </row>
    <row r="703" customFormat="false" ht="15" hidden="false" customHeight="true" outlineLevel="0" collapsed="false">
      <c r="A703" s="31"/>
      <c r="B703" s="30"/>
      <c r="C703" s="31"/>
      <c r="D703" s="31"/>
      <c r="E703" s="32"/>
      <c r="F703" s="32"/>
      <c r="G703" s="33"/>
      <c r="H703" s="31"/>
      <c r="I703" s="24" t="str">
        <f aca="false">IF(B703="","",YEAR(B703))</f>
        <v/>
      </c>
      <c r="J703" s="34" t="str">
        <f aca="false">IF(B703="","",IF(MONTH(B703)=1,"X",""))</f>
        <v/>
      </c>
      <c r="K703" s="34" t="str">
        <f aca="false">IF(B703="","",IF(MONTH(B703)=2,"X",""))</f>
        <v/>
      </c>
      <c r="L703" s="34" t="str">
        <f aca="false">IF(B703="","",IF(MONTH(B703)=3,"X",""))</f>
        <v/>
      </c>
      <c r="M703" s="34" t="str">
        <f aca="false">IF(B703="","",IF(MONTH(B703)=4,"X",""))</f>
        <v/>
      </c>
      <c r="N703" s="34" t="str">
        <f aca="false">IF(B703="","",IF(MONTH(B703)=5,"X",""))</f>
        <v/>
      </c>
      <c r="O703" s="34" t="str">
        <f aca="false">IF(B703="","",IF(MONTH(B703)=6,"X",""))</f>
        <v/>
      </c>
      <c r="P703" s="34" t="str">
        <f aca="false">IF(B703="","",IF(MONTH(B703)=7,"X",""))</f>
        <v/>
      </c>
      <c r="Q703" s="34" t="str">
        <f aca="false">IF(B703="","",IF(MONTH(B703)=8,"X",""))</f>
        <v/>
      </c>
      <c r="R703" s="34" t="str">
        <f aca="false">IF(B703="","",IF(MONTH(B703)=9,"X",""))</f>
        <v/>
      </c>
      <c r="S703" s="34" t="str">
        <f aca="false">IF(B703="","",IF(MONTH(B703)=10,"X",""))</f>
        <v/>
      </c>
      <c r="T703" s="34" t="str">
        <f aca="false">IF(B703="","",IF(MONTH(B703)=11,"X",""))</f>
        <v/>
      </c>
      <c r="U703" s="34" t="str">
        <f aca="false">IF(B703="","",IF(MONTH(B703)=12,"X",""))</f>
        <v/>
      </c>
      <c r="V703" s="24" t="str">
        <f aca="false">IF(E703="","",COUNTIF($E$5:$E$1000,E703))</f>
        <v/>
      </c>
      <c r="W703" s="35" t="str">
        <f aca="false">IF(E703="","",_xlfn.TEXTJOIN(" + ",TRUE(),IF(COUNTIFS($E$5:$E$1000,E703,$C$5:$C$1000,"Auditoría Interna")&gt;0,"Interna",""),IF(COUNTIFS($E$5:$E$1000,E703,$C$5:$C$1000,"Auditoría Externa")&gt;0,"Externa",""),IF(COUNTIFS($E$5:$E$1000,E703,$C$5:$C$1000,"SSF")&gt;0,"SSF",""),IF(COUNTIFS($E$5:$E$1000,E703,$C$5:$C$1000,"Comité de Supervisión")&gt;0,"Comité Sup.",""),IF(COUNTIFS($E$5:$E$1000,E703,$C$5:$C$1000,"Consejo de Administración")&gt;0,"Consejo",""),IF(COUNTIFS($E$5:$E$1000,E703,$C$5:$C$1000,"Otros")&gt;0,"Otros","")))</f>
        <v/>
      </c>
      <c r="X703" s="24" t="str">
        <f aca="false">IF(E703="","",COUNTIFS($E$5:$E$1000,E703,$AB$5:$AB$1000,AB703,$C$5:$C$1000,"&lt;&gt;"&amp;C703))</f>
        <v/>
      </c>
      <c r="Y703" s="33"/>
      <c r="Z703" s="31"/>
      <c r="AA703" s="33"/>
      <c r="AB703" s="37" t="str">
        <f aca="false">IF(B703="","",YEAR(B703)*100+MONTH(B703))</f>
        <v/>
      </c>
      <c r="AC703" s="37" t="str">
        <f aca="false">IF(AND(E703&lt;&gt;"",E703=Cruce!$C$5),COUNTIF($E$5:E703,E703),"")</f>
        <v/>
      </c>
      <c r="AD703" s="37" t="str">
        <f aca="false">IF(E703="","",C703&amp;"|"&amp;Y703&amp;"|"&amp;IF(B703="","s/f",TEXT(B703,"yyyymmdd")))</f>
        <v/>
      </c>
      <c r="AE703" s="37" t="n">
        <f aca="false">IF(E703="",0,IF(COUNTIFS($E$5:E703,E703,$AD$5:AD703,AD703)=1,1,0))</f>
        <v>0</v>
      </c>
    </row>
    <row r="704" customFormat="false" ht="15" hidden="false" customHeight="true" outlineLevel="0" collapsed="false">
      <c r="A704" s="31"/>
      <c r="B704" s="30"/>
      <c r="C704" s="31"/>
      <c r="D704" s="31"/>
      <c r="E704" s="32"/>
      <c r="F704" s="32"/>
      <c r="G704" s="33"/>
      <c r="H704" s="31"/>
      <c r="I704" s="24" t="str">
        <f aca="false">IF(B704="","",YEAR(B704))</f>
        <v/>
      </c>
      <c r="J704" s="34" t="str">
        <f aca="false">IF(B704="","",IF(MONTH(B704)=1,"X",""))</f>
        <v/>
      </c>
      <c r="K704" s="34" t="str">
        <f aca="false">IF(B704="","",IF(MONTH(B704)=2,"X",""))</f>
        <v/>
      </c>
      <c r="L704" s="34" t="str">
        <f aca="false">IF(B704="","",IF(MONTH(B704)=3,"X",""))</f>
        <v/>
      </c>
      <c r="M704" s="34" t="str">
        <f aca="false">IF(B704="","",IF(MONTH(B704)=4,"X",""))</f>
        <v/>
      </c>
      <c r="N704" s="34" t="str">
        <f aca="false">IF(B704="","",IF(MONTH(B704)=5,"X",""))</f>
        <v/>
      </c>
      <c r="O704" s="34" t="str">
        <f aca="false">IF(B704="","",IF(MONTH(B704)=6,"X",""))</f>
        <v/>
      </c>
      <c r="P704" s="34" t="str">
        <f aca="false">IF(B704="","",IF(MONTH(B704)=7,"X",""))</f>
        <v/>
      </c>
      <c r="Q704" s="34" t="str">
        <f aca="false">IF(B704="","",IF(MONTH(B704)=8,"X",""))</f>
        <v/>
      </c>
      <c r="R704" s="34" t="str">
        <f aca="false">IF(B704="","",IF(MONTH(B704)=9,"X",""))</f>
        <v/>
      </c>
      <c r="S704" s="34" t="str">
        <f aca="false">IF(B704="","",IF(MONTH(B704)=10,"X",""))</f>
        <v/>
      </c>
      <c r="T704" s="34" t="str">
        <f aca="false">IF(B704="","",IF(MONTH(B704)=11,"X",""))</f>
        <v/>
      </c>
      <c r="U704" s="34" t="str">
        <f aca="false">IF(B704="","",IF(MONTH(B704)=12,"X",""))</f>
        <v/>
      </c>
      <c r="V704" s="24" t="str">
        <f aca="false">IF(E704="","",COUNTIF($E$5:$E$1000,E704))</f>
        <v/>
      </c>
      <c r="W704" s="35" t="str">
        <f aca="false">IF(E704="","",_xlfn.TEXTJOIN(" + ",TRUE(),IF(COUNTIFS($E$5:$E$1000,E704,$C$5:$C$1000,"Auditoría Interna")&gt;0,"Interna",""),IF(COUNTIFS($E$5:$E$1000,E704,$C$5:$C$1000,"Auditoría Externa")&gt;0,"Externa",""),IF(COUNTIFS($E$5:$E$1000,E704,$C$5:$C$1000,"SSF")&gt;0,"SSF",""),IF(COUNTIFS($E$5:$E$1000,E704,$C$5:$C$1000,"Comité de Supervisión")&gt;0,"Comité Sup.",""),IF(COUNTIFS($E$5:$E$1000,E704,$C$5:$C$1000,"Consejo de Administración")&gt;0,"Consejo",""),IF(COUNTIFS($E$5:$E$1000,E704,$C$5:$C$1000,"Otros")&gt;0,"Otros","")))</f>
        <v/>
      </c>
      <c r="X704" s="24" t="str">
        <f aca="false">IF(E704="","",COUNTIFS($E$5:$E$1000,E704,$AB$5:$AB$1000,AB704,$C$5:$C$1000,"&lt;&gt;"&amp;C704))</f>
        <v/>
      </c>
      <c r="Y704" s="33"/>
      <c r="Z704" s="31"/>
      <c r="AA704" s="33"/>
      <c r="AB704" s="37" t="str">
        <f aca="false">IF(B704="","",YEAR(B704)*100+MONTH(B704))</f>
        <v/>
      </c>
      <c r="AC704" s="37" t="str">
        <f aca="false">IF(AND(E704&lt;&gt;"",E704=Cruce!$C$5),COUNTIF($E$5:E704,E704),"")</f>
        <v/>
      </c>
      <c r="AD704" s="37" t="str">
        <f aca="false">IF(E704="","",C704&amp;"|"&amp;Y704&amp;"|"&amp;IF(B704="","s/f",TEXT(B704,"yyyymmdd")))</f>
        <v/>
      </c>
      <c r="AE704" s="37" t="n">
        <f aca="false">IF(E704="",0,IF(COUNTIFS($E$5:E704,E704,$AD$5:AD704,AD704)=1,1,0))</f>
        <v>0</v>
      </c>
    </row>
    <row r="705" customFormat="false" ht="15" hidden="false" customHeight="true" outlineLevel="0" collapsed="false">
      <c r="A705" s="31"/>
      <c r="B705" s="30"/>
      <c r="C705" s="31"/>
      <c r="D705" s="31"/>
      <c r="E705" s="32"/>
      <c r="F705" s="32"/>
      <c r="G705" s="33"/>
      <c r="H705" s="31"/>
      <c r="I705" s="24" t="str">
        <f aca="false">IF(B705="","",YEAR(B705))</f>
        <v/>
      </c>
      <c r="J705" s="34" t="str">
        <f aca="false">IF(B705="","",IF(MONTH(B705)=1,"X",""))</f>
        <v/>
      </c>
      <c r="K705" s="34" t="str">
        <f aca="false">IF(B705="","",IF(MONTH(B705)=2,"X",""))</f>
        <v/>
      </c>
      <c r="L705" s="34" t="str">
        <f aca="false">IF(B705="","",IF(MONTH(B705)=3,"X",""))</f>
        <v/>
      </c>
      <c r="M705" s="34" t="str">
        <f aca="false">IF(B705="","",IF(MONTH(B705)=4,"X",""))</f>
        <v/>
      </c>
      <c r="N705" s="34" t="str">
        <f aca="false">IF(B705="","",IF(MONTH(B705)=5,"X",""))</f>
        <v/>
      </c>
      <c r="O705" s="34" t="str">
        <f aca="false">IF(B705="","",IF(MONTH(B705)=6,"X",""))</f>
        <v/>
      </c>
      <c r="P705" s="34" t="str">
        <f aca="false">IF(B705="","",IF(MONTH(B705)=7,"X",""))</f>
        <v/>
      </c>
      <c r="Q705" s="34" t="str">
        <f aca="false">IF(B705="","",IF(MONTH(B705)=8,"X",""))</f>
        <v/>
      </c>
      <c r="R705" s="34" t="str">
        <f aca="false">IF(B705="","",IF(MONTH(B705)=9,"X",""))</f>
        <v/>
      </c>
      <c r="S705" s="34" t="str">
        <f aca="false">IF(B705="","",IF(MONTH(B705)=10,"X",""))</f>
        <v/>
      </c>
      <c r="T705" s="34" t="str">
        <f aca="false">IF(B705="","",IF(MONTH(B705)=11,"X",""))</f>
        <v/>
      </c>
      <c r="U705" s="34" t="str">
        <f aca="false">IF(B705="","",IF(MONTH(B705)=12,"X",""))</f>
        <v/>
      </c>
      <c r="V705" s="24" t="str">
        <f aca="false">IF(E705="","",COUNTIF($E$5:$E$1000,E705))</f>
        <v/>
      </c>
      <c r="W705" s="35" t="str">
        <f aca="false">IF(E705="","",_xlfn.TEXTJOIN(" + ",TRUE(),IF(COUNTIFS($E$5:$E$1000,E705,$C$5:$C$1000,"Auditoría Interna")&gt;0,"Interna",""),IF(COUNTIFS($E$5:$E$1000,E705,$C$5:$C$1000,"Auditoría Externa")&gt;0,"Externa",""),IF(COUNTIFS($E$5:$E$1000,E705,$C$5:$C$1000,"SSF")&gt;0,"SSF",""),IF(COUNTIFS($E$5:$E$1000,E705,$C$5:$C$1000,"Comité de Supervisión")&gt;0,"Comité Sup.",""),IF(COUNTIFS($E$5:$E$1000,E705,$C$5:$C$1000,"Consejo de Administración")&gt;0,"Consejo",""),IF(COUNTIFS($E$5:$E$1000,E705,$C$5:$C$1000,"Otros")&gt;0,"Otros","")))</f>
        <v/>
      </c>
      <c r="X705" s="24" t="str">
        <f aca="false">IF(E705="","",COUNTIFS($E$5:$E$1000,E705,$AB$5:$AB$1000,AB705,$C$5:$C$1000,"&lt;&gt;"&amp;C705))</f>
        <v/>
      </c>
      <c r="Y705" s="33"/>
      <c r="Z705" s="31"/>
      <c r="AA705" s="33"/>
      <c r="AB705" s="37" t="str">
        <f aca="false">IF(B705="","",YEAR(B705)*100+MONTH(B705))</f>
        <v/>
      </c>
      <c r="AC705" s="37" t="str">
        <f aca="false">IF(AND(E705&lt;&gt;"",E705=Cruce!$C$5),COUNTIF($E$5:E705,E705),"")</f>
        <v/>
      </c>
      <c r="AD705" s="37" t="str">
        <f aca="false">IF(E705="","",C705&amp;"|"&amp;Y705&amp;"|"&amp;IF(B705="","s/f",TEXT(B705,"yyyymmdd")))</f>
        <v/>
      </c>
      <c r="AE705" s="37" t="n">
        <f aca="false">IF(E705="",0,IF(COUNTIFS($E$5:E705,E705,$AD$5:AD705,AD705)=1,1,0))</f>
        <v>0</v>
      </c>
    </row>
    <row r="706" customFormat="false" ht="15" hidden="false" customHeight="true" outlineLevel="0" collapsed="false">
      <c r="A706" s="31"/>
      <c r="B706" s="30"/>
      <c r="C706" s="31"/>
      <c r="D706" s="31"/>
      <c r="E706" s="32"/>
      <c r="F706" s="32"/>
      <c r="G706" s="33"/>
      <c r="H706" s="31"/>
      <c r="I706" s="24" t="str">
        <f aca="false">IF(B706="","",YEAR(B706))</f>
        <v/>
      </c>
      <c r="J706" s="34" t="str">
        <f aca="false">IF(B706="","",IF(MONTH(B706)=1,"X",""))</f>
        <v/>
      </c>
      <c r="K706" s="34" t="str">
        <f aca="false">IF(B706="","",IF(MONTH(B706)=2,"X",""))</f>
        <v/>
      </c>
      <c r="L706" s="34" t="str">
        <f aca="false">IF(B706="","",IF(MONTH(B706)=3,"X",""))</f>
        <v/>
      </c>
      <c r="M706" s="34" t="str">
        <f aca="false">IF(B706="","",IF(MONTH(B706)=4,"X",""))</f>
        <v/>
      </c>
      <c r="N706" s="34" t="str">
        <f aca="false">IF(B706="","",IF(MONTH(B706)=5,"X",""))</f>
        <v/>
      </c>
      <c r="O706" s="34" t="str">
        <f aca="false">IF(B706="","",IF(MONTH(B706)=6,"X",""))</f>
        <v/>
      </c>
      <c r="P706" s="34" t="str">
        <f aca="false">IF(B706="","",IF(MONTH(B706)=7,"X",""))</f>
        <v/>
      </c>
      <c r="Q706" s="34" t="str">
        <f aca="false">IF(B706="","",IF(MONTH(B706)=8,"X",""))</f>
        <v/>
      </c>
      <c r="R706" s="34" t="str">
        <f aca="false">IF(B706="","",IF(MONTH(B706)=9,"X",""))</f>
        <v/>
      </c>
      <c r="S706" s="34" t="str">
        <f aca="false">IF(B706="","",IF(MONTH(B706)=10,"X",""))</f>
        <v/>
      </c>
      <c r="T706" s="34" t="str">
        <f aca="false">IF(B706="","",IF(MONTH(B706)=11,"X",""))</f>
        <v/>
      </c>
      <c r="U706" s="34" t="str">
        <f aca="false">IF(B706="","",IF(MONTH(B706)=12,"X",""))</f>
        <v/>
      </c>
      <c r="V706" s="24" t="str">
        <f aca="false">IF(E706="","",COUNTIF($E$5:$E$1000,E706))</f>
        <v/>
      </c>
      <c r="W706" s="35" t="str">
        <f aca="false">IF(E706="","",_xlfn.TEXTJOIN(" + ",TRUE(),IF(COUNTIFS($E$5:$E$1000,E706,$C$5:$C$1000,"Auditoría Interna")&gt;0,"Interna",""),IF(COUNTIFS($E$5:$E$1000,E706,$C$5:$C$1000,"Auditoría Externa")&gt;0,"Externa",""),IF(COUNTIFS($E$5:$E$1000,E706,$C$5:$C$1000,"SSF")&gt;0,"SSF",""),IF(COUNTIFS($E$5:$E$1000,E706,$C$5:$C$1000,"Comité de Supervisión")&gt;0,"Comité Sup.",""),IF(COUNTIFS($E$5:$E$1000,E706,$C$5:$C$1000,"Consejo de Administración")&gt;0,"Consejo",""),IF(COUNTIFS($E$5:$E$1000,E706,$C$5:$C$1000,"Otros")&gt;0,"Otros","")))</f>
        <v/>
      </c>
      <c r="X706" s="24" t="str">
        <f aca="false">IF(E706="","",COUNTIFS($E$5:$E$1000,E706,$AB$5:$AB$1000,AB706,$C$5:$C$1000,"&lt;&gt;"&amp;C706))</f>
        <v/>
      </c>
      <c r="Y706" s="33"/>
      <c r="Z706" s="31"/>
      <c r="AA706" s="33"/>
      <c r="AB706" s="37" t="str">
        <f aca="false">IF(B706="","",YEAR(B706)*100+MONTH(B706))</f>
        <v/>
      </c>
      <c r="AC706" s="37" t="str">
        <f aca="false">IF(AND(E706&lt;&gt;"",E706=Cruce!$C$5),COUNTIF($E$5:E706,E706),"")</f>
        <v/>
      </c>
      <c r="AD706" s="37" t="str">
        <f aca="false">IF(E706="","",C706&amp;"|"&amp;Y706&amp;"|"&amp;IF(B706="","s/f",TEXT(B706,"yyyymmdd")))</f>
        <v/>
      </c>
      <c r="AE706" s="37" t="n">
        <f aca="false">IF(E706="",0,IF(COUNTIFS($E$5:E706,E706,$AD$5:AD706,AD706)=1,1,0))</f>
        <v>0</v>
      </c>
    </row>
    <row r="707" customFormat="false" ht="15" hidden="false" customHeight="true" outlineLevel="0" collapsed="false">
      <c r="A707" s="31"/>
      <c r="B707" s="30"/>
      <c r="C707" s="31"/>
      <c r="D707" s="31"/>
      <c r="E707" s="32"/>
      <c r="F707" s="32"/>
      <c r="G707" s="33"/>
      <c r="H707" s="31"/>
      <c r="I707" s="24" t="str">
        <f aca="false">IF(B707="","",YEAR(B707))</f>
        <v/>
      </c>
      <c r="J707" s="34" t="str">
        <f aca="false">IF(B707="","",IF(MONTH(B707)=1,"X",""))</f>
        <v/>
      </c>
      <c r="K707" s="34" t="str">
        <f aca="false">IF(B707="","",IF(MONTH(B707)=2,"X",""))</f>
        <v/>
      </c>
      <c r="L707" s="34" t="str">
        <f aca="false">IF(B707="","",IF(MONTH(B707)=3,"X",""))</f>
        <v/>
      </c>
      <c r="M707" s="34" t="str">
        <f aca="false">IF(B707="","",IF(MONTH(B707)=4,"X",""))</f>
        <v/>
      </c>
      <c r="N707" s="34" t="str">
        <f aca="false">IF(B707="","",IF(MONTH(B707)=5,"X",""))</f>
        <v/>
      </c>
      <c r="O707" s="34" t="str">
        <f aca="false">IF(B707="","",IF(MONTH(B707)=6,"X",""))</f>
        <v/>
      </c>
      <c r="P707" s="34" t="str">
        <f aca="false">IF(B707="","",IF(MONTH(B707)=7,"X",""))</f>
        <v/>
      </c>
      <c r="Q707" s="34" t="str">
        <f aca="false">IF(B707="","",IF(MONTH(B707)=8,"X",""))</f>
        <v/>
      </c>
      <c r="R707" s="34" t="str">
        <f aca="false">IF(B707="","",IF(MONTH(B707)=9,"X",""))</f>
        <v/>
      </c>
      <c r="S707" s="34" t="str">
        <f aca="false">IF(B707="","",IF(MONTH(B707)=10,"X",""))</f>
        <v/>
      </c>
      <c r="T707" s="34" t="str">
        <f aca="false">IF(B707="","",IF(MONTH(B707)=11,"X",""))</f>
        <v/>
      </c>
      <c r="U707" s="34" t="str">
        <f aca="false">IF(B707="","",IF(MONTH(B707)=12,"X",""))</f>
        <v/>
      </c>
      <c r="V707" s="24" t="str">
        <f aca="false">IF(E707="","",COUNTIF($E$5:$E$1000,E707))</f>
        <v/>
      </c>
      <c r="W707" s="35" t="str">
        <f aca="false">IF(E707="","",_xlfn.TEXTJOIN(" + ",TRUE(),IF(COUNTIFS($E$5:$E$1000,E707,$C$5:$C$1000,"Auditoría Interna")&gt;0,"Interna",""),IF(COUNTIFS($E$5:$E$1000,E707,$C$5:$C$1000,"Auditoría Externa")&gt;0,"Externa",""),IF(COUNTIFS($E$5:$E$1000,E707,$C$5:$C$1000,"SSF")&gt;0,"SSF",""),IF(COUNTIFS($E$5:$E$1000,E707,$C$5:$C$1000,"Comité de Supervisión")&gt;0,"Comité Sup.",""),IF(COUNTIFS($E$5:$E$1000,E707,$C$5:$C$1000,"Consejo de Administración")&gt;0,"Consejo",""),IF(COUNTIFS($E$5:$E$1000,E707,$C$5:$C$1000,"Otros")&gt;0,"Otros","")))</f>
        <v/>
      </c>
      <c r="X707" s="24" t="str">
        <f aca="false">IF(E707="","",COUNTIFS($E$5:$E$1000,E707,$AB$5:$AB$1000,AB707,$C$5:$C$1000,"&lt;&gt;"&amp;C707))</f>
        <v/>
      </c>
      <c r="Y707" s="33"/>
      <c r="Z707" s="31"/>
      <c r="AA707" s="33"/>
      <c r="AB707" s="37" t="str">
        <f aca="false">IF(B707="","",YEAR(B707)*100+MONTH(B707))</f>
        <v/>
      </c>
      <c r="AC707" s="37" t="str">
        <f aca="false">IF(AND(E707&lt;&gt;"",E707=Cruce!$C$5),COUNTIF($E$5:E707,E707),"")</f>
        <v/>
      </c>
      <c r="AD707" s="37" t="str">
        <f aca="false">IF(E707="","",C707&amp;"|"&amp;Y707&amp;"|"&amp;IF(B707="","s/f",TEXT(B707,"yyyymmdd")))</f>
        <v/>
      </c>
      <c r="AE707" s="37" t="n">
        <f aca="false">IF(E707="",0,IF(COUNTIFS($E$5:E707,E707,$AD$5:AD707,AD707)=1,1,0))</f>
        <v>0</v>
      </c>
    </row>
    <row r="708" customFormat="false" ht="15" hidden="false" customHeight="true" outlineLevel="0" collapsed="false">
      <c r="A708" s="31"/>
      <c r="B708" s="30"/>
      <c r="C708" s="31"/>
      <c r="D708" s="31"/>
      <c r="E708" s="32"/>
      <c r="F708" s="32"/>
      <c r="G708" s="33"/>
      <c r="H708" s="31"/>
      <c r="I708" s="24" t="str">
        <f aca="false">IF(B708="","",YEAR(B708))</f>
        <v/>
      </c>
      <c r="J708" s="34" t="str">
        <f aca="false">IF(B708="","",IF(MONTH(B708)=1,"X",""))</f>
        <v/>
      </c>
      <c r="K708" s="34" t="str">
        <f aca="false">IF(B708="","",IF(MONTH(B708)=2,"X",""))</f>
        <v/>
      </c>
      <c r="L708" s="34" t="str">
        <f aca="false">IF(B708="","",IF(MONTH(B708)=3,"X",""))</f>
        <v/>
      </c>
      <c r="M708" s="34" t="str">
        <f aca="false">IF(B708="","",IF(MONTH(B708)=4,"X",""))</f>
        <v/>
      </c>
      <c r="N708" s="34" t="str">
        <f aca="false">IF(B708="","",IF(MONTH(B708)=5,"X",""))</f>
        <v/>
      </c>
      <c r="O708" s="34" t="str">
        <f aca="false">IF(B708="","",IF(MONTH(B708)=6,"X",""))</f>
        <v/>
      </c>
      <c r="P708" s="34" t="str">
        <f aca="false">IF(B708="","",IF(MONTH(B708)=7,"X",""))</f>
        <v/>
      </c>
      <c r="Q708" s="34" t="str">
        <f aca="false">IF(B708="","",IF(MONTH(B708)=8,"X",""))</f>
        <v/>
      </c>
      <c r="R708" s="34" t="str">
        <f aca="false">IF(B708="","",IF(MONTH(B708)=9,"X",""))</f>
        <v/>
      </c>
      <c r="S708" s="34" t="str">
        <f aca="false">IF(B708="","",IF(MONTH(B708)=10,"X",""))</f>
        <v/>
      </c>
      <c r="T708" s="34" t="str">
        <f aca="false">IF(B708="","",IF(MONTH(B708)=11,"X",""))</f>
        <v/>
      </c>
      <c r="U708" s="34" t="str">
        <f aca="false">IF(B708="","",IF(MONTH(B708)=12,"X",""))</f>
        <v/>
      </c>
      <c r="V708" s="24" t="str">
        <f aca="false">IF(E708="","",COUNTIF($E$5:$E$1000,E708))</f>
        <v/>
      </c>
      <c r="W708" s="35" t="str">
        <f aca="false">IF(E708="","",_xlfn.TEXTJOIN(" + ",TRUE(),IF(COUNTIFS($E$5:$E$1000,E708,$C$5:$C$1000,"Auditoría Interna")&gt;0,"Interna",""),IF(COUNTIFS($E$5:$E$1000,E708,$C$5:$C$1000,"Auditoría Externa")&gt;0,"Externa",""),IF(COUNTIFS($E$5:$E$1000,E708,$C$5:$C$1000,"SSF")&gt;0,"SSF",""),IF(COUNTIFS($E$5:$E$1000,E708,$C$5:$C$1000,"Comité de Supervisión")&gt;0,"Comité Sup.",""),IF(COUNTIFS($E$5:$E$1000,E708,$C$5:$C$1000,"Consejo de Administración")&gt;0,"Consejo",""),IF(COUNTIFS($E$5:$E$1000,E708,$C$5:$C$1000,"Otros")&gt;0,"Otros","")))</f>
        <v/>
      </c>
      <c r="X708" s="24" t="str">
        <f aca="false">IF(E708="","",COUNTIFS($E$5:$E$1000,E708,$AB$5:$AB$1000,AB708,$C$5:$C$1000,"&lt;&gt;"&amp;C708))</f>
        <v/>
      </c>
      <c r="Y708" s="33"/>
      <c r="Z708" s="31"/>
      <c r="AA708" s="33"/>
      <c r="AB708" s="37" t="str">
        <f aca="false">IF(B708="","",YEAR(B708)*100+MONTH(B708))</f>
        <v/>
      </c>
      <c r="AC708" s="37" t="str">
        <f aca="false">IF(AND(E708&lt;&gt;"",E708=Cruce!$C$5),COUNTIF($E$5:E708,E708),"")</f>
        <v/>
      </c>
      <c r="AD708" s="37" t="str">
        <f aca="false">IF(E708="","",C708&amp;"|"&amp;Y708&amp;"|"&amp;IF(B708="","s/f",TEXT(B708,"yyyymmdd")))</f>
        <v/>
      </c>
      <c r="AE708" s="37" t="n">
        <f aca="false">IF(E708="",0,IF(COUNTIFS($E$5:E708,E708,$AD$5:AD708,AD708)=1,1,0))</f>
        <v>0</v>
      </c>
    </row>
    <row r="709" customFormat="false" ht="15" hidden="false" customHeight="true" outlineLevel="0" collapsed="false">
      <c r="A709" s="31"/>
      <c r="B709" s="30"/>
      <c r="C709" s="31"/>
      <c r="D709" s="31"/>
      <c r="E709" s="32"/>
      <c r="F709" s="32"/>
      <c r="G709" s="33"/>
      <c r="H709" s="31"/>
      <c r="I709" s="24" t="str">
        <f aca="false">IF(B709="","",YEAR(B709))</f>
        <v/>
      </c>
      <c r="J709" s="34" t="str">
        <f aca="false">IF(B709="","",IF(MONTH(B709)=1,"X",""))</f>
        <v/>
      </c>
      <c r="K709" s="34" t="str">
        <f aca="false">IF(B709="","",IF(MONTH(B709)=2,"X",""))</f>
        <v/>
      </c>
      <c r="L709" s="34" t="str">
        <f aca="false">IF(B709="","",IF(MONTH(B709)=3,"X",""))</f>
        <v/>
      </c>
      <c r="M709" s="34" t="str">
        <f aca="false">IF(B709="","",IF(MONTH(B709)=4,"X",""))</f>
        <v/>
      </c>
      <c r="N709" s="34" t="str">
        <f aca="false">IF(B709="","",IF(MONTH(B709)=5,"X",""))</f>
        <v/>
      </c>
      <c r="O709" s="34" t="str">
        <f aca="false">IF(B709="","",IF(MONTH(B709)=6,"X",""))</f>
        <v/>
      </c>
      <c r="P709" s="34" t="str">
        <f aca="false">IF(B709="","",IF(MONTH(B709)=7,"X",""))</f>
        <v/>
      </c>
      <c r="Q709" s="34" t="str">
        <f aca="false">IF(B709="","",IF(MONTH(B709)=8,"X",""))</f>
        <v/>
      </c>
      <c r="R709" s="34" t="str">
        <f aca="false">IF(B709="","",IF(MONTH(B709)=9,"X",""))</f>
        <v/>
      </c>
      <c r="S709" s="34" t="str">
        <f aca="false">IF(B709="","",IF(MONTH(B709)=10,"X",""))</f>
        <v/>
      </c>
      <c r="T709" s="34" t="str">
        <f aca="false">IF(B709="","",IF(MONTH(B709)=11,"X",""))</f>
        <v/>
      </c>
      <c r="U709" s="34" t="str">
        <f aca="false">IF(B709="","",IF(MONTH(B709)=12,"X",""))</f>
        <v/>
      </c>
      <c r="V709" s="24" t="str">
        <f aca="false">IF(E709="","",COUNTIF($E$5:$E$1000,E709))</f>
        <v/>
      </c>
      <c r="W709" s="35" t="str">
        <f aca="false">IF(E709="","",_xlfn.TEXTJOIN(" + ",TRUE(),IF(COUNTIFS($E$5:$E$1000,E709,$C$5:$C$1000,"Auditoría Interna")&gt;0,"Interna",""),IF(COUNTIFS($E$5:$E$1000,E709,$C$5:$C$1000,"Auditoría Externa")&gt;0,"Externa",""),IF(COUNTIFS($E$5:$E$1000,E709,$C$5:$C$1000,"SSF")&gt;0,"SSF",""),IF(COUNTIFS($E$5:$E$1000,E709,$C$5:$C$1000,"Comité de Supervisión")&gt;0,"Comité Sup.",""),IF(COUNTIFS($E$5:$E$1000,E709,$C$5:$C$1000,"Consejo de Administración")&gt;0,"Consejo",""),IF(COUNTIFS($E$5:$E$1000,E709,$C$5:$C$1000,"Otros")&gt;0,"Otros","")))</f>
        <v/>
      </c>
      <c r="X709" s="24" t="str">
        <f aca="false">IF(E709="","",COUNTIFS($E$5:$E$1000,E709,$AB$5:$AB$1000,AB709,$C$5:$C$1000,"&lt;&gt;"&amp;C709))</f>
        <v/>
      </c>
      <c r="Y709" s="33"/>
      <c r="Z709" s="31"/>
      <c r="AA709" s="33"/>
      <c r="AB709" s="37" t="str">
        <f aca="false">IF(B709="","",YEAR(B709)*100+MONTH(B709))</f>
        <v/>
      </c>
      <c r="AC709" s="37" t="str">
        <f aca="false">IF(AND(E709&lt;&gt;"",E709=Cruce!$C$5),COUNTIF($E$5:E709,E709),"")</f>
        <v/>
      </c>
      <c r="AD709" s="37" t="str">
        <f aca="false">IF(E709="","",C709&amp;"|"&amp;Y709&amp;"|"&amp;IF(B709="","s/f",TEXT(B709,"yyyymmdd")))</f>
        <v/>
      </c>
      <c r="AE709" s="37" t="n">
        <f aca="false">IF(E709="",0,IF(COUNTIFS($E$5:E709,E709,$AD$5:AD709,AD709)=1,1,0))</f>
        <v>0</v>
      </c>
    </row>
    <row r="710" customFormat="false" ht="15" hidden="false" customHeight="true" outlineLevel="0" collapsed="false">
      <c r="A710" s="31"/>
      <c r="B710" s="30"/>
      <c r="C710" s="31"/>
      <c r="D710" s="31"/>
      <c r="E710" s="32"/>
      <c r="F710" s="32"/>
      <c r="G710" s="33"/>
      <c r="H710" s="31"/>
      <c r="I710" s="24" t="str">
        <f aca="false">IF(B710="","",YEAR(B710))</f>
        <v/>
      </c>
      <c r="J710" s="34" t="str">
        <f aca="false">IF(B710="","",IF(MONTH(B710)=1,"X",""))</f>
        <v/>
      </c>
      <c r="K710" s="34" t="str">
        <f aca="false">IF(B710="","",IF(MONTH(B710)=2,"X",""))</f>
        <v/>
      </c>
      <c r="L710" s="34" t="str">
        <f aca="false">IF(B710="","",IF(MONTH(B710)=3,"X",""))</f>
        <v/>
      </c>
      <c r="M710" s="34" t="str">
        <f aca="false">IF(B710="","",IF(MONTH(B710)=4,"X",""))</f>
        <v/>
      </c>
      <c r="N710" s="34" t="str">
        <f aca="false">IF(B710="","",IF(MONTH(B710)=5,"X",""))</f>
        <v/>
      </c>
      <c r="O710" s="34" t="str">
        <f aca="false">IF(B710="","",IF(MONTH(B710)=6,"X",""))</f>
        <v/>
      </c>
      <c r="P710" s="34" t="str">
        <f aca="false">IF(B710="","",IF(MONTH(B710)=7,"X",""))</f>
        <v/>
      </c>
      <c r="Q710" s="34" t="str">
        <f aca="false">IF(B710="","",IF(MONTH(B710)=8,"X",""))</f>
        <v/>
      </c>
      <c r="R710" s="34" t="str">
        <f aca="false">IF(B710="","",IF(MONTH(B710)=9,"X",""))</f>
        <v/>
      </c>
      <c r="S710" s="34" t="str">
        <f aca="false">IF(B710="","",IF(MONTH(B710)=10,"X",""))</f>
        <v/>
      </c>
      <c r="T710" s="34" t="str">
        <f aca="false">IF(B710="","",IF(MONTH(B710)=11,"X",""))</f>
        <v/>
      </c>
      <c r="U710" s="34" t="str">
        <f aca="false">IF(B710="","",IF(MONTH(B710)=12,"X",""))</f>
        <v/>
      </c>
      <c r="V710" s="24" t="str">
        <f aca="false">IF(E710="","",COUNTIF($E$5:$E$1000,E710))</f>
        <v/>
      </c>
      <c r="W710" s="35" t="str">
        <f aca="false">IF(E710="","",_xlfn.TEXTJOIN(" + ",TRUE(),IF(COUNTIFS($E$5:$E$1000,E710,$C$5:$C$1000,"Auditoría Interna")&gt;0,"Interna",""),IF(COUNTIFS($E$5:$E$1000,E710,$C$5:$C$1000,"Auditoría Externa")&gt;0,"Externa",""),IF(COUNTIFS($E$5:$E$1000,E710,$C$5:$C$1000,"SSF")&gt;0,"SSF",""),IF(COUNTIFS($E$5:$E$1000,E710,$C$5:$C$1000,"Comité de Supervisión")&gt;0,"Comité Sup.",""),IF(COUNTIFS($E$5:$E$1000,E710,$C$5:$C$1000,"Consejo de Administración")&gt;0,"Consejo",""),IF(COUNTIFS($E$5:$E$1000,E710,$C$5:$C$1000,"Otros")&gt;0,"Otros","")))</f>
        <v/>
      </c>
      <c r="X710" s="24" t="str">
        <f aca="false">IF(E710="","",COUNTIFS($E$5:$E$1000,E710,$AB$5:$AB$1000,AB710,$C$5:$C$1000,"&lt;&gt;"&amp;C710))</f>
        <v/>
      </c>
      <c r="Y710" s="33"/>
      <c r="Z710" s="31"/>
      <c r="AA710" s="33"/>
      <c r="AB710" s="37" t="str">
        <f aca="false">IF(B710="","",YEAR(B710)*100+MONTH(B710))</f>
        <v/>
      </c>
      <c r="AC710" s="37" t="str">
        <f aca="false">IF(AND(E710&lt;&gt;"",E710=Cruce!$C$5),COUNTIF($E$5:E710,E710),"")</f>
        <v/>
      </c>
      <c r="AD710" s="37" t="str">
        <f aca="false">IF(E710="","",C710&amp;"|"&amp;Y710&amp;"|"&amp;IF(B710="","s/f",TEXT(B710,"yyyymmdd")))</f>
        <v/>
      </c>
      <c r="AE710" s="37" t="n">
        <f aca="false">IF(E710="",0,IF(COUNTIFS($E$5:E710,E710,$AD$5:AD710,AD710)=1,1,0))</f>
        <v>0</v>
      </c>
    </row>
    <row r="711" customFormat="false" ht="15" hidden="false" customHeight="true" outlineLevel="0" collapsed="false">
      <c r="A711" s="31"/>
      <c r="B711" s="30"/>
      <c r="C711" s="31"/>
      <c r="D711" s="31"/>
      <c r="E711" s="32"/>
      <c r="F711" s="32"/>
      <c r="G711" s="33"/>
      <c r="H711" s="31"/>
      <c r="I711" s="24" t="str">
        <f aca="false">IF(B711="","",YEAR(B711))</f>
        <v/>
      </c>
      <c r="J711" s="34" t="str">
        <f aca="false">IF(B711="","",IF(MONTH(B711)=1,"X",""))</f>
        <v/>
      </c>
      <c r="K711" s="34" t="str">
        <f aca="false">IF(B711="","",IF(MONTH(B711)=2,"X",""))</f>
        <v/>
      </c>
      <c r="L711" s="34" t="str">
        <f aca="false">IF(B711="","",IF(MONTH(B711)=3,"X",""))</f>
        <v/>
      </c>
      <c r="M711" s="34" t="str">
        <f aca="false">IF(B711="","",IF(MONTH(B711)=4,"X",""))</f>
        <v/>
      </c>
      <c r="N711" s="34" t="str">
        <f aca="false">IF(B711="","",IF(MONTH(B711)=5,"X",""))</f>
        <v/>
      </c>
      <c r="O711" s="34" t="str">
        <f aca="false">IF(B711="","",IF(MONTH(B711)=6,"X",""))</f>
        <v/>
      </c>
      <c r="P711" s="34" t="str">
        <f aca="false">IF(B711="","",IF(MONTH(B711)=7,"X",""))</f>
        <v/>
      </c>
      <c r="Q711" s="34" t="str">
        <f aca="false">IF(B711="","",IF(MONTH(B711)=8,"X",""))</f>
        <v/>
      </c>
      <c r="R711" s="34" t="str">
        <f aca="false">IF(B711="","",IF(MONTH(B711)=9,"X",""))</f>
        <v/>
      </c>
      <c r="S711" s="34" t="str">
        <f aca="false">IF(B711="","",IF(MONTH(B711)=10,"X",""))</f>
        <v/>
      </c>
      <c r="T711" s="34" t="str">
        <f aca="false">IF(B711="","",IF(MONTH(B711)=11,"X",""))</f>
        <v/>
      </c>
      <c r="U711" s="34" t="str">
        <f aca="false">IF(B711="","",IF(MONTH(B711)=12,"X",""))</f>
        <v/>
      </c>
      <c r="V711" s="24" t="str">
        <f aca="false">IF(E711="","",COUNTIF($E$5:$E$1000,E711))</f>
        <v/>
      </c>
      <c r="W711" s="35" t="str">
        <f aca="false">IF(E711="","",_xlfn.TEXTJOIN(" + ",TRUE(),IF(COUNTIFS($E$5:$E$1000,E711,$C$5:$C$1000,"Auditoría Interna")&gt;0,"Interna",""),IF(COUNTIFS($E$5:$E$1000,E711,$C$5:$C$1000,"Auditoría Externa")&gt;0,"Externa",""),IF(COUNTIFS($E$5:$E$1000,E711,$C$5:$C$1000,"SSF")&gt;0,"SSF",""),IF(COUNTIFS($E$5:$E$1000,E711,$C$5:$C$1000,"Comité de Supervisión")&gt;0,"Comité Sup.",""),IF(COUNTIFS($E$5:$E$1000,E711,$C$5:$C$1000,"Consejo de Administración")&gt;0,"Consejo",""),IF(COUNTIFS($E$5:$E$1000,E711,$C$5:$C$1000,"Otros")&gt;0,"Otros","")))</f>
        <v/>
      </c>
      <c r="X711" s="24" t="str">
        <f aca="false">IF(E711="","",COUNTIFS($E$5:$E$1000,E711,$AB$5:$AB$1000,AB711,$C$5:$C$1000,"&lt;&gt;"&amp;C711))</f>
        <v/>
      </c>
      <c r="Y711" s="33"/>
      <c r="Z711" s="31"/>
      <c r="AA711" s="33"/>
      <c r="AB711" s="37" t="str">
        <f aca="false">IF(B711="","",YEAR(B711)*100+MONTH(B711))</f>
        <v/>
      </c>
      <c r="AC711" s="37" t="str">
        <f aca="false">IF(AND(E711&lt;&gt;"",E711=Cruce!$C$5),COUNTIF($E$5:E711,E711),"")</f>
        <v/>
      </c>
      <c r="AD711" s="37" t="str">
        <f aca="false">IF(E711="","",C711&amp;"|"&amp;Y711&amp;"|"&amp;IF(B711="","s/f",TEXT(B711,"yyyymmdd")))</f>
        <v/>
      </c>
      <c r="AE711" s="37" t="n">
        <f aca="false">IF(E711="",0,IF(COUNTIFS($E$5:E711,E711,$AD$5:AD711,AD711)=1,1,0))</f>
        <v>0</v>
      </c>
    </row>
    <row r="712" customFormat="false" ht="15" hidden="false" customHeight="true" outlineLevel="0" collapsed="false">
      <c r="A712" s="31"/>
      <c r="B712" s="30"/>
      <c r="C712" s="31"/>
      <c r="D712" s="31"/>
      <c r="E712" s="32"/>
      <c r="F712" s="32"/>
      <c r="G712" s="33"/>
      <c r="H712" s="31"/>
      <c r="I712" s="24" t="str">
        <f aca="false">IF(B712="","",YEAR(B712))</f>
        <v/>
      </c>
      <c r="J712" s="34" t="str">
        <f aca="false">IF(B712="","",IF(MONTH(B712)=1,"X",""))</f>
        <v/>
      </c>
      <c r="K712" s="34" t="str">
        <f aca="false">IF(B712="","",IF(MONTH(B712)=2,"X",""))</f>
        <v/>
      </c>
      <c r="L712" s="34" t="str">
        <f aca="false">IF(B712="","",IF(MONTH(B712)=3,"X",""))</f>
        <v/>
      </c>
      <c r="M712" s="34" t="str">
        <f aca="false">IF(B712="","",IF(MONTH(B712)=4,"X",""))</f>
        <v/>
      </c>
      <c r="N712" s="34" t="str">
        <f aca="false">IF(B712="","",IF(MONTH(B712)=5,"X",""))</f>
        <v/>
      </c>
      <c r="O712" s="34" t="str">
        <f aca="false">IF(B712="","",IF(MONTH(B712)=6,"X",""))</f>
        <v/>
      </c>
      <c r="P712" s="34" t="str">
        <f aca="false">IF(B712="","",IF(MONTH(B712)=7,"X",""))</f>
        <v/>
      </c>
      <c r="Q712" s="34" t="str">
        <f aca="false">IF(B712="","",IF(MONTH(B712)=8,"X",""))</f>
        <v/>
      </c>
      <c r="R712" s="34" t="str">
        <f aca="false">IF(B712="","",IF(MONTH(B712)=9,"X",""))</f>
        <v/>
      </c>
      <c r="S712" s="34" t="str">
        <f aca="false">IF(B712="","",IF(MONTH(B712)=10,"X",""))</f>
        <v/>
      </c>
      <c r="T712" s="34" t="str">
        <f aca="false">IF(B712="","",IF(MONTH(B712)=11,"X",""))</f>
        <v/>
      </c>
      <c r="U712" s="34" t="str">
        <f aca="false">IF(B712="","",IF(MONTH(B712)=12,"X",""))</f>
        <v/>
      </c>
      <c r="V712" s="24" t="str">
        <f aca="false">IF(E712="","",COUNTIF($E$5:$E$1000,E712))</f>
        <v/>
      </c>
      <c r="W712" s="35" t="str">
        <f aca="false">IF(E712="","",_xlfn.TEXTJOIN(" + ",TRUE(),IF(COUNTIFS($E$5:$E$1000,E712,$C$5:$C$1000,"Auditoría Interna")&gt;0,"Interna",""),IF(COUNTIFS($E$5:$E$1000,E712,$C$5:$C$1000,"Auditoría Externa")&gt;0,"Externa",""),IF(COUNTIFS($E$5:$E$1000,E712,$C$5:$C$1000,"SSF")&gt;0,"SSF",""),IF(COUNTIFS($E$5:$E$1000,E712,$C$5:$C$1000,"Comité de Supervisión")&gt;0,"Comité Sup.",""),IF(COUNTIFS($E$5:$E$1000,E712,$C$5:$C$1000,"Consejo de Administración")&gt;0,"Consejo",""),IF(COUNTIFS($E$5:$E$1000,E712,$C$5:$C$1000,"Otros")&gt;0,"Otros","")))</f>
        <v/>
      </c>
      <c r="X712" s="24" t="str">
        <f aca="false">IF(E712="","",COUNTIFS($E$5:$E$1000,E712,$AB$5:$AB$1000,AB712,$C$5:$C$1000,"&lt;&gt;"&amp;C712))</f>
        <v/>
      </c>
      <c r="Y712" s="33"/>
      <c r="Z712" s="31"/>
      <c r="AA712" s="33"/>
      <c r="AB712" s="37" t="str">
        <f aca="false">IF(B712="","",YEAR(B712)*100+MONTH(B712))</f>
        <v/>
      </c>
      <c r="AC712" s="37" t="str">
        <f aca="false">IF(AND(E712&lt;&gt;"",E712=Cruce!$C$5),COUNTIF($E$5:E712,E712),"")</f>
        <v/>
      </c>
      <c r="AD712" s="37" t="str">
        <f aca="false">IF(E712="","",C712&amp;"|"&amp;Y712&amp;"|"&amp;IF(B712="","s/f",TEXT(B712,"yyyymmdd")))</f>
        <v/>
      </c>
      <c r="AE712" s="37" t="n">
        <f aca="false">IF(E712="",0,IF(COUNTIFS($E$5:E712,E712,$AD$5:AD712,AD712)=1,1,0))</f>
        <v>0</v>
      </c>
    </row>
    <row r="713" customFormat="false" ht="15" hidden="false" customHeight="true" outlineLevel="0" collapsed="false">
      <c r="A713" s="31"/>
      <c r="B713" s="30"/>
      <c r="C713" s="31"/>
      <c r="D713" s="31"/>
      <c r="E713" s="32"/>
      <c r="F713" s="32"/>
      <c r="G713" s="33"/>
      <c r="H713" s="31"/>
      <c r="I713" s="24" t="str">
        <f aca="false">IF(B713="","",YEAR(B713))</f>
        <v/>
      </c>
      <c r="J713" s="34" t="str">
        <f aca="false">IF(B713="","",IF(MONTH(B713)=1,"X",""))</f>
        <v/>
      </c>
      <c r="K713" s="34" t="str">
        <f aca="false">IF(B713="","",IF(MONTH(B713)=2,"X",""))</f>
        <v/>
      </c>
      <c r="L713" s="34" t="str">
        <f aca="false">IF(B713="","",IF(MONTH(B713)=3,"X",""))</f>
        <v/>
      </c>
      <c r="M713" s="34" t="str">
        <f aca="false">IF(B713="","",IF(MONTH(B713)=4,"X",""))</f>
        <v/>
      </c>
      <c r="N713" s="34" t="str">
        <f aca="false">IF(B713="","",IF(MONTH(B713)=5,"X",""))</f>
        <v/>
      </c>
      <c r="O713" s="34" t="str">
        <f aca="false">IF(B713="","",IF(MONTH(B713)=6,"X",""))</f>
        <v/>
      </c>
      <c r="P713" s="34" t="str">
        <f aca="false">IF(B713="","",IF(MONTH(B713)=7,"X",""))</f>
        <v/>
      </c>
      <c r="Q713" s="34" t="str">
        <f aca="false">IF(B713="","",IF(MONTH(B713)=8,"X",""))</f>
        <v/>
      </c>
      <c r="R713" s="34" t="str">
        <f aca="false">IF(B713="","",IF(MONTH(B713)=9,"X",""))</f>
        <v/>
      </c>
      <c r="S713" s="34" t="str">
        <f aca="false">IF(B713="","",IF(MONTH(B713)=10,"X",""))</f>
        <v/>
      </c>
      <c r="T713" s="34" t="str">
        <f aca="false">IF(B713="","",IF(MONTH(B713)=11,"X",""))</f>
        <v/>
      </c>
      <c r="U713" s="34" t="str">
        <f aca="false">IF(B713="","",IF(MONTH(B713)=12,"X",""))</f>
        <v/>
      </c>
      <c r="V713" s="24" t="str">
        <f aca="false">IF(E713="","",COUNTIF($E$5:$E$1000,E713))</f>
        <v/>
      </c>
      <c r="W713" s="35" t="str">
        <f aca="false">IF(E713="","",_xlfn.TEXTJOIN(" + ",TRUE(),IF(COUNTIFS($E$5:$E$1000,E713,$C$5:$C$1000,"Auditoría Interna")&gt;0,"Interna",""),IF(COUNTIFS($E$5:$E$1000,E713,$C$5:$C$1000,"Auditoría Externa")&gt;0,"Externa",""),IF(COUNTIFS($E$5:$E$1000,E713,$C$5:$C$1000,"SSF")&gt;0,"SSF",""),IF(COUNTIFS($E$5:$E$1000,E713,$C$5:$C$1000,"Comité de Supervisión")&gt;0,"Comité Sup.",""),IF(COUNTIFS($E$5:$E$1000,E713,$C$5:$C$1000,"Consejo de Administración")&gt;0,"Consejo",""),IF(COUNTIFS($E$5:$E$1000,E713,$C$5:$C$1000,"Otros")&gt;0,"Otros","")))</f>
        <v/>
      </c>
      <c r="X713" s="24" t="str">
        <f aca="false">IF(E713="","",COUNTIFS($E$5:$E$1000,E713,$AB$5:$AB$1000,AB713,$C$5:$C$1000,"&lt;&gt;"&amp;C713))</f>
        <v/>
      </c>
      <c r="Y713" s="33"/>
      <c r="Z713" s="31"/>
      <c r="AA713" s="33"/>
      <c r="AB713" s="37" t="str">
        <f aca="false">IF(B713="","",YEAR(B713)*100+MONTH(B713))</f>
        <v/>
      </c>
      <c r="AC713" s="37" t="str">
        <f aca="false">IF(AND(E713&lt;&gt;"",E713=Cruce!$C$5),COUNTIF($E$5:E713,E713),"")</f>
        <v/>
      </c>
      <c r="AD713" s="37" t="str">
        <f aca="false">IF(E713="","",C713&amp;"|"&amp;Y713&amp;"|"&amp;IF(B713="","s/f",TEXT(B713,"yyyymmdd")))</f>
        <v/>
      </c>
      <c r="AE713" s="37" t="n">
        <f aca="false">IF(E713="",0,IF(COUNTIFS($E$5:E713,E713,$AD$5:AD713,AD713)=1,1,0))</f>
        <v>0</v>
      </c>
    </row>
    <row r="714" customFormat="false" ht="15" hidden="false" customHeight="true" outlineLevel="0" collapsed="false">
      <c r="A714" s="31"/>
      <c r="B714" s="30"/>
      <c r="C714" s="31"/>
      <c r="D714" s="31"/>
      <c r="E714" s="32"/>
      <c r="F714" s="32"/>
      <c r="G714" s="33"/>
      <c r="H714" s="31"/>
      <c r="I714" s="24" t="str">
        <f aca="false">IF(B714="","",YEAR(B714))</f>
        <v/>
      </c>
      <c r="J714" s="34" t="str">
        <f aca="false">IF(B714="","",IF(MONTH(B714)=1,"X",""))</f>
        <v/>
      </c>
      <c r="K714" s="34" t="str">
        <f aca="false">IF(B714="","",IF(MONTH(B714)=2,"X",""))</f>
        <v/>
      </c>
      <c r="L714" s="34" t="str">
        <f aca="false">IF(B714="","",IF(MONTH(B714)=3,"X",""))</f>
        <v/>
      </c>
      <c r="M714" s="34" t="str">
        <f aca="false">IF(B714="","",IF(MONTH(B714)=4,"X",""))</f>
        <v/>
      </c>
      <c r="N714" s="34" t="str">
        <f aca="false">IF(B714="","",IF(MONTH(B714)=5,"X",""))</f>
        <v/>
      </c>
      <c r="O714" s="34" t="str">
        <f aca="false">IF(B714="","",IF(MONTH(B714)=6,"X",""))</f>
        <v/>
      </c>
      <c r="P714" s="34" t="str">
        <f aca="false">IF(B714="","",IF(MONTH(B714)=7,"X",""))</f>
        <v/>
      </c>
      <c r="Q714" s="34" t="str">
        <f aca="false">IF(B714="","",IF(MONTH(B714)=8,"X",""))</f>
        <v/>
      </c>
      <c r="R714" s="34" t="str">
        <f aca="false">IF(B714="","",IF(MONTH(B714)=9,"X",""))</f>
        <v/>
      </c>
      <c r="S714" s="34" t="str">
        <f aca="false">IF(B714="","",IF(MONTH(B714)=10,"X",""))</f>
        <v/>
      </c>
      <c r="T714" s="34" t="str">
        <f aca="false">IF(B714="","",IF(MONTH(B714)=11,"X",""))</f>
        <v/>
      </c>
      <c r="U714" s="34" t="str">
        <f aca="false">IF(B714="","",IF(MONTH(B714)=12,"X",""))</f>
        <v/>
      </c>
      <c r="V714" s="24" t="str">
        <f aca="false">IF(E714="","",COUNTIF($E$5:$E$1000,E714))</f>
        <v/>
      </c>
      <c r="W714" s="35" t="str">
        <f aca="false">IF(E714="","",_xlfn.TEXTJOIN(" + ",TRUE(),IF(COUNTIFS($E$5:$E$1000,E714,$C$5:$C$1000,"Auditoría Interna")&gt;0,"Interna",""),IF(COUNTIFS($E$5:$E$1000,E714,$C$5:$C$1000,"Auditoría Externa")&gt;0,"Externa",""),IF(COUNTIFS($E$5:$E$1000,E714,$C$5:$C$1000,"SSF")&gt;0,"SSF",""),IF(COUNTIFS($E$5:$E$1000,E714,$C$5:$C$1000,"Comité de Supervisión")&gt;0,"Comité Sup.",""),IF(COUNTIFS($E$5:$E$1000,E714,$C$5:$C$1000,"Consejo de Administración")&gt;0,"Consejo",""),IF(COUNTIFS($E$5:$E$1000,E714,$C$5:$C$1000,"Otros")&gt;0,"Otros","")))</f>
        <v/>
      </c>
      <c r="X714" s="24" t="str">
        <f aca="false">IF(E714="","",COUNTIFS($E$5:$E$1000,E714,$AB$5:$AB$1000,AB714,$C$5:$C$1000,"&lt;&gt;"&amp;C714))</f>
        <v/>
      </c>
      <c r="Y714" s="33"/>
      <c r="Z714" s="31"/>
      <c r="AA714" s="33"/>
      <c r="AB714" s="37" t="str">
        <f aca="false">IF(B714="","",YEAR(B714)*100+MONTH(B714))</f>
        <v/>
      </c>
      <c r="AC714" s="37" t="str">
        <f aca="false">IF(AND(E714&lt;&gt;"",E714=Cruce!$C$5),COUNTIF($E$5:E714,E714),"")</f>
        <v/>
      </c>
      <c r="AD714" s="37" t="str">
        <f aca="false">IF(E714="","",C714&amp;"|"&amp;Y714&amp;"|"&amp;IF(B714="","s/f",TEXT(B714,"yyyymmdd")))</f>
        <v/>
      </c>
      <c r="AE714" s="37" t="n">
        <f aca="false">IF(E714="",0,IF(COUNTIFS($E$5:E714,E714,$AD$5:AD714,AD714)=1,1,0))</f>
        <v>0</v>
      </c>
    </row>
    <row r="715" customFormat="false" ht="15" hidden="false" customHeight="true" outlineLevel="0" collapsed="false">
      <c r="A715" s="31"/>
      <c r="B715" s="30"/>
      <c r="C715" s="31"/>
      <c r="D715" s="31"/>
      <c r="E715" s="32"/>
      <c r="F715" s="32"/>
      <c r="G715" s="33"/>
      <c r="H715" s="31"/>
      <c r="I715" s="24" t="str">
        <f aca="false">IF(B715="","",YEAR(B715))</f>
        <v/>
      </c>
      <c r="J715" s="34" t="str">
        <f aca="false">IF(B715="","",IF(MONTH(B715)=1,"X",""))</f>
        <v/>
      </c>
      <c r="K715" s="34" t="str">
        <f aca="false">IF(B715="","",IF(MONTH(B715)=2,"X",""))</f>
        <v/>
      </c>
      <c r="L715" s="34" t="str">
        <f aca="false">IF(B715="","",IF(MONTH(B715)=3,"X",""))</f>
        <v/>
      </c>
      <c r="M715" s="34" t="str">
        <f aca="false">IF(B715="","",IF(MONTH(B715)=4,"X",""))</f>
        <v/>
      </c>
      <c r="N715" s="34" t="str">
        <f aca="false">IF(B715="","",IF(MONTH(B715)=5,"X",""))</f>
        <v/>
      </c>
      <c r="O715" s="34" t="str">
        <f aca="false">IF(B715="","",IF(MONTH(B715)=6,"X",""))</f>
        <v/>
      </c>
      <c r="P715" s="34" t="str">
        <f aca="false">IF(B715="","",IF(MONTH(B715)=7,"X",""))</f>
        <v/>
      </c>
      <c r="Q715" s="34" t="str">
        <f aca="false">IF(B715="","",IF(MONTH(B715)=8,"X",""))</f>
        <v/>
      </c>
      <c r="R715" s="34" t="str">
        <f aca="false">IF(B715="","",IF(MONTH(B715)=9,"X",""))</f>
        <v/>
      </c>
      <c r="S715" s="34" t="str">
        <f aca="false">IF(B715="","",IF(MONTH(B715)=10,"X",""))</f>
        <v/>
      </c>
      <c r="T715" s="34" t="str">
        <f aca="false">IF(B715="","",IF(MONTH(B715)=11,"X",""))</f>
        <v/>
      </c>
      <c r="U715" s="34" t="str">
        <f aca="false">IF(B715="","",IF(MONTH(B715)=12,"X",""))</f>
        <v/>
      </c>
      <c r="V715" s="24" t="str">
        <f aca="false">IF(E715="","",COUNTIF($E$5:$E$1000,E715))</f>
        <v/>
      </c>
      <c r="W715" s="35" t="str">
        <f aca="false">IF(E715="","",_xlfn.TEXTJOIN(" + ",TRUE(),IF(COUNTIFS($E$5:$E$1000,E715,$C$5:$C$1000,"Auditoría Interna")&gt;0,"Interna",""),IF(COUNTIFS($E$5:$E$1000,E715,$C$5:$C$1000,"Auditoría Externa")&gt;0,"Externa",""),IF(COUNTIFS($E$5:$E$1000,E715,$C$5:$C$1000,"SSF")&gt;0,"SSF",""),IF(COUNTIFS($E$5:$E$1000,E715,$C$5:$C$1000,"Comité de Supervisión")&gt;0,"Comité Sup.",""),IF(COUNTIFS($E$5:$E$1000,E715,$C$5:$C$1000,"Consejo de Administración")&gt;0,"Consejo",""),IF(COUNTIFS($E$5:$E$1000,E715,$C$5:$C$1000,"Otros")&gt;0,"Otros","")))</f>
        <v/>
      </c>
      <c r="X715" s="24" t="str">
        <f aca="false">IF(E715="","",COUNTIFS($E$5:$E$1000,E715,$AB$5:$AB$1000,AB715,$C$5:$C$1000,"&lt;&gt;"&amp;C715))</f>
        <v/>
      </c>
      <c r="Y715" s="33"/>
      <c r="Z715" s="31"/>
      <c r="AA715" s="33"/>
      <c r="AB715" s="37" t="str">
        <f aca="false">IF(B715="","",YEAR(B715)*100+MONTH(B715))</f>
        <v/>
      </c>
      <c r="AC715" s="37" t="str">
        <f aca="false">IF(AND(E715&lt;&gt;"",E715=Cruce!$C$5),COUNTIF($E$5:E715,E715),"")</f>
        <v/>
      </c>
      <c r="AD715" s="37" t="str">
        <f aca="false">IF(E715="","",C715&amp;"|"&amp;Y715&amp;"|"&amp;IF(B715="","s/f",TEXT(B715,"yyyymmdd")))</f>
        <v/>
      </c>
      <c r="AE715" s="37" t="n">
        <f aca="false">IF(E715="",0,IF(COUNTIFS($E$5:E715,E715,$AD$5:AD715,AD715)=1,1,0))</f>
        <v>0</v>
      </c>
    </row>
    <row r="716" customFormat="false" ht="15" hidden="false" customHeight="true" outlineLevel="0" collapsed="false">
      <c r="A716" s="31"/>
      <c r="B716" s="30"/>
      <c r="C716" s="31"/>
      <c r="D716" s="31"/>
      <c r="E716" s="32"/>
      <c r="F716" s="32"/>
      <c r="G716" s="33"/>
      <c r="H716" s="31"/>
      <c r="I716" s="24" t="str">
        <f aca="false">IF(B716="","",YEAR(B716))</f>
        <v/>
      </c>
      <c r="J716" s="34" t="str">
        <f aca="false">IF(B716="","",IF(MONTH(B716)=1,"X",""))</f>
        <v/>
      </c>
      <c r="K716" s="34" t="str">
        <f aca="false">IF(B716="","",IF(MONTH(B716)=2,"X",""))</f>
        <v/>
      </c>
      <c r="L716" s="34" t="str">
        <f aca="false">IF(B716="","",IF(MONTH(B716)=3,"X",""))</f>
        <v/>
      </c>
      <c r="M716" s="34" t="str">
        <f aca="false">IF(B716="","",IF(MONTH(B716)=4,"X",""))</f>
        <v/>
      </c>
      <c r="N716" s="34" t="str">
        <f aca="false">IF(B716="","",IF(MONTH(B716)=5,"X",""))</f>
        <v/>
      </c>
      <c r="O716" s="34" t="str">
        <f aca="false">IF(B716="","",IF(MONTH(B716)=6,"X",""))</f>
        <v/>
      </c>
      <c r="P716" s="34" t="str">
        <f aca="false">IF(B716="","",IF(MONTH(B716)=7,"X",""))</f>
        <v/>
      </c>
      <c r="Q716" s="34" t="str">
        <f aca="false">IF(B716="","",IF(MONTH(B716)=8,"X",""))</f>
        <v/>
      </c>
      <c r="R716" s="34" t="str">
        <f aca="false">IF(B716="","",IF(MONTH(B716)=9,"X",""))</f>
        <v/>
      </c>
      <c r="S716" s="34" t="str">
        <f aca="false">IF(B716="","",IF(MONTH(B716)=10,"X",""))</f>
        <v/>
      </c>
      <c r="T716" s="34" t="str">
        <f aca="false">IF(B716="","",IF(MONTH(B716)=11,"X",""))</f>
        <v/>
      </c>
      <c r="U716" s="34" t="str">
        <f aca="false">IF(B716="","",IF(MONTH(B716)=12,"X",""))</f>
        <v/>
      </c>
      <c r="V716" s="24" t="str">
        <f aca="false">IF(E716="","",COUNTIF($E$5:$E$1000,E716))</f>
        <v/>
      </c>
      <c r="W716" s="35" t="str">
        <f aca="false">IF(E716="","",_xlfn.TEXTJOIN(" + ",TRUE(),IF(COUNTIFS($E$5:$E$1000,E716,$C$5:$C$1000,"Auditoría Interna")&gt;0,"Interna",""),IF(COUNTIFS($E$5:$E$1000,E716,$C$5:$C$1000,"Auditoría Externa")&gt;0,"Externa",""),IF(COUNTIFS($E$5:$E$1000,E716,$C$5:$C$1000,"SSF")&gt;0,"SSF",""),IF(COUNTIFS($E$5:$E$1000,E716,$C$5:$C$1000,"Comité de Supervisión")&gt;0,"Comité Sup.",""),IF(COUNTIFS($E$5:$E$1000,E716,$C$5:$C$1000,"Consejo de Administración")&gt;0,"Consejo",""),IF(COUNTIFS($E$5:$E$1000,E716,$C$5:$C$1000,"Otros")&gt;0,"Otros","")))</f>
        <v/>
      </c>
      <c r="X716" s="24" t="str">
        <f aca="false">IF(E716="","",COUNTIFS($E$5:$E$1000,E716,$AB$5:$AB$1000,AB716,$C$5:$C$1000,"&lt;&gt;"&amp;C716))</f>
        <v/>
      </c>
      <c r="Y716" s="33"/>
      <c r="Z716" s="31"/>
      <c r="AA716" s="33"/>
      <c r="AB716" s="37" t="str">
        <f aca="false">IF(B716="","",YEAR(B716)*100+MONTH(B716))</f>
        <v/>
      </c>
      <c r="AC716" s="37" t="str">
        <f aca="false">IF(AND(E716&lt;&gt;"",E716=Cruce!$C$5),COUNTIF($E$5:E716,E716),"")</f>
        <v/>
      </c>
      <c r="AD716" s="37" t="str">
        <f aca="false">IF(E716="","",C716&amp;"|"&amp;Y716&amp;"|"&amp;IF(B716="","s/f",TEXT(B716,"yyyymmdd")))</f>
        <v/>
      </c>
      <c r="AE716" s="37" t="n">
        <f aca="false">IF(E716="",0,IF(COUNTIFS($E$5:E716,E716,$AD$5:AD716,AD716)=1,1,0))</f>
        <v>0</v>
      </c>
    </row>
    <row r="717" customFormat="false" ht="15" hidden="false" customHeight="true" outlineLevel="0" collapsed="false">
      <c r="A717" s="31"/>
      <c r="B717" s="30"/>
      <c r="C717" s="31"/>
      <c r="D717" s="31"/>
      <c r="E717" s="32"/>
      <c r="F717" s="32"/>
      <c r="G717" s="33"/>
      <c r="H717" s="31"/>
      <c r="I717" s="24" t="str">
        <f aca="false">IF(B717="","",YEAR(B717))</f>
        <v/>
      </c>
      <c r="J717" s="34" t="str">
        <f aca="false">IF(B717="","",IF(MONTH(B717)=1,"X",""))</f>
        <v/>
      </c>
      <c r="K717" s="34" t="str">
        <f aca="false">IF(B717="","",IF(MONTH(B717)=2,"X",""))</f>
        <v/>
      </c>
      <c r="L717" s="34" t="str">
        <f aca="false">IF(B717="","",IF(MONTH(B717)=3,"X",""))</f>
        <v/>
      </c>
      <c r="M717" s="34" t="str">
        <f aca="false">IF(B717="","",IF(MONTH(B717)=4,"X",""))</f>
        <v/>
      </c>
      <c r="N717" s="34" t="str">
        <f aca="false">IF(B717="","",IF(MONTH(B717)=5,"X",""))</f>
        <v/>
      </c>
      <c r="O717" s="34" t="str">
        <f aca="false">IF(B717="","",IF(MONTH(B717)=6,"X",""))</f>
        <v/>
      </c>
      <c r="P717" s="34" t="str">
        <f aca="false">IF(B717="","",IF(MONTH(B717)=7,"X",""))</f>
        <v/>
      </c>
      <c r="Q717" s="34" t="str">
        <f aca="false">IF(B717="","",IF(MONTH(B717)=8,"X",""))</f>
        <v/>
      </c>
      <c r="R717" s="34" t="str">
        <f aca="false">IF(B717="","",IF(MONTH(B717)=9,"X",""))</f>
        <v/>
      </c>
      <c r="S717" s="34" t="str">
        <f aca="false">IF(B717="","",IF(MONTH(B717)=10,"X",""))</f>
        <v/>
      </c>
      <c r="T717" s="34" t="str">
        <f aca="false">IF(B717="","",IF(MONTH(B717)=11,"X",""))</f>
        <v/>
      </c>
      <c r="U717" s="34" t="str">
        <f aca="false">IF(B717="","",IF(MONTH(B717)=12,"X",""))</f>
        <v/>
      </c>
      <c r="V717" s="24" t="str">
        <f aca="false">IF(E717="","",COUNTIF($E$5:$E$1000,E717))</f>
        <v/>
      </c>
      <c r="W717" s="35" t="str">
        <f aca="false">IF(E717="","",_xlfn.TEXTJOIN(" + ",TRUE(),IF(COUNTIFS($E$5:$E$1000,E717,$C$5:$C$1000,"Auditoría Interna")&gt;0,"Interna",""),IF(COUNTIFS($E$5:$E$1000,E717,$C$5:$C$1000,"Auditoría Externa")&gt;0,"Externa",""),IF(COUNTIFS($E$5:$E$1000,E717,$C$5:$C$1000,"SSF")&gt;0,"SSF",""),IF(COUNTIFS($E$5:$E$1000,E717,$C$5:$C$1000,"Comité de Supervisión")&gt;0,"Comité Sup.",""),IF(COUNTIFS($E$5:$E$1000,E717,$C$5:$C$1000,"Consejo de Administración")&gt;0,"Consejo",""),IF(COUNTIFS($E$5:$E$1000,E717,$C$5:$C$1000,"Otros")&gt;0,"Otros","")))</f>
        <v/>
      </c>
      <c r="X717" s="24" t="str">
        <f aca="false">IF(E717="","",COUNTIFS($E$5:$E$1000,E717,$AB$5:$AB$1000,AB717,$C$5:$C$1000,"&lt;&gt;"&amp;C717))</f>
        <v/>
      </c>
      <c r="Y717" s="33"/>
      <c r="Z717" s="31"/>
      <c r="AA717" s="33"/>
      <c r="AB717" s="37" t="str">
        <f aca="false">IF(B717="","",YEAR(B717)*100+MONTH(B717))</f>
        <v/>
      </c>
      <c r="AC717" s="37" t="str">
        <f aca="false">IF(AND(E717&lt;&gt;"",E717=Cruce!$C$5),COUNTIF($E$5:E717,E717),"")</f>
        <v/>
      </c>
      <c r="AD717" s="37" t="str">
        <f aca="false">IF(E717="","",C717&amp;"|"&amp;Y717&amp;"|"&amp;IF(B717="","s/f",TEXT(B717,"yyyymmdd")))</f>
        <v/>
      </c>
      <c r="AE717" s="37" t="n">
        <f aca="false">IF(E717="",0,IF(COUNTIFS($E$5:E717,E717,$AD$5:AD717,AD717)=1,1,0))</f>
        <v>0</v>
      </c>
    </row>
    <row r="718" customFormat="false" ht="15" hidden="false" customHeight="true" outlineLevel="0" collapsed="false">
      <c r="A718" s="31"/>
      <c r="B718" s="30"/>
      <c r="C718" s="31"/>
      <c r="D718" s="31"/>
      <c r="E718" s="32"/>
      <c r="F718" s="32"/>
      <c r="G718" s="33"/>
      <c r="H718" s="31"/>
      <c r="I718" s="24" t="str">
        <f aca="false">IF(B718="","",YEAR(B718))</f>
        <v/>
      </c>
      <c r="J718" s="34" t="str">
        <f aca="false">IF(B718="","",IF(MONTH(B718)=1,"X",""))</f>
        <v/>
      </c>
      <c r="K718" s="34" t="str">
        <f aca="false">IF(B718="","",IF(MONTH(B718)=2,"X",""))</f>
        <v/>
      </c>
      <c r="L718" s="34" t="str">
        <f aca="false">IF(B718="","",IF(MONTH(B718)=3,"X",""))</f>
        <v/>
      </c>
      <c r="M718" s="34" t="str">
        <f aca="false">IF(B718="","",IF(MONTH(B718)=4,"X",""))</f>
        <v/>
      </c>
      <c r="N718" s="34" t="str">
        <f aca="false">IF(B718="","",IF(MONTH(B718)=5,"X",""))</f>
        <v/>
      </c>
      <c r="O718" s="34" t="str">
        <f aca="false">IF(B718="","",IF(MONTH(B718)=6,"X",""))</f>
        <v/>
      </c>
      <c r="P718" s="34" t="str">
        <f aca="false">IF(B718="","",IF(MONTH(B718)=7,"X",""))</f>
        <v/>
      </c>
      <c r="Q718" s="34" t="str">
        <f aca="false">IF(B718="","",IF(MONTH(B718)=8,"X",""))</f>
        <v/>
      </c>
      <c r="R718" s="34" t="str">
        <f aca="false">IF(B718="","",IF(MONTH(B718)=9,"X",""))</f>
        <v/>
      </c>
      <c r="S718" s="34" t="str">
        <f aca="false">IF(B718="","",IF(MONTH(B718)=10,"X",""))</f>
        <v/>
      </c>
      <c r="T718" s="34" t="str">
        <f aca="false">IF(B718="","",IF(MONTH(B718)=11,"X",""))</f>
        <v/>
      </c>
      <c r="U718" s="34" t="str">
        <f aca="false">IF(B718="","",IF(MONTH(B718)=12,"X",""))</f>
        <v/>
      </c>
      <c r="V718" s="24" t="str">
        <f aca="false">IF(E718="","",COUNTIF($E$5:$E$1000,E718))</f>
        <v/>
      </c>
      <c r="W718" s="35" t="str">
        <f aca="false">IF(E718="","",_xlfn.TEXTJOIN(" + ",TRUE(),IF(COUNTIFS($E$5:$E$1000,E718,$C$5:$C$1000,"Auditoría Interna")&gt;0,"Interna",""),IF(COUNTIFS($E$5:$E$1000,E718,$C$5:$C$1000,"Auditoría Externa")&gt;0,"Externa",""),IF(COUNTIFS($E$5:$E$1000,E718,$C$5:$C$1000,"SSF")&gt;0,"SSF",""),IF(COUNTIFS($E$5:$E$1000,E718,$C$5:$C$1000,"Comité de Supervisión")&gt;0,"Comité Sup.",""),IF(COUNTIFS($E$5:$E$1000,E718,$C$5:$C$1000,"Consejo de Administración")&gt;0,"Consejo",""),IF(COUNTIFS($E$5:$E$1000,E718,$C$5:$C$1000,"Otros")&gt;0,"Otros","")))</f>
        <v/>
      </c>
      <c r="X718" s="24" t="str">
        <f aca="false">IF(E718="","",COUNTIFS($E$5:$E$1000,E718,$AB$5:$AB$1000,AB718,$C$5:$C$1000,"&lt;&gt;"&amp;C718))</f>
        <v/>
      </c>
      <c r="Y718" s="33"/>
      <c r="Z718" s="31"/>
      <c r="AA718" s="33"/>
      <c r="AB718" s="37" t="str">
        <f aca="false">IF(B718="","",YEAR(B718)*100+MONTH(B718))</f>
        <v/>
      </c>
      <c r="AC718" s="37" t="str">
        <f aca="false">IF(AND(E718&lt;&gt;"",E718=Cruce!$C$5),COUNTIF($E$5:E718,E718),"")</f>
        <v/>
      </c>
      <c r="AD718" s="37" t="str">
        <f aca="false">IF(E718="","",C718&amp;"|"&amp;Y718&amp;"|"&amp;IF(B718="","s/f",TEXT(B718,"yyyymmdd")))</f>
        <v/>
      </c>
      <c r="AE718" s="37" t="n">
        <f aca="false">IF(E718="",0,IF(COUNTIFS($E$5:E718,E718,$AD$5:AD718,AD718)=1,1,0))</f>
        <v>0</v>
      </c>
    </row>
    <row r="719" customFormat="false" ht="15" hidden="false" customHeight="true" outlineLevel="0" collapsed="false">
      <c r="A719" s="31"/>
      <c r="B719" s="30"/>
      <c r="C719" s="31"/>
      <c r="D719" s="31"/>
      <c r="E719" s="32"/>
      <c r="F719" s="32"/>
      <c r="G719" s="33"/>
      <c r="H719" s="31"/>
      <c r="I719" s="24" t="str">
        <f aca="false">IF(B719="","",YEAR(B719))</f>
        <v/>
      </c>
      <c r="J719" s="34" t="str">
        <f aca="false">IF(B719="","",IF(MONTH(B719)=1,"X",""))</f>
        <v/>
      </c>
      <c r="K719" s="34" t="str">
        <f aca="false">IF(B719="","",IF(MONTH(B719)=2,"X",""))</f>
        <v/>
      </c>
      <c r="L719" s="34" t="str">
        <f aca="false">IF(B719="","",IF(MONTH(B719)=3,"X",""))</f>
        <v/>
      </c>
      <c r="M719" s="34" t="str">
        <f aca="false">IF(B719="","",IF(MONTH(B719)=4,"X",""))</f>
        <v/>
      </c>
      <c r="N719" s="34" t="str">
        <f aca="false">IF(B719="","",IF(MONTH(B719)=5,"X",""))</f>
        <v/>
      </c>
      <c r="O719" s="34" t="str">
        <f aca="false">IF(B719="","",IF(MONTH(B719)=6,"X",""))</f>
        <v/>
      </c>
      <c r="P719" s="34" t="str">
        <f aca="false">IF(B719="","",IF(MONTH(B719)=7,"X",""))</f>
        <v/>
      </c>
      <c r="Q719" s="34" t="str">
        <f aca="false">IF(B719="","",IF(MONTH(B719)=8,"X",""))</f>
        <v/>
      </c>
      <c r="R719" s="34" t="str">
        <f aca="false">IF(B719="","",IF(MONTH(B719)=9,"X",""))</f>
        <v/>
      </c>
      <c r="S719" s="34" t="str">
        <f aca="false">IF(B719="","",IF(MONTH(B719)=10,"X",""))</f>
        <v/>
      </c>
      <c r="T719" s="34" t="str">
        <f aca="false">IF(B719="","",IF(MONTH(B719)=11,"X",""))</f>
        <v/>
      </c>
      <c r="U719" s="34" t="str">
        <f aca="false">IF(B719="","",IF(MONTH(B719)=12,"X",""))</f>
        <v/>
      </c>
      <c r="V719" s="24" t="str">
        <f aca="false">IF(E719="","",COUNTIF($E$5:$E$1000,E719))</f>
        <v/>
      </c>
      <c r="W719" s="35" t="str">
        <f aca="false">IF(E719="","",_xlfn.TEXTJOIN(" + ",TRUE(),IF(COUNTIFS($E$5:$E$1000,E719,$C$5:$C$1000,"Auditoría Interna")&gt;0,"Interna",""),IF(COUNTIFS($E$5:$E$1000,E719,$C$5:$C$1000,"Auditoría Externa")&gt;0,"Externa",""),IF(COUNTIFS($E$5:$E$1000,E719,$C$5:$C$1000,"SSF")&gt;0,"SSF",""),IF(COUNTIFS($E$5:$E$1000,E719,$C$5:$C$1000,"Comité de Supervisión")&gt;0,"Comité Sup.",""),IF(COUNTIFS($E$5:$E$1000,E719,$C$5:$C$1000,"Consejo de Administración")&gt;0,"Consejo",""),IF(COUNTIFS($E$5:$E$1000,E719,$C$5:$C$1000,"Otros")&gt;0,"Otros","")))</f>
        <v/>
      </c>
      <c r="X719" s="24" t="str">
        <f aca="false">IF(E719="","",COUNTIFS($E$5:$E$1000,E719,$AB$5:$AB$1000,AB719,$C$5:$C$1000,"&lt;&gt;"&amp;C719))</f>
        <v/>
      </c>
      <c r="Y719" s="33"/>
      <c r="Z719" s="31"/>
      <c r="AA719" s="33"/>
      <c r="AB719" s="37" t="str">
        <f aca="false">IF(B719="","",YEAR(B719)*100+MONTH(B719))</f>
        <v/>
      </c>
      <c r="AC719" s="37" t="str">
        <f aca="false">IF(AND(E719&lt;&gt;"",E719=Cruce!$C$5),COUNTIF($E$5:E719,E719),"")</f>
        <v/>
      </c>
      <c r="AD719" s="37" t="str">
        <f aca="false">IF(E719="","",C719&amp;"|"&amp;Y719&amp;"|"&amp;IF(B719="","s/f",TEXT(B719,"yyyymmdd")))</f>
        <v/>
      </c>
      <c r="AE719" s="37" t="n">
        <f aca="false">IF(E719="",0,IF(COUNTIFS($E$5:E719,E719,$AD$5:AD719,AD719)=1,1,0))</f>
        <v>0</v>
      </c>
    </row>
    <row r="720" customFormat="false" ht="15" hidden="false" customHeight="true" outlineLevel="0" collapsed="false">
      <c r="A720" s="31"/>
      <c r="B720" s="30"/>
      <c r="C720" s="31"/>
      <c r="D720" s="31"/>
      <c r="E720" s="32"/>
      <c r="F720" s="32"/>
      <c r="G720" s="33"/>
      <c r="H720" s="31"/>
      <c r="I720" s="24" t="str">
        <f aca="false">IF(B720="","",YEAR(B720))</f>
        <v/>
      </c>
      <c r="J720" s="34" t="str">
        <f aca="false">IF(B720="","",IF(MONTH(B720)=1,"X",""))</f>
        <v/>
      </c>
      <c r="K720" s="34" t="str">
        <f aca="false">IF(B720="","",IF(MONTH(B720)=2,"X",""))</f>
        <v/>
      </c>
      <c r="L720" s="34" t="str">
        <f aca="false">IF(B720="","",IF(MONTH(B720)=3,"X",""))</f>
        <v/>
      </c>
      <c r="M720" s="34" t="str">
        <f aca="false">IF(B720="","",IF(MONTH(B720)=4,"X",""))</f>
        <v/>
      </c>
      <c r="N720" s="34" t="str">
        <f aca="false">IF(B720="","",IF(MONTH(B720)=5,"X",""))</f>
        <v/>
      </c>
      <c r="O720" s="34" t="str">
        <f aca="false">IF(B720="","",IF(MONTH(B720)=6,"X",""))</f>
        <v/>
      </c>
      <c r="P720" s="34" t="str">
        <f aca="false">IF(B720="","",IF(MONTH(B720)=7,"X",""))</f>
        <v/>
      </c>
      <c r="Q720" s="34" t="str">
        <f aca="false">IF(B720="","",IF(MONTH(B720)=8,"X",""))</f>
        <v/>
      </c>
      <c r="R720" s="34" t="str">
        <f aca="false">IF(B720="","",IF(MONTH(B720)=9,"X",""))</f>
        <v/>
      </c>
      <c r="S720" s="34" t="str">
        <f aca="false">IF(B720="","",IF(MONTH(B720)=10,"X",""))</f>
        <v/>
      </c>
      <c r="T720" s="34" t="str">
        <f aca="false">IF(B720="","",IF(MONTH(B720)=11,"X",""))</f>
        <v/>
      </c>
      <c r="U720" s="34" t="str">
        <f aca="false">IF(B720="","",IF(MONTH(B720)=12,"X",""))</f>
        <v/>
      </c>
      <c r="V720" s="24" t="str">
        <f aca="false">IF(E720="","",COUNTIF($E$5:$E$1000,E720))</f>
        <v/>
      </c>
      <c r="W720" s="35" t="str">
        <f aca="false">IF(E720="","",_xlfn.TEXTJOIN(" + ",TRUE(),IF(COUNTIFS($E$5:$E$1000,E720,$C$5:$C$1000,"Auditoría Interna")&gt;0,"Interna",""),IF(COUNTIFS($E$5:$E$1000,E720,$C$5:$C$1000,"Auditoría Externa")&gt;0,"Externa",""),IF(COUNTIFS($E$5:$E$1000,E720,$C$5:$C$1000,"SSF")&gt;0,"SSF",""),IF(COUNTIFS($E$5:$E$1000,E720,$C$5:$C$1000,"Comité de Supervisión")&gt;0,"Comité Sup.",""),IF(COUNTIFS($E$5:$E$1000,E720,$C$5:$C$1000,"Consejo de Administración")&gt;0,"Consejo",""),IF(COUNTIFS($E$5:$E$1000,E720,$C$5:$C$1000,"Otros")&gt;0,"Otros","")))</f>
        <v/>
      </c>
      <c r="X720" s="24" t="str">
        <f aca="false">IF(E720="","",COUNTIFS($E$5:$E$1000,E720,$AB$5:$AB$1000,AB720,$C$5:$C$1000,"&lt;&gt;"&amp;C720))</f>
        <v/>
      </c>
      <c r="Y720" s="33"/>
      <c r="Z720" s="31"/>
      <c r="AA720" s="33"/>
      <c r="AB720" s="37" t="str">
        <f aca="false">IF(B720="","",YEAR(B720)*100+MONTH(B720))</f>
        <v/>
      </c>
      <c r="AC720" s="37" t="str">
        <f aca="false">IF(AND(E720&lt;&gt;"",E720=Cruce!$C$5),COUNTIF($E$5:E720,E720),"")</f>
        <v/>
      </c>
      <c r="AD720" s="37" t="str">
        <f aca="false">IF(E720="","",C720&amp;"|"&amp;Y720&amp;"|"&amp;IF(B720="","s/f",TEXT(B720,"yyyymmdd")))</f>
        <v/>
      </c>
      <c r="AE720" s="37" t="n">
        <f aca="false">IF(E720="",0,IF(COUNTIFS($E$5:E720,E720,$AD$5:AD720,AD720)=1,1,0))</f>
        <v>0</v>
      </c>
    </row>
    <row r="721" customFormat="false" ht="15" hidden="false" customHeight="true" outlineLevel="0" collapsed="false">
      <c r="A721" s="31"/>
      <c r="B721" s="30"/>
      <c r="C721" s="31"/>
      <c r="D721" s="31"/>
      <c r="E721" s="32"/>
      <c r="F721" s="32"/>
      <c r="G721" s="33"/>
      <c r="H721" s="31"/>
      <c r="I721" s="24" t="str">
        <f aca="false">IF(B721="","",YEAR(B721))</f>
        <v/>
      </c>
      <c r="J721" s="34" t="str">
        <f aca="false">IF(B721="","",IF(MONTH(B721)=1,"X",""))</f>
        <v/>
      </c>
      <c r="K721" s="34" t="str">
        <f aca="false">IF(B721="","",IF(MONTH(B721)=2,"X",""))</f>
        <v/>
      </c>
      <c r="L721" s="34" t="str">
        <f aca="false">IF(B721="","",IF(MONTH(B721)=3,"X",""))</f>
        <v/>
      </c>
      <c r="M721" s="34" t="str">
        <f aca="false">IF(B721="","",IF(MONTH(B721)=4,"X",""))</f>
        <v/>
      </c>
      <c r="N721" s="34" t="str">
        <f aca="false">IF(B721="","",IF(MONTH(B721)=5,"X",""))</f>
        <v/>
      </c>
      <c r="O721" s="34" t="str">
        <f aca="false">IF(B721="","",IF(MONTH(B721)=6,"X",""))</f>
        <v/>
      </c>
      <c r="P721" s="34" t="str">
        <f aca="false">IF(B721="","",IF(MONTH(B721)=7,"X",""))</f>
        <v/>
      </c>
      <c r="Q721" s="34" t="str">
        <f aca="false">IF(B721="","",IF(MONTH(B721)=8,"X",""))</f>
        <v/>
      </c>
      <c r="R721" s="34" t="str">
        <f aca="false">IF(B721="","",IF(MONTH(B721)=9,"X",""))</f>
        <v/>
      </c>
      <c r="S721" s="34" t="str">
        <f aca="false">IF(B721="","",IF(MONTH(B721)=10,"X",""))</f>
        <v/>
      </c>
      <c r="T721" s="34" t="str">
        <f aca="false">IF(B721="","",IF(MONTH(B721)=11,"X",""))</f>
        <v/>
      </c>
      <c r="U721" s="34" t="str">
        <f aca="false">IF(B721="","",IF(MONTH(B721)=12,"X",""))</f>
        <v/>
      </c>
      <c r="V721" s="24" t="str">
        <f aca="false">IF(E721="","",COUNTIF($E$5:$E$1000,E721))</f>
        <v/>
      </c>
      <c r="W721" s="35" t="str">
        <f aca="false">IF(E721="","",_xlfn.TEXTJOIN(" + ",TRUE(),IF(COUNTIFS($E$5:$E$1000,E721,$C$5:$C$1000,"Auditoría Interna")&gt;0,"Interna",""),IF(COUNTIFS($E$5:$E$1000,E721,$C$5:$C$1000,"Auditoría Externa")&gt;0,"Externa",""),IF(COUNTIFS($E$5:$E$1000,E721,$C$5:$C$1000,"SSF")&gt;0,"SSF",""),IF(COUNTIFS($E$5:$E$1000,E721,$C$5:$C$1000,"Comité de Supervisión")&gt;0,"Comité Sup.",""),IF(COUNTIFS($E$5:$E$1000,E721,$C$5:$C$1000,"Consejo de Administración")&gt;0,"Consejo",""),IF(COUNTIFS($E$5:$E$1000,E721,$C$5:$C$1000,"Otros")&gt;0,"Otros","")))</f>
        <v/>
      </c>
      <c r="X721" s="24" t="str">
        <f aca="false">IF(E721="","",COUNTIFS($E$5:$E$1000,E721,$AB$5:$AB$1000,AB721,$C$5:$C$1000,"&lt;&gt;"&amp;C721))</f>
        <v/>
      </c>
      <c r="Y721" s="33"/>
      <c r="Z721" s="31"/>
      <c r="AA721" s="33"/>
      <c r="AB721" s="37" t="str">
        <f aca="false">IF(B721="","",YEAR(B721)*100+MONTH(B721))</f>
        <v/>
      </c>
      <c r="AC721" s="37" t="str">
        <f aca="false">IF(AND(E721&lt;&gt;"",E721=Cruce!$C$5),COUNTIF($E$5:E721,E721),"")</f>
        <v/>
      </c>
      <c r="AD721" s="37" t="str">
        <f aca="false">IF(E721="","",C721&amp;"|"&amp;Y721&amp;"|"&amp;IF(B721="","s/f",TEXT(B721,"yyyymmdd")))</f>
        <v/>
      </c>
      <c r="AE721" s="37" t="n">
        <f aca="false">IF(E721="",0,IF(COUNTIFS($E$5:E721,E721,$AD$5:AD721,AD721)=1,1,0))</f>
        <v>0</v>
      </c>
    </row>
    <row r="722" customFormat="false" ht="15" hidden="false" customHeight="true" outlineLevel="0" collapsed="false">
      <c r="A722" s="31"/>
      <c r="B722" s="30"/>
      <c r="C722" s="31"/>
      <c r="D722" s="31"/>
      <c r="E722" s="32"/>
      <c r="F722" s="32"/>
      <c r="G722" s="33"/>
      <c r="H722" s="31"/>
      <c r="I722" s="24" t="str">
        <f aca="false">IF(B722="","",YEAR(B722))</f>
        <v/>
      </c>
      <c r="J722" s="34" t="str">
        <f aca="false">IF(B722="","",IF(MONTH(B722)=1,"X",""))</f>
        <v/>
      </c>
      <c r="K722" s="34" t="str">
        <f aca="false">IF(B722="","",IF(MONTH(B722)=2,"X",""))</f>
        <v/>
      </c>
      <c r="L722" s="34" t="str">
        <f aca="false">IF(B722="","",IF(MONTH(B722)=3,"X",""))</f>
        <v/>
      </c>
      <c r="M722" s="34" t="str">
        <f aca="false">IF(B722="","",IF(MONTH(B722)=4,"X",""))</f>
        <v/>
      </c>
      <c r="N722" s="34" t="str">
        <f aca="false">IF(B722="","",IF(MONTH(B722)=5,"X",""))</f>
        <v/>
      </c>
      <c r="O722" s="34" t="str">
        <f aca="false">IF(B722="","",IF(MONTH(B722)=6,"X",""))</f>
        <v/>
      </c>
      <c r="P722" s="34" t="str">
        <f aca="false">IF(B722="","",IF(MONTH(B722)=7,"X",""))</f>
        <v/>
      </c>
      <c r="Q722" s="34" t="str">
        <f aca="false">IF(B722="","",IF(MONTH(B722)=8,"X",""))</f>
        <v/>
      </c>
      <c r="R722" s="34" t="str">
        <f aca="false">IF(B722="","",IF(MONTH(B722)=9,"X",""))</f>
        <v/>
      </c>
      <c r="S722" s="34" t="str">
        <f aca="false">IF(B722="","",IF(MONTH(B722)=10,"X",""))</f>
        <v/>
      </c>
      <c r="T722" s="34" t="str">
        <f aca="false">IF(B722="","",IF(MONTH(B722)=11,"X",""))</f>
        <v/>
      </c>
      <c r="U722" s="34" t="str">
        <f aca="false">IF(B722="","",IF(MONTH(B722)=12,"X",""))</f>
        <v/>
      </c>
      <c r="V722" s="24" t="str">
        <f aca="false">IF(E722="","",COUNTIF($E$5:$E$1000,E722))</f>
        <v/>
      </c>
      <c r="W722" s="35" t="str">
        <f aca="false">IF(E722="","",_xlfn.TEXTJOIN(" + ",TRUE(),IF(COUNTIFS($E$5:$E$1000,E722,$C$5:$C$1000,"Auditoría Interna")&gt;0,"Interna",""),IF(COUNTIFS($E$5:$E$1000,E722,$C$5:$C$1000,"Auditoría Externa")&gt;0,"Externa",""),IF(COUNTIFS($E$5:$E$1000,E722,$C$5:$C$1000,"SSF")&gt;0,"SSF",""),IF(COUNTIFS($E$5:$E$1000,E722,$C$5:$C$1000,"Comité de Supervisión")&gt;0,"Comité Sup.",""),IF(COUNTIFS($E$5:$E$1000,E722,$C$5:$C$1000,"Consejo de Administración")&gt;0,"Consejo",""),IF(COUNTIFS($E$5:$E$1000,E722,$C$5:$C$1000,"Otros")&gt;0,"Otros","")))</f>
        <v/>
      </c>
      <c r="X722" s="24" t="str">
        <f aca="false">IF(E722="","",COUNTIFS($E$5:$E$1000,E722,$AB$5:$AB$1000,AB722,$C$5:$C$1000,"&lt;&gt;"&amp;C722))</f>
        <v/>
      </c>
      <c r="Y722" s="33"/>
      <c r="Z722" s="31"/>
      <c r="AA722" s="33"/>
      <c r="AB722" s="37" t="str">
        <f aca="false">IF(B722="","",YEAR(B722)*100+MONTH(B722))</f>
        <v/>
      </c>
      <c r="AC722" s="37" t="str">
        <f aca="false">IF(AND(E722&lt;&gt;"",E722=Cruce!$C$5),COUNTIF($E$5:E722,E722),"")</f>
        <v/>
      </c>
      <c r="AD722" s="37" t="str">
        <f aca="false">IF(E722="","",C722&amp;"|"&amp;Y722&amp;"|"&amp;IF(B722="","s/f",TEXT(B722,"yyyymmdd")))</f>
        <v/>
      </c>
      <c r="AE722" s="37" t="n">
        <f aca="false">IF(E722="",0,IF(COUNTIFS($E$5:E722,E722,$AD$5:AD722,AD722)=1,1,0))</f>
        <v>0</v>
      </c>
    </row>
    <row r="723" customFormat="false" ht="15" hidden="false" customHeight="true" outlineLevel="0" collapsed="false">
      <c r="A723" s="31"/>
      <c r="B723" s="30"/>
      <c r="C723" s="31"/>
      <c r="D723" s="31"/>
      <c r="E723" s="32"/>
      <c r="F723" s="32"/>
      <c r="G723" s="33"/>
      <c r="H723" s="31"/>
      <c r="I723" s="24" t="str">
        <f aca="false">IF(B723="","",YEAR(B723))</f>
        <v/>
      </c>
      <c r="J723" s="34" t="str">
        <f aca="false">IF(B723="","",IF(MONTH(B723)=1,"X",""))</f>
        <v/>
      </c>
      <c r="K723" s="34" t="str">
        <f aca="false">IF(B723="","",IF(MONTH(B723)=2,"X",""))</f>
        <v/>
      </c>
      <c r="L723" s="34" t="str">
        <f aca="false">IF(B723="","",IF(MONTH(B723)=3,"X",""))</f>
        <v/>
      </c>
      <c r="M723" s="34" t="str">
        <f aca="false">IF(B723="","",IF(MONTH(B723)=4,"X",""))</f>
        <v/>
      </c>
      <c r="N723" s="34" t="str">
        <f aca="false">IF(B723="","",IF(MONTH(B723)=5,"X",""))</f>
        <v/>
      </c>
      <c r="O723" s="34" t="str">
        <f aca="false">IF(B723="","",IF(MONTH(B723)=6,"X",""))</f>
        <v/>
      </c>
      <c r="P723" s="34" t="str">
        <f aca="false">IF(B723="","",IF(MONTH(B723)=7,"X",""))</f>
        <v/>
      </c>
      <c r="Q723" s="34" t="str">
        <f aca="false">IF(B723="","",IF(MONTH(B723)=8,"X",""))</f>
        <v/>
      </c>
      <c r="R723" s="34" t="str">
        <f aca="false">IF(B723="","",IF(MONTH(B723)=9,"X",""))</f>
        <v/>
      </c>
      <c r="S723" s="34" t="str">
        <f aca="false">IF(B723="","",IF(MONTH(B723)=10,"X",""))</f>
        <v/>
      </c>
      <c r="T723" s="34" t="str">
        <f aca="false">IF(B723="","",IF(MONTH(B723)=11,"X",""))</f>
        <v/>
      </c>
      <c r="U723" s="34" t="str">
        <f aca="false">IF(B723="","",IF(MONTH(B723)=12,"X",""))</f>
        <v/>
      </c>
      <c r="V723" s="24" t="str">
        <f aca="false">IF(E723="","",COUNTIF($E$5:$E$1000,E723))</f>
        <v/>
      </c>
      <c r="W723" s="35" t="str">
        <f aca="false">IF(E723="","",_xlfn.TEXTJOIN(" + ",TRUE(),IF(COUNTIFS($E$5:$E$1000,E723,$C$5:$C$1000,"Auditoría Interna")&gt;0,"Interna",""),IF(COUNTIFS($E$5:$E$1000,E723,$C$5:$C$1000,"Auditoría Externa")&gt;0,"Externa",""),IF(COUNTIFS($E$5:$E$1000,E723,$C$5:$C$1000,"SSF")&gt;0,"SSF",""),IF(COUNTIFS($E$5:$E$1000,E723,$C$5:$C$1000,"Comité de Supervisión")&gt;0,"Comité Sup.",""),IF(COUNTIFS($E$5:$E$1000,E723,$C$5:$C$1000,"Consejo de Administración")&gt;0,"Consejo",""),IF(COUNTIFS($E$5:$E$1000,E723,$C$5:$C$1000,"Otros")&gt;0,"Otros","")))</f>
        <v/>
      </c>
      <c r="X723" s="24" t="str">
        <f aca="false">IF(E723="","",COUNTIFS($E$5:$E$1000,E723,$AB$5:$AB$1000,AB723,$C$5:$C$1000,"&lt;&gt;"&amp;C723))</f>
        <v/>
      </c>
      <c r="Y723" s="33"/>
      <c r="Z723" s="31"/>
      <c r="AA723" s="33"/>
      <c r="AB723" s="37" t="str">
        <f aca="false">IF(B723="","",YEAR(B723)*100+MONTH(B723))</f>
        <v/>
      </c>
      <c r="AC723" s="37" t="str">
        <f aca="false">IF(AND(E723&lt;&gt;"",E723=Cruce!$C$5),COUNTIF($E$5:E723,E723),"")</f>
        <v/>
      </c>
      <c r="AD723" s="37" t="str">
        <f aca="false">IF(E723="","",C723&amp;"|"&amp;Y723&amp;"|"&amp;IF(B723="","s/f",TEXT(B723,"yyyymmdd")))</f>
        <v/>
      </c>
      <c r="AE723" s="37" t="n">
        <f aca="false">IF(E723="",0,IF(COUNTIFS($E$5:E723,E723,$AD$5:AD723,AD723)=1,1,0))</f>
        <v>0</v>
      </c>
    </row>
    <row r="724" customFormat="false" ht="15" hidden="false" customHeight="true" outlineLevel="0" collapsed="false">
      <c r="A724" s="31"/>
      <c r="B724" s="30"/>
      <c r="C724" s="31"/>
      <c r="D724" s="31"/>
      <c r="E724" s="32"/>
      <c r="F724" s="32"/>
      <c r="G724" s="33"/>
      <c r="H724" s="31"/>
      <c r="I724" s="24" t="str">
        <f aca="false">IF(B724="","",YEAR(B724))</f>
        <v/>
      </c>
      <c r="J724" s="34" t="str">
        <f aca="false">IF(B724="","",IF(MONTH(B724)=1,"X",""))</f>
        <v/>
      </c>
      <c r="K724" s="34" t="str">
        <f aca="false">IF(B724="","",IF(MONTH(B724)=2,"X",""))</f>
        <v/>
      </c>
      <c r="L724" s="34" t="str">
        <f aca="false">IF(B724="","",IF(MONTH(B724)=3,"X",""))</f>
        <v/>
      </c>
      <c r="M724" s="34" t="str">
        <f aca="false">IF(B724="","",IF(MONTH(B724)=4,"X",""))</f>
        <v/>
      </c>
      <c r="N724" s="34" t="str">
        <f aca="false">IF(B724="","",IF(MONTH(B724)=5,"X",""))</f>
        <v/>
      </c>
      <c r="O724" s="34" t="str">
        <f aca="false">IF(B724="","",IF(MONTH(B724)=6,"X",""))</f>
        <v/>
      </c>
      <c r="P724" s="34" t="str">
        <f aca="false">IF(B724="","",IF(MONTH(B724)=7,"X",""))</f>
        <v/>
      </c>
      <c r="Q724" s="34" t="str">
        <f aca="false">IF(B724="","",IF(MONTH(B724)=8,"X",""))</f>
        <v/>
      </c>
      <c r="R724" s="34" t="str">
        <f aca="false">IF(B724="","",IF(MONTH(B724)=9,"X",""))</f>
        <v/>
      </c>
      <c r="S724" s="34" t="str">
        <f aca="false">IF(B724="","",IF(MONTH(B724)=10,"X",""))</f>
        <v/>
      </c>
      <c r="T724" s="34" t="str">
        <f aca="false">IF(B724="","",IF(MONTH(B724)=11,"X",""))</f>
        <v/>
      </c>
      <c r="U724" s="34" t="str">
        <f aca="false">IF(B724="","",IF(MONTH(B724)=12,"X",""))</f>
        <v/>
      </c>
      <c r="V724" s="24" t="str">
        <f aca="false">IF(E724="","",COUNTIF($E$5:$E$1000,E724))</f>
        <v/>
      </c>
      <c r="W724" s="35" t="str">
        <f aca="false">IF(E724="","",_xlfn.TEXTJOIN(" + ",TRUE(),IF(COUNTIFS($E$5:$E$1000,E724,$C$5:$C$1000,"Auditoría Interna")&gt;0,"Interna",""),IF(COUNTIFS($E$5:$E$1000,E724,$C$5:$C$1000,"Auditoría Externa")&gt;0,"Externa",""),IF(COUNTIFS($E$5:$E$1000,E724,$C$5:$C$1000,"SSF")&gt;0,"SSF",""),IF(COUNTIFS($E$5:$E$1000,E724,$C$5:$C$1000,"Comité de Supervisión")&gt;0,"Comité Sup.",""),IF(COUNTIFS($E$5:$E$1000,E724,$C$5:$C$1000,"Consejo de Administración")&gt;0,"Consejo",""),IF(COUNTIFS($E$5:$E$1000,E724,$C$5:$C$1000,"Otros")&gt;0,"Otros","")))</f>
        <v/>
      </c>
      <c r="X724" s="24" t="str">
        <f aca="false">IF(E724="","",COUNTIFS($E$5:$E$1000,E724,$AB$5:$AB$1000,AB724,$C$5:$C$1000,"&lt;&gt;"&amp;C724))</f>
        <v/>
      </c>
      <c r="Y724" s="33"/>
      <c r="Z724" s="31"/>
      <c r="AA724" s="33"/>
      <c r="AB724" s="37" t="str">
        <f aca="false">IF(B724="","",YEAR(B724)*100+MONTH(B724))</f>
        <v/>
      </c>
      <c r="AC724" s="37" t="str">
        <f aca="false">IF(AND(E724&lt;&gt;"",E724=Cruce!$C$5),COUNTIF($E$5:E724,E724),"")</f>
        <v/>
      </c>
      <c r="AD724" s="37" t="str">
        <f aca="false">IF(E724="","",C724&amp;"|"&amp;Y724&amp;"|"&amp;IF(B724="","s/f",TEXT(B724,"yyyymmdd")))</f>
        <v/>
      </c>
      <c r="AE724" s="37" t="n">
        <f aca="false">IF(E724="",0,IF(COUNTIFS($E$5:E724,E724,$AD$5:AD724,AD724)=1,1,0))</f>
        <v>0</v>
      </c>
    </row>
    <row r="725" customFormat="false" ht="15" hidden="false" customHeight="true" outlineLevel="0" collapsed="false">
      <c r="A725" s="31"/>
      <c r="B725" s="30"/>
      <c r="C725" s="31"/>
      <c r="D725" s="31"/>
      <c r="E725" s="32"/>
      <c r="F725" s="32"/>
      <c r="G725" s="33"/>
      <c r="H725" s="31"/>
      <c r="I725" s="24" t="str">
        <f aca="false">IF(B725="","",YEAR(B725))</f>
        <v/>
      </c>
      <c r="J725" s="34" t="str">
        <f aca="false">IF(B725="","",IF(MONTH(B725)=1,"X",""))</f>
        <v/>
      </c>
      <c r="K725" s="34" t="str">
        <f aca="false">IF(B725="","",IF(MONTH(B725)=2,"X",""))</f>
        <v/>
      </c>
      <c r="L725" s="34" t="str">
        <f aca="false">IF(B725="","",IF(MONTH(B725)=3,"X",""))</f>
        <v/>
      </c>
      <c r="M725" s="34" t="str">
        <f aca="false">IF(B725="","",IF(MONTH(B725)=4,"X",""))</f>
        <v/>
      </c>
      <c r="N725" s="34" t="str">
        <f aca="false">IF(B725="","",IF(MONTH(B725)=5,"X",""))</f>
        <v/>
      </c>
      <c r="O725" s="34" t="str">
        <f aca="false">IF(B725="","",IF(MONTH(B725)=6,"X",""))</f>
        <v/>
      </c>
      <c r="P725" s="34" t="str">
        <f aca="false">IF(B725="","",IF(MONTH(B725)=7,"X",""))</f>
        <v/>
      </c>
      <c r="Q725" s="34" t="str">
        <f aca="false">IF(B725="","",IF(MONTH(B725)=8,"X",""))</f>
        <v/>
      </c>
      <c r="R725" s="34" t="str">
        <f aca="false">IF(B725="","",IF(MONTH(B725)=9,"X",""))</f>
        <v/>
      </c>
      <c r="S725" s="34" t="str">
        <f aca="false">IF(B725="","",IF(MONTH(B725)=10,"X",""))</f>
        <v/>
      </c>
      <c r="T725" s="34" t="str">
        <f aca="false">IF(B725="","",IF(MONTH(B725)=11,"X",""))</f>
        <v/>
      </c>
      <c r="U725" s="34" t="str">
        <f aca="false">IF(B725="","",IF(MONTH(B725)=12,"X",""))</f>
        <v/>
      </c>
      <c r="V725" s="24" t="str">
        <f aca="false">IF(E725="","",COUNTIF($E$5:$E$1000,E725))</f>
        <v/>
      </c>
      <c r="W725" s="35" t="str">
        <f aca="false">IF(E725="","",_xlfn.TEXTJOIN(" + ",TRUE(),IF(COUNTIFS($E$5:$E$1000,E725,$C$5:$C$1000,"Auditoría Interna")&gt;0,"Interna",""),IF(COUNTIFS($E$5:$E$1000,E725,$C$5:$C$1000,"Auditoría Externa")&gt;0,"Externa",""),IF(COUNTIFS($E$5:$E$1000,E725,$C$5:$C$1000,"SSF")&gt;0,"SSF",""),IF(COUNTIFS($E$5:$E$1000,E725,$C$5:$C$1000,"Comité de Supervisión")&gt;0,"Comité Sup.",""),IF(COUNTIFS($E$5:$E$1000,E725,$C$5:$C$1000,"Consejo de Administración")&gt;0,"Consejo",""),IF(COUNTIFS($E$5:$E$1000,E725,$C$5:$C$1000,"Otros")&gt;0,"Otros","")))</f>
        <v/>
      </c>
      <c r="X725" s="24" t="str">
        <f aca="false">IF(E725="","",COUNTIFS($E$5:$E$1000,E725,$AB$5:$AB$1000,AB725,$C$5:$C$1000,"&lt;&gt;"&amp;C725))</f>
        <v/>
      </c>
      <c r="Y725" s="33"/>
      <c r="Z725" s="31"/>
      <c r="AA725" s="33"/>
      <c r="AB725" s="37" t="str">
        <f aca="false">IF(B725="","",YEAR(B725)*100+MONTH(B725))</f>
        <v/>
      </c>
      <c r="AC725" s="37" t="str">
        <f aca="false">IF(AND(E725&lt;&gt;"",E725=Cruce!$C$5),COUNTIF($E$5:E725,E725),"")</f>
        <v/>
      </c>
      <c r="AD725" s="37" t="str">
        <f aca="false">IF(E725="","",C725&amp;"|"&amp;Y725&amp;"|"&amp;IF(B725="","s/f",TEXT(B725,"yyyymmdd")))</f>
        <v/>
      </c>
      <c r="AE725" s="37" t="n">
        <f aca="false">IF(E725="",0,IF(COUNTIFS($E$5:E725,E725,$AD$5:AD725,AD725)=1,1,0))</f>
        <v>0</v>
      </c>
    </row>
    <row r="726" customFormat="false" ht="15" hidden="false" customHeight="true" outlineLevel="0" collapsed="false">
      <c r="A726" s="31"/>
      <c r="B726" s="30"/>
      <c r="C726" s="31"/>
      <c r="D726" s="31"/>
      <c r="E726" s="32"/>
      <c r="F726" s="32"/>
      <c r="G726" s="33"/>
      <c r="H726" s="31"/>
      <c r="I726" s="24" t="str">
        <f aca="false">IF(B726="","",YEAR(B726))</f>
        <v/>
      </c>
      <c r="J726" s="34" t="str">
        <f aca="false">IF(B726="","",IF(MONTH(B726)=1,"X",""))</f>
        <v/>
      </c>
      <c r="K726" s="34" t="str">
        <f aca="false">IF(B726="","",IF(MONTH(B726)=2,"X",""))</f>
        <v/>
      </c>
      <c r="L726" s="34" t="str">
        <f aca="false">IF(B726="","",IF(MONTH(B726)=3,"X",""))</f>
        <v/>
      </c>
      <c r="M726" s="34" t="str">
        <f aca="false">IF(B726="","",IF(MONTH(B726)=4,"X",""))</f>
        <v/>
      </c>
      <c r="N726" s="34" t="str">
        <f aca="false">IF(B726="","",IF(MONTH(B726)=5,"X",""))</f>
        <v/>
      </c>
      <c r="O726" s="34" t="str">
        <f aca="false">IF(B726="","",IF(MONTH(B726)=6,"X",""))</f>
        <v/>
      </c>
      <c r="P726" s="34" t="str">
        <f aca="false">IF(B726="","",IF(MONTH(B726)=7,"X",""))</f>
        <v/>
      </c>
      <c r="Q726" s="34" t="str">
        <f aca="false">IF(B726="","",IF(MONTH(B726)=8,"X",""))</f>
        <v/>
      </c>
      <c r="R726" s="34" t="str">
        <f aca="false">IF(B726="","",IF(MONTH(B726)=9,"X",""))</f>
        <v/>
      </c>
      <c r="S726" s="34" t="str">
        <f aca="false">IF(B726="","",IF(MONTH(B726)=10,"X",""))</f>
        <v/>
      </c>
      <c r="T726" s="34" t="str">
        <f aca="false">IF(B726="","",IF(MONTH(B726)=11,"X",""))</f>
        <v/>
      </c>
      <c r="U726" s="34" t="str">
        <f aca="false">IF(B726="","",IF(MONTH(B726)=12,"X",""))</f>
        <v/>
      </c>
      <c r="V726" s="24" t="str">
        <f aca="false">IF(E726="","",COUNTIF($E$5:$E$1000,E726))</f>
        <v/>
      </c>
      <c r="W726" s="35" t="str">
        <f aca="false">IF(E726="","",_xlfn.TEXTJOIN(" + ",TRUE(),IF(COUNTIFS($E$5:$E$1000,E726,$C$5:$C$1000,"Auditoría Interna")&gt;0,"Interna",""),IF(COUNTIFS($E$5:$E$1000,E726,$C$5:$C$1000,"Auditoría Externa")&gt;0,"Externa",""),IF(COUNTIFS($E$5:$E$1000,E726,$C$5:$C$1000,"SSF")&gt;0,"SSF",""),IF(COUNTIFS($E$5:$E$1000,E726,$C$5:$C$1000,"Comité de Supervisión")&gt;0,"Comité Sup.",""),IF(COUNTIFS($E$5:$E$1000,E726,$C$5:$C$1000,"Consejo de Administración")&gt;0,"Consejo",""),IF(COUNTIFS($E$5:$E$1000,E726,$C$5:$C$1000,"Otros")&gt;0,"Otros","")))</f>
        <v/>
      </c>
      <c r="X726" s="24" t="str">
        <f aca="false">IF(E726="","",COUNTIFS($E$5:$E$1000,E726,$AB$5:$AB$1000,AB726,$C$5:$C$1000,"&lt;&gt;"&amp;C726))</f>
        <v/>
      </c>
      <c r="Y726" s="33"/>
      <c r="Z726" s="31"/>
      <c r="AA726" s="33"/>
      <c r="AB726" s="37" t="str">
        <f aca="false">IF(B726="","",YEAR(B726)*100+MONTH(B726))</f>
        <v/>
      </c>
      <c r="AC726" s="37" t="str">
        <f aca="false">IF(AND(E726&lt;&gt;"",E726=Cruce!$C$5),COUNTIF($E$5:E726,E726),"")</f>
        <v/>
      </c>
      <c r="AD726" s="37" t="str">
        <f aca="false">IF(E726="","",C726&amp;"|"&amp;Y726&amp;"|"&amp;IF(B726="","s/f",TEXT(B726,"yyyymmdd")))</f>
        <v/>
      </c>
      <c r="AE726" s="37" t="n">
        <f aca="false">IF(E726="",0,IF(COUNTIFS($E$5:E726,E726,$AD$5:AD726,AD726)=1,1,0))</f>
        <v>0</v>
      </c>
    </row>
    <row r="727" customFormat="false" ht="15" hidden="false" customHeight="true" outlineLevel="0" collapsed="false">
      <c r="A727" s="31"/>
      <c r="B727" s="30"/>
      <c r="C727" s="31"/>
      <c r="D727" s="31"/>
      <c r="E727" s="32"/>
      <c r="F727" s="32"/>
      <c r="G727" s="33"/>
      <c r="H727" s="31"/>
      <c r="I727" s="24" t="str">
        <f aca="false">IF(B727="","",YEAR(B727))</f>
        <v/>
      </c>
      <c r="J727" s="34" t="str">
        <f aca="false">IF(B727="","",IF(MONTH(B727)=1,"X",""))</f>
        <v/>
      </c>
      <c r="K727" s="34" t="str">
        <f aca="false">IF(B727="","",IF(MONTH(B727)=2,"X",""))</f>
        <v/>
      </c>
      <c r="L727" s="34" t="str">
        <f aca="false">IF(B727="","",IF(MONTH(B727)=3,"X",""))</f>
        <v/>
      </c>
      <c r="M727" s="34" t="str">
        <f aca="false">IF(B727="","",IF(MONTH(B727)=4,"X",""))</f>
        <v/>
      </c>
      <c r="N727" s="34" t="str">
        <f aca="false">IF(B727="","",IF(MONTH(B727)=5,"X",""))</f>
        <v/>
      </c>
      <c r="O727" s="34" t="str">
        <f aca="false">IF(B727="","",IF(MONTH(B727)=6,"X",""))</f>
        <v/>
      </c>
      <c r="P727" s="34" t="str">
        <f aca="false">IF(B727="","",IF(MONTH(B727)=7,"X",""))</f>
        <v/>
      </c>
      <c r="Q727" s="34" t="str">
        <f aca="false">IF(B727="","",IF(MONTH(B727)=8,"X",""))</f>
        <v/>
      </c>
      <c r="R727" s="34" t="str">
        <f aca="false">IF(B727="","",IF(MONTH(B727)=9,"X",""))</f>
        <v/>
      </c>
      <c r="S727" s="34" t="str">
        <f aca="false">IF(B727="","",IF(MONTH(B727)=10,"X",""))</f>
        <v/>
      </c>
      <c r="T727" s="34" t="str">
        <f aca="false">IF(B727="","",IF(MONTH(B727)=11,"X",""))</f>
        <v/>
      </c>
      <c r="U727" s="34" t="str">
        <f aca="false">IF(B727="","",IF(MONTH(B727)=12,"X",""))</f>
        <v/>
      </c>
      <c r="V727" s="24" t="str">
        <f aca="false">IF(E727="","",COUNTIF($E$5:$E$1000,E727))</f>
        <v/>
      </c>
      <c r="W727" s="35" t="str">
        <f aca="false">IF(E727="","",_xlfn.TEXTJOIN(" + ",TRUE(),IF(COUNTIFS($E$5:$E$1000,E727,$C$5:$C$1000,"Auditoría Interna")&gt;0,"Interna",""),IF(COUNTIFS($E$5:$E$1000,E727,$C$5:$C$1000,"Auditoría Externa")&gt;0,"Externa",""),IF(COUNTIFS($E$5:$E$1000,E727,$C$5:$C$1000,"SSF")&gt;0,"SSF",""),IF(COUNTIFS($E$5:$E$1000,E727,$C$5:$C$1000,"Comité de Supervisión")&gt;0,"Comité Sup.",""),IF(COUNTIFS($E$5:$E$1000,E727,$C$5:$C$1000,"Consejo de Administración")&gt;0,"Consejo",""),IF(COUNTIFS($E$5:$E$1000,E727,$C$5:$C$1000,"Otros")&gt;0,"Otros","")))</f>
        <v/>
      </c>
      <c r="X727" s="24" t="str">
        <f aca="false">IF(E727="","",COUNTIFS($E$5:$E$1000,E727,$AB$5:$AB$1000,AB727,$C$5:$C$1000,"&lt;&gt;"&amp;C727))</f>
        <v/>
      </c>
      <c r="Y727" s="33"/>
      <c r="Z727" s="31"/>
      <c r="AA727" s="33"/>
      <c r="AB727" s="37" t="str">
        <f aca="false">IF(B727="","",YEAR(B727)*100+MONTH(B727))</f>
        <v/>
      </c>
      <c r="AC727" s="37" t="str">
        <f aca="false">IF(AND(E727&lt;&gt;"",E727=Cruce!$C$5),COUNTIF($E$5:E727,E727),"")</f>
        <v/>
      </c>
      <c r="AD727" s="37" t="str">
        <f aca="false">IF(E727="","",C727&amp;"|"&amp;Y727&amp;"|"&amp;IF(B727="","s/f",TEXT(B727,"yyyymmdd")))</f>
        <v/>
      </c>
      <c r="AE727" s="37" t="n">
        <f aca="false">IF(E727="",0,IF(COUNTIFS($E$5:E727,E727,$AD$5:AD727,AD727)=1,1,0))</f>
        <v>0</v>
      </c>
    </row>
    <row r="728" customFormat="false" ht="15" hidden="false" customHeight="true" outlineLevel="0" collapsed="false">
      <c r="A728" s="31"/>
      <c r="B728" s="30"/>
      <c r="C728" s="31"/>
      <c r="D728" s="31"/>
      <c r="E728" s="32"/>
      <c r="F728" s="32"/>
      <c r="G728" s="33"/>
      <c r="H728" s="31"/>
      <c r="I728" s="24" t="str">
        <f aca="false">IF(B728="","",YEAR(B728))</f>
        <v/>
      </c>
      <c r="J728" s="34" t="str">
        <f aca="false">IF(B728="","",IF(MONTH(B728)=1,"X",""))</f>
        <v/>
      </c>
      <c r="K728" s="34" t="str">
        <f aca="false">IF(B728="","",IF(MONTH(B728)=2,"X",""))</f>
        <v/>
      </c>
      <c r="L728" s="34" t="str">
        <f aca="false">IF(B728="","",IF(MONTH(B728)=3,"X",""))</f>
        <v/>
      </c>
      <c r="M728" s="34" t="str">
        <f aca="false">IF(B728="","",IF(MONTH(B728)=4,"X",""))</f>
        <v/>
      </c>
      <c r="N728" s="34" t="str">
        <f aca="false">IF(B728="","",IF(MONTH(B728)=5,"X",""))</f>
        <v/>
      </c>
      <c r="O728" s="34" t="str">
        <f aca="false">IF(B728="","",IF(MONTH(B728)=6,"X",""))</f>
        <v/>
      </c>
      <c r="P728" s="34" t="str">
        <f aca="false">IF(B728="","",IF(MONTH(B728)=7,"X",""))</f>
        <v/>
      </c>
      <c r="Q728" s="34" t="str">
        <f aca="false">IF(B728="","",IF(MONTH(B728)=8,"X",""))</f>
        <v/>
      </c>
      <c r="R728" s="34" t="str">
        <f aca="false">IF(B728="","",IF(MONTH(B728)=9,"X",""))</f>
        <v/>
      </c>
      <c r="S728" s="34" t="str">
        <f aca="false">IF(B728="","",IF(MONTH(B728)=10,"X",""))</f>
        <v/>
      </c>
      <c r="T728" s="34" t="str">
        <f aca="false">IF(B728="","",IF(MONTH(B728)=11,"X",""))</f>
        <v/>
      </c>
      <c r="U728" s="34" t="str">
        <f aca="false">IF(B728="","",IF(MONTH(B728)=12,"X",""))</f>
        <v/>
      </c>
      <c r="V728" s="24" t="str">
        <f aca="false">IF(E728="","",COUNTIF($E$5:$E$1000,E728))</f>
        <v/>
      </c>
      <c r="W728" s="35" t="str">
        <f aca="false">IF(E728="","",_xlfn.TEXTJOIN(" + ",TRUE(),IF(COUNTIFS($E$5:$E$1000,E728,$C$5:$C$1000,"Auditoría Interna")&gt;0,"Interna",""),IF(COUNTIFS($E$5:$E$1000,E728,$C$5:$C$1000,"Auditoría Externa")&gt;0,"Externa",""),IF(COUNTIFS($E$5:$E$1000,E728,$C$5:$C$1000,"SSF")&gt;0,"SSF",""),IF(COUNTIFS($E$5:$E$1000,E728,$C$5:$C$1000,"Comité de Supervisión")&gt;0,"Comité Sup.",""),IF(COUNTIFS($E$5:$E$1000,E728,$C$5:$C$1000,"Consejo de Administración")&gt;0,"Consejo",""),IF(COUNTIFS($E$5:$E$1000,E728,$C$5:$C$1000,"Otros")&gt;0,"Otros","")))</f>
        <v/>
      </c>
      <c r="X728" s="24" t="str">
        <f aca="false">IF(E728="","",COUNTIFS($E$5:$E$1000,E728,$AB$5:$AB$1000,AB728,$C$5:$C$1000,"&lt;&gt;"&amp;C728))</f>
        <v/>
      </c>
      <c r="Y728" s="33"/>
      <c r="Z728" s="31"/>
      <c r="AA728" s="33"/>
      <c r="AB728" s="37" t="str">
        <f aca="false">IF(B728="","",YEAR(B728)*100+MONTH(B728))</f>
        <v/>
      </c>
      <c r="AC728" s="37" t="str">
        <f aca="false">IF(AND(E728&lt;&gt;"",E728=Cruce!$C$5),COUNTIF($E$5:E728,E728),"")</f>
        <v/>
      </c>
      <c r="AD728" s="37" t="str">
        <f aca="false">IF(E728="","",C728&amp;"|"&amp;Y728&amp;"|"&amp;IF(B728="","s/f",TEXT(B728,"yyyymmdd")))</f>
        <v/>
      </c>
      <c r="AE728" s="37" t="n">
        <f aca="false">IF(E728="",0,IF(COUNTIFS($E$5:E728,E728,$AD$5:AD728,AD728)=1,1,0))</f>
        <v>0</v>
      </c>
    </row>
    <row r="729" customFormat="false" ht="15" hidden="false" customHeight="true" outlineLevel="0" collapsed="false">
      <c r="A729" s="31"/>
      <c r="B729" s="30"/>
      <c r="C729" s="31"/>
      <c r="D729" s="31"/>
      <c r="E729" s="32"/>
      <c r="F729" s="32"/>
      <c r="G729" s="33"/>
      <c r="H729" s="31"/>
      <c r="I729" s="24" t="str">
        <f aca="false">IF(B729="","",YEAR(B729))</f>
        <v/>
      </c>
      <c r="J729" s="34" t="str">
        <f aca="false">IF(B729="","",IF(MONTH(B729)=1,"X",""))</f>
        <v/>
      </c>
      <c r="K729" s="34" t="str">
        <f aca="false">IF(B729="","",IF(MONTH(B729)=2,"X",""))</f>
        <v/>
      </c>
      <c r="L729" s="34" t="str">
        <f aca="false">IF(B729="","",IF(MONTH(B729)=3,"X",""))</f>
        <v/>
      </c>
      <c r="M729" s="34" t="str">
        <f aca="false">IF(B729="","",IF(MONTH(B729)=4,"X",""))</f>
        <v/>
      </c>
      <c r="N729" s="34" t="str">
        <f aca="false">IF(B729="","",IF(MONTH(B729)=5,"X",""))</f>
        <v/>
      </c>
      <c r="O729" s="34" t="str">
        <f aca="false">IF(B729="","",IF(MONTH(B729)=6,"X",""))</f>
        <v/>
      </c>
      <c r="P729" s="34" t="str">
        <f aca="false">IF(B729="","",IF(MONTH(B729)=7,"X",""))</f>
        <v/>
      </c>
      <c r="Q729" s="34" t="str">
        <f aca="false">IF(B729="","",IF(MONTH(B729)=8,"X",""))</f>
        <v/>
      </c>
      <c r="R729" s="34" t="str">
        <f aca="false">IF(B729="","",IF(MONTH(B729)=9,"X",""))</f>
        <v/>
      </c>
      <c r="S729" s="34" t="str">
        <f aca="false">IF(B729="","",IF(MONTH(B729)=10,"X",""))</f>
        <v/>
      </c>
      <c r="T729" s="34" t="str">
        <f aca="false">IF(B729="","",IF(MONTH(B729)=11,"X",""))</f>
        <v/>
      </c>
      <c r="U729" s="34" t="str">
        <f aca="false">IF(B729="","",IF(MONTH(B729)=12,"X",""))</f>
        <v/>
      </c>
      <c r="V729" s="24" t="str">
        <f aca="false">IF(E729="","",COUNTIF($E$5:$E$1000,E729))</f>
        <v/>
      </c>
      <c r="W729" s="35" t="str">
        <f aca="false">IF(E729="","",_xlfn.TEXTJOIN(" + ",TRUE(),IF(COUNTIFS($E$5:$E$1000,E729,$C$5:$C$1000,"Auditoría Interna")&gt;0,"Interna",""),IF(COUNTIFS($E$5:$E$1000,E729,$C$5:$C$1000,"Auditoría Externa")&gt;0,"Externa",""),IF(COUNTIFS($E$5:$E$1000,E729,$C$5:$C$1000,"SSF")&gt;0,"SSF",""),IF(COUNTIFS($E$5:$E$1000,E729,$C$5:$C$1000,"Comité de Supervisión")&gt;0,"Comité Sup.",""),IF(COUNTIFS($E$5:$E$1000,E729,$C$5:$C$1000,"Consejo de Administración")&gt;0,"Consejo",""),IF(COUNTIFS($E$5:$E$1000,E729,$C$5:$C$1000,"Otros")&gt;0,"Otros","")))</f>
        <v/>
      </c>
      <c r="X729" s="24" t="str">
        <f aca="false">IF(E729="","",COUNTIFS($E$5:$E$1000,E729,$AB$5:$AB$1000,AB729,$C$5:$C$1000,"&lt;&gt;"&amp;C729))</f>
        <v/>
      </c>
      <c r="Y729" s="33"/>
      <c r="Z729" s="31"/>
      <c r="AA729" s="33"/>
      <c r="AB729" s="37" t="str">
        <f aca="false">IF(B729="","",YEAR(B729)*100+MONTH(B729))</f>
        <v/>
      </c>
      <c r="AC729" s="37" t="str">
        <f aca="false">IF(AND(E729&lt;&gt;"",E729=Cruce!$C$5),COUNTIF($E$5:E729,E729),"")</f>
        <v/>
      </c>
      <c r="AD729" s="37" t="str">
        <f aca="false">IF(E729="","",C729&amp;"|"&amp;Y729&amp;"|"&amp;IF(B729="","s/f",TEXT(B729,"yyyymmdd")))</f>
        <v/>
      </c>
      <c r="AE729" s="37" t="n">
        <f aca="false">IF(E729="",0,IF(COUNTIFS($E$5:E729,E729,$AD$5:AD729,AD729)=1,1,0))</f>
        <v>0</v>
      </c>
    </row>
    <row r="730" customFormat="false" ht="15" hidden="false" customHeight="true" outlineLevel="0" collapsed="false">
      <c r="A730" s="31"/>
      <c r="B730" s="30"/>
      <c r="C730" s="31"/>
      <c r="D730" s="31"/>
      <c r="E730" s="32"/>
      <c r="F730" s="32"/>
      <c r="G730" s="33"/>
      <c r="H730" s="31"/>
      <c r="I730" s="24" t="str">
        <f aca="false">IF(B730="","",YEAR(B730))</f>
        <v/>
      </c>
      <c r="J730" s="34" t="str">
        <f aca="false">IF(B730="","",IF(MONTH(B730)=1,"X",""))</f>
        <v/>
      </c>
      <c r="K730" s="34" t="str">
        <f aca="false">IF(B730="","",IF(MONTH(B730)=2,"X",""))</f>
        <v/>
      </c>
      <c r="L730" s="34" t="str">
        <f aca="false">IF(B730="","",IF(MONTH(B730)=3,"X",""))</f>
        <v/>
      </c>
      <c r="M730" s="34" t="str">
        <f aca="false">IF(B730="","",IF(MONTH(B730)=4,"X",""))</f>
        <v/>
      </c>
      <c r="N730" s="34" t="str">
        <f aca="false">IF(B730="","",IF(MONTH(B730)=5,"X",""))</f>
        <v/>
      </c>
      <c r="O730" s="34" t="str">
        <f aca="false">IF(B730="","",IF(MONTH(B730)=6,"X",""))</f>
        <v/>
      </c>
      <c r="P730" s="34" t="str">
        <f aca="false">IF(B730="","",IF(MONTH(B730)=7,"X",""))</f>
        <v/>
      </c>
      <c r="Q730" s="34" t="str">
        <f aca="false">IF(B730="","",IF(MONTH(B730)=8,"X",""))</f>
        <v/>
      </c>
      <c r="R730" s="34" t="str">
        <f aca="false">IF(B730="","",IF(MONTH(B730)=9,"X",""))</f>
        <v/>
      </c>
      <c r="S730" s="34" t="str">
        <f aca="false">IF(B730="","",IF(MONTH(B730)=10,"X",""))</f>
        <v/>
      </c>
      <c r="T730" s="34" t="str">
        <f aca="false">IF(B730="","",IF(MONTH(B730)=11,"X",""))</f>
        <v/>
      </c>
      <c r="U730" s="34" t="str">
        <f aca="false">IF(B730="","",IF(MONTH(B730)=12,"X",""))</f>
        <v/>
      </c>
      <c r="V730" s="24" t="str">
        <f aca="false">IF(E730="","",COUNTIF($E$5:$E$1000,E730))</f>
        <v/>
      </c>
      <c r="W730" s="35" t="str">
        <f aca="false">IF(E730="","",_xlfn.TEXTJOIN(" + ",TRUE(),IF(COUNTIFS($E$5:$E$1000,E730,$C$5:$C$1000,"Auditoría Interna")&gt;0,"Interna",""),IF(COUNTIFS($E$5:$E$1000,E730,$C$5:$C$1000,"Auditoría Externa")&gt;0,"Externa",""),IF(COUNTIFS($E$5:$E$1000,E730,$C$5:$C$1000,"SSF")&gt;0,"SSF",""),IF(COUNTIFS($E$5:$E$1000,E730,$C$5:$C$1000,"Comité de Supervisión")&gt;0,"Comité Sup.",""),IF(COUNTIFS($E$5:$E$1000,E730,$C$5:$C$1000,"Consejo de Administración")&gt;0,"Consejo",""),IF(COUNTIFS($E$5:$E$1000,E730,$C$5:$C$1000,"Otros")&gt;0,"Otros","")))</f>
        <v/>
      </c>
      <c r="X730" s="24" t="str">
        <f aca="false">IF(E730="","",COUNTIFS($E$5:$E$1000,E730,$AB$5:$AB$1000,AB730,$C$5:$C$1000,"&lt;&gt;"&amp;C730))</f>
        <v/>
      </c>
      <c r="Y730" s="33"/>
      <c r="Z730" s="31"/>
      <c r="AA730" s="33"/>
      <c r="AB730" s="37" t="str">
        <f aca="false">IF(B730="","",YEAR(B730)*100+MONTH(B730))</f>
        <v/>
      </c>
      <c r="AC730" s="37" t="str">
        <f aca="false">IF(AND(E730&lt;&gt;"",E730=Cruce!$C$5),COUNTIF($E$5:E730,E730),"")</f>
        <v/>
      </c>
      <c r="AD730" s="37" t="str">
        <f aca="false">IF(E730="","",C730&amp;"|"&amp;Y730&amp;"|"&amp;IF(B730="","s/f",TEXT(B730,"yyyymmdd")))</f>
        <v/>
      </c>
      <c r="AE730" s="37" t="n">
        <f aca="false">IF(E730="",0,IF(COUNTIFS($E$5:E730,E730,$AD$5:AD730,AD730)=1,1,0))</f>
        <v>0</v>
      </c>
    </row>
    <row r="731" customFormat="false" ht="15" hidden="false" customHeight="true" outlineLevel="0" collapsed="false">
      <c r="A731" s="31"/>
      <c r="B731" s="30"/>
      <c r="C731" s="31"/>
      <c r="D731" s="31"/>
      <c r="E731" s="32"/>
      <c r="F731" s="32"/>
      <c r="G731" s="33"/>
      <c r="H731" s="31"/>
      <c r="I731" s="24" t="str">
        <f aca="false">IF(B731="","",YEAR(B731))</f>
        <v/>
      </c>
      <c r="J731" s="34" t="str">
        <f aca="false">IF(B731="","",IF(MONTH(B731)=1,"X",""))</f>
        <v/>
      </c>
      <c r="K731" s="34" t="str">
        <f aca="false">IF(B731="","",IF(MONTH(B731)=2,"X",""))</f>
        <v/>
      </c>
      <c r="L731" s="34" t="str">
        <f aca="false">IF(B731="","",IF(MONTH(B731)=3,"X",""))</f>
        <v/>
      </c>
      <c r="M731" s="34" t="str">
        <f aca="false">IF(B731="","",IF(MONTH(B731)=4,"X",""))</f>
        <v/>
      </c>
      <c r="N731" s="34" t="str">
        <f aca="false">IF(B731="","",IF(MONTH(B731)=5,"X",""))</f>
        <v/>
      </c>
      <c r="O731" s="34" t="str">
        <f aca="false">IF(B731="","",IF(MONTH(B731)=6,"X",""))</f>
        <v/>
      </c>
      <c r="P731" s="34" t="str">
        <f aca="false">IF(B731="","",IF(MONTH(B731)=7,"X",""))</f>
        <v/>
      </c>
      <c r="Q731" s="34" t="str">
        <f aca="false">IF(B731="","",IF(MONTH(B731)=8,"X",""))</f>
        <v/>
      </c>
      <c r="R731" s="34" t="str">
        <f aca="false">IF(B731="","",IF(MONTH(B731)=9,"X",""))</f>
        <v/>
      </c>
      <c r="S731" s="34" t="str">
        <f aca="false">IF(B731="","",IF(MONTH(B731)=10,"X",""))</f>
        <v/>
      </c>
      <c r="T731" s="34" t="str">
        <f aca="false">IF(B731="","",IF(MONTH(B731)=11,"X",""))</f>
        <v/>
      </c>
      <c r="U731" s="34" t="str">
        <f aca="false">IF(B731="","",IF(MONTH(B731)=12,"X",""))</f>
        <v/>
      </c>
      <c r="V731" s="24" t="str">
        <f aca="false">IF(E731="","",COUNTIF($E$5:$E$1000,E731))</f>
        <v/>
      </c>
      <c r="W731" s="35" t="str">
        <f aca="false">IF(E731="","",_xlfn.TEXTJOIN(" + ",TRUE(),IF(COUNTIFS($E$5:$E$1000,E731,$C$5:$C$1000,"Auditoría Interna")&gt;0,"Interna",""),IF(COUNTIFS($E$5:$E$1000,E731,$C$5:$C$1000,"Auditoría Externa")&gt;0,"Externa",""),IF(COUNTIFS($E$5:$E$1000,E731,$C$5:$C$1000,"SSF")&gt;0,"SSF",""),IF(COUNTIFS($E$5:$E$1000,E731,$C$5:$C$1000,"Comité de Supervisión")&gt;0,"Comité Sup.",""),IF(COUNTIFS($E$5:$E$1000,E731,$C$5:$C$1000,"Consejo de Administración")&gt;0,"Consejo",""),IF(COUNTIFS($E$5:$E$1000,E731,$C$5:$C$1000,"Otros")&gt;0,"Otros","")))</f>
        <v/>
      </c>
      <c r="X731" s="24" t="str">
        <f aca="false">IF(E731="","",COUNTIFS($E$5:$E$1000,E731,$AB$5:$AB$1000,AB731,$C$5:$C$1000,"&lt;&gt;"&amp;C731))</f>
        <v/>
      </c>
      <c r="Y731" s="33"/>
      <c r="Z731" s="31"/>
      <c r="AA731" s="33"/>
      <c r="AB731" s="37" t="str">
        <f aca="false">IF(B731="","",YEAR(B731)*100+MONTH(B731))</f>
        <v/>
      </c>
      <c r="AC731" s="37" t="str">
        <f aca="false">IF(AND(E731&lt;&gt;"",E731=Cruce!$C$5),COUNTIF($E$5:E731,E731),"")</f>
        <v/>
      </c>
      <c r="AD731" s="37" t="str">
        <f aca="false">IF(E731="","",C731&amp;"|"&amp;Y731&amp;"|"&amp;IF(B731="","s/f",TEXT(B731,"yyyymmdd")))</f>
        <v/>
      </c>
      <c r="AE731" s="37" t="n">
        <f aca="false">IF(E731="",0,IF(COUNTIFS($E$5:E731,E731,$AD$5:AD731,AD731)=1,1,0))</f>
        <v>0</v>
      </c>
    </row>
    <row r="732" customFormat="false" ht="15" hidden="false" customHeight="true" outlineLevel="0" collapsed="false">
      <c r="A732" s="31"/>
      <c r="B732" s="30"/>
      <c r="C732" s="31"/>
      <c r="D732" s="31"/>
      <c r="E732" s="32"/>
      <c r="F732" s="32"/>
      <c r="G732" s="33"/>
      <c r="H732" s="31"/>
      <c r="I732" s="24" t="str">
        <f aca="false">IF(B732="","",YEAR(B732))</f>
        <v/>
      </c>
      <c r="J732" s="34" t="str">
        <f aca="false">IF(B732="","",IF(MONTH(B732)=1,"X",""))</f>
        <v/>
      </c>
      <c r="K732" s="34" t="str">
        <f aca="false">IF(B732="","",IF(MONTH(B732)=2,"X",""))</f>
        <v/>
      </c>
      <c r="L732" s="34" t="str">
        <f aca="false">IF(B732="","",IF(MONTH(B732)=3,"X",""))</f>
        <v/>
      </c>
      <c r="M732" s="34" t="str">
        <f aca="false">IF(B732="","",IF(MONTH(B732)=4,"X",""))</f>
        <v/>
      </c>
      <c r="N732" s="34" t="str">
        <f aca="false">IF(B732="","",IF(MONTH(B732)=5,"X",""))</f>
        <v/>
      </c>
      <c r="O732" s="34" t="str">
        <f aca="false">IF(B732="","",IF(MONTH(B732)=6,"X",""))</f>
        <v/>
      </c>
      <c r="P732" s="34" t="str">
        <f aca="false">IF(B732="","",IF(MONTH(B732)=7,"X",""))</f>
        <v/>
      </c>
      <c r="Q732" s="34" t="str">
        <f aca="false">IF(B732="","",IF(MONTH(B732)=8,"X",""))</f>
        <v/>
      </c>
      <c r="R732" s="34" t="str">
        <f aca="false">IF(B732="","",IF(MONTH(B732)=9,"X",""))</f>
        <v/>
      </c>
      <c r="S732" s="34" t="str">
        <f aca="false">IF(B732="","",IF(MONTH(B732)=10,"X",""))</f>
        <v/>
      </c>
      <c r="T732" s="34" t="str">
        <f aca="false">IF(B732="","",IF(MONTH(B732)=11,"X",""))</f>
        <v/>
      </c>
      <c r="U732" s="34" t="str">
        <f aca="false">IF(B732="","",IF(MONTH(B732)=12,"X",""))</f>
        <v/>
      </c>
      <c r="V732" s="24" t="str">
        <f aca="false">IF(E732="","",COUNTIF($E$5:$E$1000,E732))</f>
        <v/>
      </c>
      <c r="W732" s="35" t="str">
        <f aca="false">IF(E732="","",_xlfn.TEXTJOIN(" + ",TRUE(),IF(COUNTIFS($E$5:$E$1000,E732,$C$5:$C$1000,"Auditoría Interna")&gt;0,"Interna",""),IF(COUNTIFS($E$5:$E$1000,E732,$C$5:$C$1000,"Auditoría Externa")&gt;0,"Externa",""),IF(COUNTIFS($E$5:$E$1000,E732,$C$5:$C$1000,"SSF")&gt;0,"SSF",""),IF(COUNTIFS($E$5:$E$1000,E732,$C$5:$C$1000,"Comité de Supervisión")&gt;0,"Comité Sup.",""),IF(COUNTIFS($E$5:$E$1000,E732,$C$5:$C$1000,"Consejo de Administración")&gt;0,"Consejo",""),IF(COUNTIFS($E$5:$E$1000,E732,$C$5:$C$1000,"Otros")&gt;0,"Otros","")))</f>
        <v/>
      </c>
      <c r="X732" s="24" t="str">
        <f aca="false">IF(E732="","",COUNTIFS($E$5:$E$1000,E732,$AB$5:$AB$1000,AB732,$C$5:$C$1000,"&lt;&gt;"&amp;C732))</f>
        <v/>
      </c>
      <c r="Y732" s="33"/>
      <c r="Z732" s="31"/>
      <c r="AA732" s="33"/>
      <c r="AB732" s="37" t="str">
        <f aca="false">IF(B732="","",YEAR(B732)*100+MONTH(B732))</f>
        <v/>
      </c>
      <c r="AC732" s="37" t="str">
        <f aca="false">IF(AND(E732&lt;&gt;"",E732=Cruce!$C$5),COUNTIF($E$5:E732,E732),"")</f>
        <v/>
      </c>
      <c r="AD732" s="37" t="str">
        <f aca="false">IF(E732="","",C732&amp;"|"&amp;Y732&amp;"|"&amp;IF(B732="","s/f",TEXT(B732,"yyyymmdd")))</f>
        <v/>
      </c>
      <c r="AE732" s="37" t="n">
        <f aca="false">IF(E732="",0,IF(COUNTIFS($E$5:E732,E732,$AD$5:AD732,AD732)=1,1,0))</f>
        <v>0</v>
      </c>
    </row>
    <row r="733" customFormat="false" ht="15" hidden="false" customHeight="true" outlineLevel="0" collapsed="false">
      <c r="A733" s="31"/>
      <c r="B733" s="30"/>
      <c r="C733" s="31"/>
      <c r="D733" s="31"/>
      <c r="E733" s="32"/>
      <c r="F733" s="32"/>
      <c r="G733" s="33"/>
      <c r="H733" s="31"/>
      <c r="I733" s="24" t="str">
        <f aca="false">IF(B733="","",YEAR(B733))</f>
        <v/>
      </c>
      <c r="J733" s="34" t="str">
        <f aca="false">IF(B733="","",IF(MONTH(B733)=1,"X",""))</f>
        <v/>
      </c>
      <c r="K733" s="34" t="str">
        <f aca="false">IF(B733="","",IF(MONTH(B733)=2,"X",""))</f>
        <v/>
      </c>
      <c r="L733" s="34" t="str">
        <f aca="false">IF(B733="","",IF(MONTH(B733)=3,"X",""))</f>
        <v/>
      </c>
      <c r="M733" s="34" t="str">
        <f aca="false">IF(B733="","",IF(MONTH(B733)=4,"X",""))</f>
        <v/>
      </c>
      <c r="N733" s="34" t="str">
        <f aca="false">IF(B733="","",IF(MONTH(B733)=5,"X",""))</f>
        <v/>
      </c>
      <c r="O733" s="34" t="str">
        <f aca="false">IF(B733="","",IF(MONTH(B733)=6,"X",""))</f>
        <v/>
      </c>
      <c r="P733" s="34" t="str">
        <f aca="false">IF(B733="","",IF(MONTH(B733)=7,"X",""))</f>
        <v/>
      </c>
      <c r="Q733" s="34" t="str">
        <f aca="false">IF(B733="","",IF(MONTH(B733)=8,"X",""))</f>
        <v/>
      </c>
      <c r="R733" s="34" t="str">
        <f aca="false">IF(B733="","",IF(MONTH(B733)=9,"X",""))</f>
        <v/>
      </c>
      <c r="S733" s="34" t="str">
        <f aca="false">IF(B733="","",IF(MONTH(B733)=10,"X",""))</f>
        <v/>
      </c>
      <c r="T733" s="34" t="str">
        <f aca="false">IF(B733="","",IF(MONTH(B733)=11,"X",""))</f>
        <v/>
      </c>
      <c r="U733" s="34" t="str">
        <f aca="false">IF(B733="","",IF(MONTH(B733)=12,"X",""))</f>
        <v/>
      </c>
      <c r="V733" s="24" t="str">
        <f aca="false">IF(E733="","",COUNTIF($E$5:$E$1000,E733))</f>
        <v/>
      </c>
      <c r="W733" s="35" t="str">
        <f aca="false">IF(E733="","",_xlfn.TEXTJOIN(" + ",TRUE(),IF(COUNTIFS($E$5:$E$1000,E733,$C$5:$C$1000,"Auditoría Interna")&gt;0,"Interna",""),IF(COUNTIFS($E$5:$E$1000,E733,$C$5:$C$1000,"Auditoría Externa")&gt;0,"Externa",""),IF(COUNTIFS($E$5:$E$1000,E733,$C$5:$C$1000,"SSF")&gt;0,"SSF",""),IF(COUNTIFS($E$5:$E$1000,E733,$C$5:$C$1000,"Comité de Supervisión")&gt;0,"Comité Sup.",""),IF(COUNTIFS($E$5:$E$1000,E733,$C$5:$C$1000,"Consejo de Administración")&gt;0,"Consejo",""),IF(COUNTIFS($E$5:$E$1000,E733,$C$5:$C$1000,"Otros")&gt;0,"Otros","")))</f>
        <v/>
      </c>
      <c r="X733" s="24" t="str">
        <f aca="false">IF(E733="","",COUNTIFS($E$5:$E$1000,E733,$AB$5:$AB$1000,AB733,$C$5:$C$1000,"&lt;&gt;"&amp;C733))</f>
        <v/>
      </c>
      <c r="Y733" s="33"/>
      <c r="Z733" s="31"/>
      <c r="AA733" s="33"/>
      <c r="AB733" s="37" t="str">
        <f aca="false">IF(B733="","",YEAR(B733)*100+MONTH(B733))</f>
        <v/>
      </c>
      <c r="AC733" s="37" t="str">
        <f aca="false">IF(AND(E733&lt;&gt;"",E733=Cruce!$C$5),COUNTIF($E$5:E733,E733),"")</f>
        <v/>
      </c>
      <c r="AD733" s="37" t="str">
        <f aca="false">IF(E733="","",C733&amp;"|"&amp;Y733&amp;"|"&amp;IF(B733="","s/f",TEXT(B733,"yyyymmdd")))</f>
        <v/>
      </c>
      <c r="AE733" s="37" t="n">
        <f aca="false">IF(E733="",0,IF(COUNTIFS($E$5:E733,E733,$AD$5:AD733,AD733)=1,1,0))</f>
        <v>0</v>
      </c>
    </row>
    <row r="734" customFormat="false" ht="15" hidden="false" customHeight="true" outlineLevel="0" collapsed="false">
      <c r="A734" s="31"/>
      <c r="B734" s="30"/>
      <c r="C734" s="31"/>
      <c r="D734" s="31"/>
      <c r="E734" s="32"/>
      <c r="F734" s="32"/>
      <c r="G734" s="33"/>
      <c r="H734" s="31"/>
      <c r="I734" s="24" t="str">
        <f aca="false">IF(B734="","",YEAR(B734))</f>
        <v/>
      </c>
      <c r="J734" s="34" t="str">
        <f aca="false">IF(B734="","",IF(MONTH(B734)=1,"X",""))</f>
        <v/>
      </c>
      <c r="K734" s="34" t="str">
        <f aca="false">IF(B734="","",IF(MONTH(B734)=2,"X",""))</f>
        <v/>
      </c>
      <c r="L734" s="34" t="str">
        <f aca="false">IF(B734="","",IF(MONTH(B734)=3,"X",""))</f>
        <v/>
      </c>
      <c r="M734" s="34" t="str">
        <f aca="false">IF(B734="","",IF(MONTH(B734)=4,"X",""))</f>
        <v/>
      </c>
      <c r="N734" s="34" t="str">
        <f aca="false">IF(B734="","",IF(MONTH(B734)=5,"X",""))</f>
        <v/>
      </c>
      <c r="O734" s="34" t="str">
        <f aca="false">IF(B734="","",IF(MONTH(B734)=6,"X",""))</f>
        <v/>
      </c>
      <c r="P734" s="34" t="str">
        <f aca="false">IF(B734="","",IF(MONTH(B734)=7,"X",""))</f>
        <v/>
      </c>
      <c r="Q734" s="34" t="str">
        <f aca="false">IF(B734="","",IF(MONTH(B734)=8,"X",""))</f>
        <v/>
      </c>
      <c r="R734" s="34" t="str">
        <f aca="false">IF(B734="","",IF(MONTH(B734)=9,"X",""))</f>
        <v/>
      </c>
      <c r="S734" s="34" t="str">
        <f aca="false">IF(B734="","",IF(MONTH(B734)=10,"X",""))</f>
        <v/>
      </c>
      <c r="T734" s="34" t="str">
        <f aca="false">IF(B734="","",IF(MONTH(B734)=11,"X",""))</f>
        <v/>
      </c>
      <c r="U734" s="34" t="str">
        <f aca="false">IF(B734="","",IF(MONTH(B734)=12,"X",""))</f>
        <v/>
      </c>
      <c r="V734" s="24" t="str">
        <f aca="false">IF(E734="","",COUNTIF($E$5:$E$1000,E734))</f>
        <v/>
      </c>
      <c r="W734" s="35" t="str">
        <f aca="false">IF(E734="","",_xlfn.TEXTJOIN(" + ",TRUE(),IF(COUNTIFS($E$5:$E$1000,E734,$C$5:$C$1000,"Auditoría Interna")&gt;0,"Interna",""),IF(COUNTIFS($E$5:$E$1000,E734,$C$5:$C$1000,"Auditoría Externa")&gt;0,"Externa",""),IF(COUNTIFS($E$5:$E$1000,E734,$C$5:$C$1000,"SSF")&gt;0,"SSF",""),IF(COUNTIFS($E$5:$E$1000,E734,$C$5:$C$1000,"Comité de Supervisión")&gt;0,"Comité Sup.",""),IF(COUNTIFS($E$5:$E$1000,E734,$C$5:$C$1000,"Consejo de Administración")&gt;0,"Consejo",""),IF(COUNTIFS($E$5:$E$1000,E734,$C$5:$C$1000,"Otros")&gt;0,"Otros","")))</f>
        <v/>
      </c>
      <c r="X734" s="24" t="str">
        <f aca="false">IF(E734="","",COUNTIFS($E$5:$E$1000,E734,$AB$5:$AB$1000,AB734,$C$5:$C$1000,"&lt;&gt;"&amp;C734))</f>
        <v/>
      </c>
      <c r="Y734" s="33"/>
      <c r="Z734" s="31"/>
      <c r="AA734" s="33"/>
      <c r="AB734" s="37" t="str">
        <f aca="false">IF(B734="","",YEAR(B734)*100+MONTH(B734))</f>
        <v/>
      </c>
      <c r="AC734" s="37" t="str">
        <f aca="false">IF(AND(E734&lt;&gt;"",E734=Cruce!$C$5),COUNTIF($E$5:E734,E734),"")</f>
        <v/>
      </c>
      <c r="AD734" s="37" t="str">
        <f aca="false">IF(E734="","",C734&amp;"|"&amp;Y734&amp;"|"&amp;IF(B734="","s/f",TEXT(B734,"yyyymmdd")))</f>
        <v/>
      </c>
      <c r="AE734" s="37" t="n">
        <f aca="false">IF(E734="",0,IF(COUNTIFS($E$5:E734,E734,$AD$5:AD734,AD734)=1,1,0))</f>
        <v>0</v>
      </c>
    </row>
    <row r="735" customFormat="false" ht="15" hidden="false" customHeight="true" outlineLevel="0" collapsed="false">
      <c r="A735" s="31"/>
      <c r="B735" s="30"/>
      <c r="C735" s="31"/>
      <c r="D735" s="31"/>
      <c r="E735" s="32"/>
      <c r="F735" s="32"/>
      <c r="G735" s="33"/>
      <c r="H735" s="31"/>
      <c r="I735" s="24" t="str">
        <f aca="false">IF(B735="","",YEAR(B735))</f>
        <v/>
      </c>
      <c r="J735" s="34" t="str">
        <f aca="false">IF(B735="","",IF(MONTH(B735)=1,"X",""))</f>
        <v/>
      </c>
      <c r="K735" s="34" t="str">
        <f aca="false">IF(B735="","",IF(MONTH(B735)=2,"X",""))</f>
        <v/>
      </c>
      <c r="L735" s="34" t="str">
        <f aca="false">IF(B735="","",IF(MONTH(B735)=3,"X",""))</f>
        <v/>
      </c>
      <c r="M735" s="34" t="str">
        <f aca="false">IF(B735="","",IF(MONTH(B735)=4,"X",""))</f>
        <v/>
      </c>
      <c r="N735" s="34" t="str">
        <f aca="false">IF(B735="","",IF(MONTH(B735)=5,"X",""))</f>
        <v/>
      </c>
      <c r="O735" s="34" t="str">
        <f aca="false">IF(B735="","",IF(MONTH(B735)=6,"X",""))</f>
        <v/>
      </c>
      <c r="P735" s="34" t="str">
        <f aca="false">IF(B735="","",IF(MONTH(B735)=7,"X",""))</f>
        <v/>
      </c>
      <c r="Q735" s="34" t="str">
        <f aca="false">IF(B735="","",IF(MONTH(B735)=8,"X",""))</f>
        <v/>
      </c>
      <c r="R735" s="34" t="str">
        <f aca="false">IF(B735="","",IF(MONTH(B735)=9,"X",""))</f>
        <v/>
      </c>
      <c r="S735" s="34" t="str">
        <f aca="false">IF(B735="","",IF(MONTH(B735)=10,"X",""))</f>
        <v/>
      </c>
      <c r="T735" s="34" t="str">
        <f aca="false">IF(B735="","",IF(MONTH(B735)=11,"X",""))</f>
        <v/>
      </c>
      <c r="U735" s="34" t="str">
        <f aca="false">IF(B735="","",IF(MONTH(B735)=12,"X",""))</f>
        <v/>
      </c>
      <c r="V735" s="24" t="str">
        <f aca="false">IF(E735="","",COUNTIF($E$5:$E$1000,E735))</f>
        <v/>
      </c>
      <c r="W735" s="35" t="str">
        <f aca="false">IF(E735="","",_xlfn.TEXTJOIN(" + ",TRUE(),IF(COUNTIFS($E$5:$E$1000,E735,$C$5:$C$1000,"Auditoría Interna")&gt;0,"Interna",""),IF(COUNTIFS($E$5:$E$1000,E735,$C$5:$C$1000,"Auditoría Externa")&gt;0,"Externa",""),IF(COUNTIFS($E$5:$E$1000,E735,$C$5:$C$1000,"SSF")&gt;0,"SSF",""),IF(COUNTIFS($E$5:$E$1000,E735,$C$5:$C$1000,"Comité de Supervisión")&gt;0,"Comité Sup.",""),IF(COUNTIFS($E$5:$E$1000,E735,$C$5:$C$1000,"Consejo de Administración")&gt;0,"Consejo",""),IF(COUNTIFS($E$5:$E$1000,E735,$C$5:$C$1000,"Otros")&gt;0,"Otros","")))</f>
        <v/>
      </c>
      <c r="X735" s="24" t="str">
        <f aca="false">IF(E735="","",COUNTIFS($E$5:$E$1000,E735,$AB$5:$AB$1000,AB735,$C$5:$C$1000,"&lt;&gt;"&amp;C735))</f>
        <v/>
      </c>
      <c r="Y735" s="33"/>
      <c r="Z735" s="31"/>
      <c r="AA735" s="33"/>
      <c r="AB735" s="37" t="str">
        <f aca="false">IF(B735="","",YEAR(B735)*100+MONTH(B735))</f>
        <v/>
      </c>
      <c r="AC735" s="37" t="str">
        <f aca="false">IF(AND(E735&lt;&gt;"",E735=Cruce!$C$5),COUNTIF($E$5:E735,E735),"")</f>
        <v/>
      </c>
      <c r="AD735" s="37" t="str">
        <f aca="false">IF(E735="","",C735&amp;"|"&amp;Y735&amp;"|"&amp;IF(B735="","s/f",TEXT(B735,"yyyymmdd")))</f>
        <v/>
      </c>
      <c r="AE735" s="37" t="n">
        <f aca="false">IF(E735="",0,IF(COUNTIFS($E$5:E735,E735,$AD$5:AD735,AD735)=1,1,0))</f>
        <v>0</v>
      </c>
    </row>
    <row r="736" customFormat="false" ht="15" hidden="false" customHeight="true" outlineLevel="0" collapsed="false">
      <c r="A736" s="31"/>
      <c r="B736" s="30"/>
      <c r="C736" s="31"/>
      <c r="D736" s="31"/>
      <c r="E736" s="32"/>
      <c r="F736" s="32"/>
      <c r="G736" s="33"/>
      <c r="H736" s="31"/>
      <c r="I736" s="24" t="str">
        <f aca="false">IF(B736="","",YEAR(B736))</f>
        <v/>
      </c>
      <c r="J736" s="34" t="str">
        <f aca="false">IF(B736="","",IF(MONTH(B736)=1,"X",""))</f>
        <v/>
      </c>
      <c r="K736" s="34" t="str">
        <f aca="false">IF(B736="","",IF(MONTH(B736)=2,"X",""))</f>
        <v/>
      </c>
      <c r="L736" s="34" t="str">
        <f aca="false">IF(B736="","",IF(MONTH(B736)=3,"X",""))</f>
        <v/>
      </c>
      <c r="M736" s="34" t="str">
        <f aca="false">IF(B736="","",IF(MONTH(B736)=4,"X",""))</f>
        <v/>
      </c>
      <c r="N736" s="34" t="str">
        <f aca="false">IF(B736="","",IF(MONTH(B736)=5,"X",""))</f>
        <v/>
      </c>
      <c r="O736" s="34" t="str">
        <f aca="false">IF(B736="","",IF(MONTH(B736)=6,"X",""))</f>
        <v/>
      </c>
      <c r="P736" s="34" t="str">
        <f aca="false">IF(B736="","",IF(MONTH(B736)=7,"X",""))</f>
        <v/>
      </c>
      <c r="Q736" s="34" t="str">
        <f aca="false">IF(B736="","",IF(MONTH(B736)=8,"X",""))</f>
        <v/>
      </c>
      <c r="R736" s="34" t="str">
        <f aca="false">IF(B736="","",IF(MONTH(B736)=9,"X",""))</f>
        <v/>
      </c>
      <c r="S736" s="34" t="str">
        <f aca="false">IF(B736="","",IF(MONTH(B736)=10,"X",""))</f>
        <v/>
      </c>
      <c r="T736" s="34" t="str">
        <f aca="false">IF(B736="","",IF(MONTH(B736)=11,"X",""))</f>
        <v/>
      </c>
      <c r="U736" s="34" t="str">
        <f aca="false">IF(B736="","",IF(MONTH(B736)=12,"X",""))</f>
        <v/>
      </c>
      <c r="V736" s="24" t="str">
        <f aca="false">IF(E736="","",COUNTIF($E$5:$E$1000,E736))</f>
        <v/>
      </c>
      <c r="W736" s="35" t="str">
        <f aca="false">IF(E736="","",_xlfn.TEXTJOIN(" + ",TRUE(),IF(COUNTIFS($E$5:$E$1000,E736,$C$5:$C$1000,"Auditoría Interna")&gt;0,"Interna",""),IF(COUNTIFS($E$5:$E$1000,E736,$C$5:$C$1000,"Auditoría Externa")&gt;0,"Externa",""),IF(COUNTIFS($E$5:$E$1000,E736,$C$5:$C$1000,"SSF")&gt;0,"SSF",""),IF(COUNTIFS($E$5:$E$1000,E736,$C$5:$C$1000,"Comité de Supervisión")&gt;0,"Comité Sup.",""),IF(COUNTIFS($E$5:$E$1000,E736,$C$5:$C$1000,"Consejo de Administración")&gt;0,"Consejo",""),IF(COUNTIFS($E$5:$E$1000,E736,$C$5:$C$1000,"Otros")&gt;0,"Otros","")))</f>
        <v/>
      </c>
      <c r="X736" s="24" t="str">
        <f aca="false">IF(E736="","",COUNTIFS($E$5:$E$1000,E736,$AB$5:$AB$1000,AB736,$C$5:$C$1000,"&lt;&gt;"&amp;C736))</f>
        <v/>
      </c>
      <c r="Y736" s="33"/>
      <c r="Z736" s="31"/>
      <c r="AA736" s="33"/>
      <c r="AB736" s="37" t="str">
        <f aca="false">IF(B736="","",YEAR(B736)*100+MONTH(B736))</f>
        <v/>
      </c>
      <c r="AC736" s="37" t="str">
        <f aca="false">IF(AND(E736&lt;&gt;"",E736=Cruce!$C$5),COUNTIF($E$5:E736,E736),"")</f>
        <v/>
      </c>
      <c r="AD736" s="37" t="str">
        <f aca="false">IF(E736="","",C736&amp;"|"&amp;Y736&amp;"|"&amp;IF(B736="","s/f",TEXT(B736,"yyyymmdd")))</f>
        <v/>
      </c>
      <c r="AE736" s="37" t="n">
        <f aca="false">IF(E736="",0,IF(COUNTIFS($E$5:E736,E736,$AD$5:AD736,AD736)=1,1,0))</f>
        <v>0</v>
      </c>
    </row>
    <row r="737" customFormat="false" ht="15" hidden="false" customHeight="true" outlineLevel="0" collapsed="false">
      <c r="A737" s="31"/>
      <c r="B737" s="30"/>
      <c r="C737" s="31"/>
      <c r="D737" s="31"/>
      <c r="E737" s="32"/>
      <c r="F737" s="32"/>
      <c r="G737" s="33"/>
      <c r="H737" s="31"/>
      <c r="I737" s="24" t="str">
        <f aca="false">IF(B737="","",YEAR(B737))</f>
        <v/>
      </c>
      <c r="J737" s="34" t="str">
        <f aca="false">IF(B737="","",IF(MONTH(B737)=1,"X",""))</f>
        <v/>
      </c>
      <c r="K737" s="34" t="str">
        <f aca="false">IF(B737="","",IF(MONTH(B737)=2,"X",""))</f>
        <v/>
      </c>
      <c r="L737" s="34" t="str">
        <f aca="false">IF(B737="","",IF(MONTH(B737)=3,"X",""))</f>
        <v/>
      </c>
      <c r="M737" s="34" t="str">
        <f aca="false">IF(B737="","",IF(MONTH(B737)=4,"X",""))</f>
        <v/>
      </c>
      <c r="N737" s="34" t="str">
        <f aca="false">IF(B737="","",IF(MONTH(B737)=5,"X",""))</f>
        <v/>
      </c>
      <c r="O737" s="34" t="str">
        <f aca="false">IF(B737="","",IF(MONTH(B737)=6,"X",""))</f>
        <v/>
      </c>
      <c r="P737" s="34" t="str">
        <f aca="false">IF(B737="","",IF(MONTH(B737)=7,"X",""))</f>
        <v/>
      </c>
      <c r="Q737" s="34" t="str">
        <f aca="false">IF(B737="","",IF(MONTH(B737)=8,"X",""))</f>
        <v/>
      </c>
      <c r="R737" s="34" t="str">
        <f aca="false">IF(B737="","",IF(MONTH(B737)=9,"X",""))</f>
        <v/>
      </c>
      <c r="S737" s="34" t="str">
        <f aca="false">IF(B737="","",IF(MONTH(B737)=10,"X",""))</f>
        <v/>
      </c>
      <c r="T737" s="34" t="str">
        <f aca="false">IF(B737="","",IF(MONTH(B737)=11,"X",""))</f>
        <v/>
      </c>
      <c r="U737" s="34" t="str">
        <f aca="false">IF(B737="","",IF(MONTH(B737)=12,"X",""))</f>
        <v/>
      </c>
      <c r="V737" s="24" t="str">
        <f aca="false">IF(E737="","",COUNTIF($E$5:$E$1000,E737))</f>
        <v/>
      </c>
      <c r="W737" s="35" t="str">
        <f aca="false">IF(E737="","",_xlfn.TEXTJOIN(" + ",TRUE(),IF(COUNTIFS($E$5:$E$1000,E737,$C$5:$C$1000,"Auditoría Interna")&gt;0,"Interna",""),IF(COUNTIFS($E$5:$E$1000,E737,$C$5:$C$1000,"Auditoría Externa")&gt;0,"Externa",""),IF(COUNTIFS($E$5:$E$1000,E737,$C$5:$C$1000,"SSF")&gt;0,"SSF",""),IF(COUNTIFS($E$5:$E$1000,E737,$C$5:$C$1000,"Comité de Supervisión")&gt;0,"Comité Sup.",""),IF(COUNTIFS($E$5:$E$1000,E737,$C$5:$C$1000,"Consejo de Administración")&gt;0,"Consejo",""),IF(COUNTIFS($E$5:$E$1000,E737,$C$5:$C$1000,"Otros")&gt;0,"Otros","")))</f>
        <v/>
      </c>
      <c r="X737" s="24" t="str">
        <f aca="false">IF(E737="","",COUNTIFS($E$5:$E$1000,E737,$AB$5:$AB$1000,AB737,$C$5:$C$1000,"&lt;&gt;"&amp;C737))</f>
        <v/>
      </c>
      <c r="Y737" s="33"/>
      <c r="Z737" s="31"/>
      <c r="AA737" s="33"/>
      <c r="AB737" s="37" t="str">
        <f aca="false">IF(B737="","",YEAR(B737)*100+MONTH(B737))</f>
        <v/>
      </c>
      <c r="AC737" s="37" t="str">
        <f aca="false">IF(AND(E737&lt;&gt;"",E737=Cruce!$C$5),COUNTIF($E$5:E737,E737),"")</f>
        <v/>
      </c>
      <c r="AD737" s="37" t="str">
        <f aca="false">IF(E737="","",C737&amp;"|"&amp;Y737&amp;"|"&amp;IF(B737="","s/f",TEXT(B737,"yyyymmdd")))</f>
        <v/>
      </c>
      <c r="AE737" s="37" t="n">
        <f aca="false">IF(E737="",0,IF(COUNTIFS($E$5:E737,E737,$AD$5:AD737,AD737)=1,1,0))</f>
        <v>0</v>
      </c>
    </row>
    <row r="738" customFormat="false" ht="15" hidden="false" customHeight="true" outlineLevel="0" collapsed="false">
      <c r="A738" s="31"/>
      <c r="B738" s="30"/>
      <c r="C738" s="31"/>
      <c r="D738" s="31"/>
      <c r="E738" s="32"/>
      <c r="F738" s="32"/>
      <c r="G738" s="33"/>
      <c r="H738" s="31"/>
      <c r="I738" s="24" t="str">
        <f aca="false">IF(B738="","",YEAR(B738))</f>
        <v/>
      </c>
      <c r="J738" s="34" t="str">
        <f aca="false">IF(B738="","",IF(MONTH(B738)=1,"X",""))</f>
        <v/>
      </c>
      <c r="K738" s="34" t="str">
        <f aca="false">IF(B738="","",IF(MONTH(B738)=2,"X",""))</f>
        <v/>
      </c>
      <c r="L738" s="34" t="str">
        <f aca="false">IF(B738="","",IF(MONTH(B738)=3,"X",""))</f>
        <v/>
      </c>
      <c r="M738" s="34" t="str">
        <f aca="false">IF(B738="","",IF(MONTH(B738)=4,"X",""))</f>
        <v/>
      </c>
      <c r="N738" s="34" t="str">
        <f aca="false">IF(B738="","",IF(MONTH(B738)=5,"X",""))</f>
        <v/>
      </c>
      <c r="O738" s="34" t="str">
        <f aca="false">IF(B738="","",IF(MONTH(B738)=6,"X",""))</f>
        <v/>
      </c>
      <c r="P738" s="34" t="str">
        <f aca="false">IF(B738="","",IF(MONTH(B738)=7,"X",""))</f>
        <v/>
      </c>
      <c r="Q738" s="34" t="str">
        <f aca="false">IF(B738="","",IF(MONTH(B738)=8,"X",""))</f>
        <v/>
      </c>
      <c r="R738" s="34" t="str">
        <f aca="false">IF(B738="","",IF(MONTH(B738)=9,"X",""))</f>
        <v/>
      </c>
      <c r="S738" s="34" t="str">
        <f aca="false">IF(B738="","",IF(MONTH(B738)=10,"X",""))</f>
        <v/>
      </c>
      <c r="T738" s="34" t="str">
        <f aca="false">IF(B738="","",IF(MONTH(B738)=11,"X",""))</f>
        <v/>
      </c>
      <c r="U738" s="34" t="str">
        <f aca="false">IF(B738="","",IF(MONTH(B738)=12,"X",""))</f>
        <v/>
      </c>
      <c r="V738" s="24" t="str">
        <f aca="false">IF(E738="","",COUNTIF($E$5:$E$1000,E738))</f>
        <v/>
      </c>
      <c r="W738" s="35" t="str">
        <f aca="false">IF(E738="","",_xlfn.TEXTJOIN(" + ",TRUE(),IF(COUNTIFS($E$5:$E$1000,E738,$C$5:$C$1000,"Auditoría Interna")&gt;0,"Interna",""),IF(COUNTIFS($E$5:$E$1000,E738,$C$5:$C$1000,"Auditoría Externa")&gt;0,"Externa",""),IF(COUNTIFS($E$5:$E$1000,E738,$C$5:$C$1000,"SSF")&gt;0,"SSF",""),IF(COUNTIFS($E$5:$E$1000,E738,$C$5:$C$1000,"Comité de Supervisión")&gt;0,"Comité Sup.",""),IF(COUNTIFS($E$5:$E$1000,E738,$C$5:$C$1000,"Consejo de Administración")&gt;0,"Consejo",""),IF(COUNTIFS($E$5:$E$1000,E738,$C$5:$C$1000,"Otros")&gt;0,"Otros","")))</f>
        <v/>
      </c>
      <c r="X738" s="24" t="str">
        <f aca="false">IF(E738="","",COUNTIFS($E$5:$E$1000,E738,$AB$5:$AB$1000,AB738,$C$5:$C$1000,"&lt;&gt;"&amp;C738))</f>
        <v/>
      </c>
      <c r="Y738" s="33"/>
      <c r="Z738" s="31"/>
      <c r="AA738" s="33"/>
      <c r="AB738" s="37" t="str">
        <f aca="false">IF(B738="","",YEAR(B738)*100+MONTH(B738))</f>
        <v/>
      </c>
      <c r="AC738" s="37" t="str">
        <f aca="false">IF(AND(E738&lt;&gt;"",E738=Cruce!$C$5),COUNTIF($E$5:E738,E738),"")</f>
        <v/>
      </c>
      <c r="AD738" s="37" t="str">
        <f aca="false">IF(E738="","",C738&amp;"|"&amp;Y738&amp;"|"&amp;IF(B738="","s/f",TEXT(B738,"yyyymmdd")))</f>
        <v/>
      </c>
      <c r="AE738" s="37" t="n">
        <f aca="false">IF(E738="",0,IF(COUNTIFS($E$5:E738,E738,$AD$5:AD738,AD738)=1,1,0))</f>
        <v>0</v>
      </c>
    </row>
    <row r="739" customFormat="false" ht="15" hidden="false" customHeight="true" outlineLevel="0" collapsed="false">
      <c r="A739" s="31"/>
      <c r="B739" s="30"/>
      <c r="C739" s="31"/>
      <c r="D739" s="31"/>
      <c r="E739" s="32"/>
      <c r="F739" s="32"/>
      <c r="G739" s="33"/>
      <c r="H739" s="31"/>
      <c r="I739" s="24" t="str">
        <f aca="false">IF(B739="","",YEAR(B739))</f>
        <v/>
      </c>
      <c r="J739" s="34" t="str">
        <f aca="false">IF(B739="","",IF(MONTH(B739)=1,"X",""))</f>
        <v/>
      </c>
      <c r="K739" s="34" t="str">
        <f aca="false">IF(B739="","",IF(MONTH(B739)=2,"X",""))</f>
        <v/>
      </c>
      <c r="L739" s="34" t="str">
        <f aca="false">IF(B739="","",IF(MONTH(B739)=3,"X",""))</f>
        <v/>
      </c>
      <c r="M739" s="34" t="str">
        <f aca="false">IF(B739="","",IF(MONTH(B739)=4,"X",""))</f>
        <v/>
      </c>
      <c r="N739" s="34" t="str">
        <f aca="false">IF(B739="","",IF(MONTH(B739)=5,"X",""))</f>
        <v/>
      </c>
      <c r="O739" s="34" t="str">
        <f aca="false">IF(B739="","",IF(MONTH(B739)=6,"X",""))</f>
        <v/>
      </c>
      <c r="P739" s="34" t="str">
        <f aca="false">IF(B739="","",IF(MONTH(B739)=7,"X",""))</f>
        <v/>
      </c>
      <c r="Q739" s="34" t="str">
        <f aca="false">IF(B739="","",IF(MONTH(B739)=8,"X",""))</f>
        <v/>
      </c>
      <c r="R739" s="34" t="str">
        <f aca="false">IF(B739="","",IF(MONTH(B739)=9,"X",""))</f>
        <v/>
      </c>
      <c r="S739" s="34" t="str">
        <f aca="false">IF(B739="","",IF(MONTH(B739)=10,"X",""))</f>
        <v/>
      </c>
      <c r="T739" s="34" t="str">
        <f aca="false">IF(B739="","",IF(MONTH(B739)=11,"X",""))</f>
        <v/>
      </c>
      <c r="U739" s="34" t="str">
        <f aca="false">IF(B739="","",IF(MONTH(B739)=12,"X",""))</f>
        <v/>
      </c>
      <c r="V739" s="24" t="str">
        <f aca="false">IF(E739="","",COUNTIF($E$5:$E$1000,E739))</f>
        <v/>
      </c>
      <c r="W739" s="35" t="str">
        <f aca="false">IF(E739="","",_xlfn.TEXTJOIN(" + ",TRUE(),IF(COUNTIFS($E$5:$E$1000,E739,$C$5:$C$1000,"Auditoría Interna")&gt;0,"Interna",""),IF(COUNTIFS($E$5:$E$1000,E739,$C$5:$C$1000,"Auditoría Externa")&gt;0,"Externa",""),IF(COUNTIFS($E$5:$E$1000,E739,$C$5:$C$1000,"SSF")&gt;0,"SSF",""),IF(COUNTIFS($E$5:$E$1000,E739,$C$5:$C$1000,"Comité de Supervisión")&gt;0,"Comité Sup.",""),IF(COUNTIFS($E$5:$E$1000,E739,$C$5:$C$1000,"Consejo de Administración")&gt;0,"Consejo",""),IF(COUNTIFS($E$5:$E$1000,E739,$C$5:$C$1000,"Otros")&gt;0,"Otros","")))</f>
        <v/>
      </c>
      <c r="X739" s="24" t="str">
        <f aca="false">IF(E739="","",COUNTIFS($E$5:$E$1000,E739,$AB$5:$AB$1000,AB739,$C$5:$C$1000,"&lt;&gt;"&amp;C739))</f>
        <v/>
      </c>
      <c r="Y739" s="33"/>
      <c r="Z739" s="31"/>
      <c r="AA739" s="33"/>
      <c r="AB739" s="37" t="str">
        <f aca="false">IF(B739="","",YEAR(B739)*100+MONTH(B739))</f>
        <v/>
      </c>
      <c r="AC739" s="37" t="str">
        <f aca="false">IF(AND(E739&lt;&gt;"",E739=Cruce!$C$5),COUNTIF($E$5:E739,E739),"")</f>
        <v/>
      </c>
      <c r="AD739" s="37" t="str">
        <f aca="false">IF(E739="","",C739&amp;"|"&amp;Y739&amp;"|"&amp;IF(B739="","s/f",TEXT(B739,"yyyymmdd")))</f>
        <v/>
      </c>
      <c r="AE739" s="37" t="n">
        <f aca="false">IF(E739="",0,IF(COUNTIFS($E$5:E739,E739,$AD$5:AD739,AD739)=1,1,0))</f>
        <v>0</v>
      </c>
    </row>
    <row r="740" customFormat="false" ht="15" hidden="false" customHeight="true" outlineLevel="0" collapsed="false">
      <c r="A740" s="31"/>
      <c r="B740" s="30"/>
      <c r="C740" s="31"/>
      <c r="D740" s="31"/>
      <c r="E740" s="32"/>
      <c r="F740" s="32"/>
      <c r="G740" s="33"/>
      <c r="H740" s="31"/>
      <c r="I740" s="24" t="str">
        <f aca="false">IF(B740="","",YEAR(B740))</f>
        <v/>
      </c>
      <c r="J740" s="34" t="str">
        <f aca="false">IF(B740="","",IF(MONTH(B740)=1,"X",""))</f>
        <v/>
      </c>
      <c r="K740" s="34" t="str">
        <f aca="false">IF(B740="","",IF(MONTH(B740)=2,"X",""))</f>
        <v/>
      </c>
      <c r="L740" s="34" t="str">
        <f aca="false">IF(B740="","",IF(MONTH(B740)=3,"X",""))</f>
        <v/>
      </c>
      <c r="M740" s="34" t="str">
        <f aca="false">IF(B740="","",IF(MONTH(B740)=4,"X",""))</f>
        <v/>
      </c>
      <c r="N740" s="34" t="str">
        <f aca="false">IF(B740="","",IF(MONTH(B740)=5,"X",""))</f>
        <v/>
      </c>
      <c r="O740" s="34" t="str">
        <f aca="false">IF(B740="","",IF(MONTH(B740)=6,"X",""))</f>
        <v/>
      </c>
      <c r="P740" s="34" t="str">
        <f aca="false">IF(B740="","",IF(MONTH(B740)=7,"X",""))</f>
        <v/>
      </c>
      <c r="Q740" s="34" t="str">
        <f aca="false">IF(B740="","",IF(MONTH(B740)=8,"X",""))</f>
        <v/>
      </c>
      <c r="R740" s="34" t="str">
        <f aca="false">IF(B740="","",IF(MONTH(B740)=9,"X",""))</f>
        <v/>
      </c>
      <c r="S740" s="34" t="str">
        <f aca="false">IF(B740="","",IF(MONTH(B740)=10,"X",""))</f>
        <v/>
      </c>
      <c r="T740" s="34" t="str">
        <f aca="false">IF(B740="","",IF(MONTH(B740)=11,"X",""))</f>
        <v/>
      </c>
      <c r="U740" s="34" t="str">
        <f aca="false">IF(B740="","",IF(MONTH(B740)=12,"X",""))</f>
        <v/>
      </c>
      <c r="V740" s="24" t="str">
        <f aca="false">IF(E740="","",COUNTIF($E$5:$E$1000,E740))</f>
        <v/>
      </c>
      <c r="W740" s="35" t="str">
        <f aca="false">IF(E740="","",_xlfn.TEXTJOIN(" + ",TRUE(),IF(COUNTIFS($E$5:$E$1000,E740,$C$5:$C$1000,"Auditoría Interna")&gt;0,"Interna",""),IF(COUNTIFS($E$5:$E$1000,E740,$C$5:$C$1000,"Auditoría Externa")&gt;0,"Externa",""),IF(COUNTIFS($E$5:$E$1000,E740,$C$5:$C$1000,"SSF")&gt;0,"SSF",""),IF(COUNTIFS($E$5:$E$1000,E740,$C$5:$C$1000,"Comité de Supervisión")&gt;0,"Comité Sup.",""),IF(COUNTIFS($E$5:$E$1000,E740,$C$5:$C$1000,"Consejo de Administración")&gt;0,"Consejo",""),IF(COUNTIFS($E$5:$E$1000,E740,$C$5:$C$1000,"Otros")&gt;0,"Otros","")))</f>
        <v/>
      </c>
      <c r="X740" s="24" t="str">
        <f aca="false">IF(E740="","",COUNTIFS($E$5:$E$1000,E740,$AB$5:$AB$1000,AB740,$C$5:$C$1000,"&lt;&gt;"&amp;C740))</f>
        <v/>
      </c>
      <c r="Y740" s="33"/>
      <c r="Z740" s="31"/>
      <c r="AA740" s="33"/>
      <c r="AB740" s="37" t="str">
        <f aca="false">IF(B740="","",YEAR(B740)*100+MONTH(B740))</f>
        <v/>
      </c>
      <c r="AC740" s="37" t="str">
        <f aca="false">IF(AND(E740&lt;&gt;"",E740=Cruce!$C$5),COUNTIF($E$5:E740,E740),"")</f>
        <v/>
      </c>
      <c r="AD740" s="37" t="str">
        <f aca="false">IF(E740="","",C740&amp;"|"&amp;Y740&amp;"|"&amp;IF(B740="","s/f",TEXT(B740,"yyyymmdd")))</f>
        <v/>
      </c>
      <c r="AE740" s="37" t="n">
        <f aca="false">IF(E740="",0,IF(COUNTIFS($E$5:E740,E740,$AD$5:AD740,AD740)=1,1,0))</f>
        <v>0</v>
      </c>
    </row>
    <row r="741" customFormat="false" ht="15" hidden="false" customHeight="true" outlineLevel="0" collapsed="false">
      <c r="A741" s="31"/>
      <c r="B741" s="30"/>
      <c r="C741" s="31"/>
      <c r="D741" s="31"/>
      <c r="E741" s="32"/>
      <c r="F741" s="32"/>
      <c r="G741" s="33"/>
      <c r="H741" s="31"/>
      <c r="I741" s="24" t="str">
        <f aca="false">IF(B741="","",YEAR(B741))</f>
        <v/>
      </c>
      <c r="J741" s="34" t="str">
        <f aca="false">IF(B741="","",IF(MONTH(B741)=1,"X",""))</f>
        <v/>
      </c>
      <c r="K741" s="34" t="str">
        <f aca="false">IF(B741="","",IF(MONTH(B741)=2,"X",""))</f>
        <v/>
      </c>
      <c r="L741" s="34" t="str">
        <f aca="false">IF(B741="","",IF(MONTH(B741)=3,"X",""))</f>
        <v/>
      </c>
      <c r="M741" s="34" t="str">
        <f aca="false">IF(B741="","",IF(MONTH(B741)=4,"X",""))</f>
        <v/>
      </c>
      <c r="N741" s="34" t="str">
        <f aca="false">IF(B741="","",IF(MONTH(B741)=5,"X",""))</f>
        <v/>
      </c>
      <c r="O741" s="34" t="str">
        <f aca="false">IF(B741="","",IF(MONTH(B741)=6,"X",""))</f>
        <v/>
      </c>
      <c r="P741" s="34" t="str">
        <f aca="false">IF(B741="","",IF(MONTH(B741)=7,"X",""))</f>
        <v/>
      </c>
      <c r="Q741" s="34" t="str">
        <f aca="false">IF(B741="","",IF(MONTH(B741)=8,"X",""))</f>
        <v/>
      </c>
      <c r="R741" s="34" t="str">
        <f aca="false">IF(B741="","",IF(MONTH(B741)=9,"X",""))</f>
        <v/>
      </c>
      <c r="S741" s="34" t="str">
        <f aca="false">IF(B741="","",IF(MONTH(B741)=10,"X",""))</f>
        <v/>
      </c>
      <c r="T741" s="34" t="str">
        <f aca="false">IF(B741="","",IF(MONTH(B741)=11,"X",""))</f>
        <v/>
      </c>
      <c r="U741" s="34" t="str">
        <f aca="false">IF(B741="","",IF(MONTH(B741)=12,"X",""))</f>
        <v/>
      </c>
      <c r="V741" s="24" t="str">
        <f aca="false">IF(E741="","",COUNTIF($E$5:$E$1000,E741))</f>
        <v/>
      </c>
      <c r="W741" s="35" t="str">
        <f aca="false">IF(E741="","",_xlfn.TEXTJOIN(" + ",TRUE(),IF(COUNTIFS($E$5:$E$1000,E741,$C$5:$C$1000,"Auditoría Interna")&gt;0,"Interna",""),IF(COUNTIFS($E$5:$E$1000,E741,$C$5:$C$1000,"Auditoría Externa")&gt;0,"Externa",""),IF(COUNTIFS($E$5:$E$1000,E741,$C$5:$C$1000,"SSF")&gt;0,"SSF",""),IF(COUNTIFS($E$5:$E$1000,E741,$C$5:$C$1000,"Comité de Supervisión")&gt;0,"Comité Sup.",""),IF(COUNTIFS($E$5:$E$1000,E741,$C$5:$C$1000,"Consejo de Administración")&gt;0,"Consejo",""),IF(COUNTIFS($E$5:$E$1000,E741,$C$5:$C$1000,"Otros")&gt;0,"Otros","")))</f>
        <v/>
      </c>
      <c r="X741" s="24" t="str">
        <f aca="false">IF(E741="","",COUNTIFS($E$5:$E$1000,E741,$AB$5:$AB$1000,AB741,$C$5:$C$1000,"&lt;&gt;"&amp;C741))</f>
        <v/>
      </c>
      <c r="Y741" s="33"/>
      <c r="Z741" s="31"/>
      <c r="AA741" s="33"/>
      <c r="AB741" s="37" t="str">
        <f aca="false">IF(B741="","",YEAR(B741)*100+MONTH(B741))</f>
        <v/>
      </c>
      <c r="AC741" s="37" t="str">
        <f aca="false">IF(AND(E741&lt;&gt;"",E741=Cruce!$C$5),COUNTIF($E$5:E741,E741),"")</f>
        <v/>
      </c>
      <c r="AD741" s="37" t="str">
        <f aca="false">IF(E741="","",C741&amp;"|"&amp;Y741&amp;"|"&amp;IF(B741="","s/f",TEXT(B741,"yyyymmdd")))</f>
        <v/>
      </c>
      <c r="AE741" s="37" t="n">
        <f aca="false">IF(E741="",0,IF(COUNTIFS($E$5:E741,E741,$AD$5:AD741,AD741)=1,1,0))</f>
        <v>0</v>
      </c>
    </row>
    <row r="742" customFormat="false" ht="15" hidden="false" customHeight="true" outlineLevel="0" collapsed="false">
      <c r="A742" s="31"/>
      <c r="B742" s="30"/>
      <c r="C742" s="31"/>
      <c r="D742" s="31"/>
      <c r="E742" s="32"/>
      <c r="F742" s="32"/>
      <c r="G742" s="33"/>
      <c r="H742" s="31"/>
      <c r="I742" s="24" t="str">
        <f aca="false">IF(B742="","",YEAR(B742))</f>
        <v/>
      </c>
      <c r="J742" s="34" t="str">
        <f aca="false">IF(B742="","",IF(MONTH(B742)=1,"X",""))</f>
        <v/>
      </c>
      <c r="K742" s="34" t="str">
        <f aca="false">IF(B742="","",IF(MONTH(B742)=2,"X",""))</f>
        <v/>
      </c>
      <c r="L742" s="34" t="str">
        <f aca="false">IF(B742="","",IF(MONTH(B742)=3,"X",""))</f>
        <v/>
      </c>
      <c r="M742" s="34" t="str">
        <f aca="false">IF(B742="","",IF(MONTH(B742)=4,"X",""))</f>
        <v/>
      </c>
      <c r="N742" s="34" t="str">
        <f aca="false">IF(B742="","",IF(MONTH(B742)=5,"X",""))</f>
        <v/>
      </c>
      <c r="O742" s="34" t="str">
        <f aca="false">IF(B742="","",IF(MONTH(B742)=6,"X",""))</f>
        <v/>
      </c>
      <c r="P742" s="34" t="str">
        <f aca="false">IF(B742="","",IF(MONTH(B742)=7,"X",""))</f>
        <v/>
      </c>
      <c r="Q742" s="34" t="str">
        <f aca="false">IF(B742="","",IF(MONTH(B742)=8,"X",""))</f>
        <v/>
      </c>
      <c r="R742" s="34" t="str">
        <f aca="false">IF(B742="","",IF(MONTH(B742)=9,"X",""))</f>
        <v/>
      </c>
      <c r="S742" s="34" t="str">
        <f aca="false">IF(B742="","",IF(MONTH(B742)=10,"X",""))</f>
        <v/>
      </c>
      <c r="T742" s="34" t="str">
        <f aca="false">IF(B742="","",IF(MONTH(B742)=11,"X",""))</f>
        <v/>
      </c>
      <c r="U742" s="34" t="str">
        <f aca="false">IF(B742="","",IF(MONTH(B742)=12,"X",""))</f>
        <v/>
      </c>
      <c r="V742" s="24" t="str">
        <f aca="false">IF(E742="","",COUNTIF($E$5:$E$1000,E742))</f>
        <v/>
      </c>
      <c r="W742" s="35" t="str">
        <f aca="false">IF(E742="","",_xlfn.TEXTJOIN(" + ",TRUE(),IF(COUNTIFS($E$5:$E$1000,E742,$C$5:$C$1000,"Auditoría Interna")&gt;0,"Interna",""),IF(COUNTIFS($E$5:$E$1000,E742,$C$5:$C$1000,"Auditoría Externa")&gt;0,"Externa",""),IF(COUNTIFS($E$5:$E$1000,E742,$C$5:$C$1000,"SSF")&gt;0,"SSF",""),IF(COUNTIFS($E$5:$E$1000,E742,$C$5:$C$1000,"Comité de Supervisión")&gt;0,"Comité Sup.",""),IF(COUNTIFS($E$5:$E$1000,E742,$C$5:$C$1000,"Consejo de Administración")&gt;0,"Consejo",""),IF(COUNTIFS($E$5:$E$1000,E742,$C$5:$C$1000,"Otros")&gt;0,"Otros","")))</f>
        <v/>
      </c>
      <c r="X742" s="24" t="str">
        <f aca="false">IF(E742="","",COUNTIFS($E$5:$E$1000,E742,$AB$5:$AB$1000,AB742,$C$5:$C$1000,"&lt;&gt;"&amp;C742))</f>
        <v/>
      </c>
      <c r="Y742" s="33"/>
      <c r="Z742" s="31"/>
      <c r="AA742" s="33"/>
      <c r="AB742" s="37" t="str">
        <f aca="false">IF(B742="","",YEAR(B742)*100+MONTH(B742))</f>
        <v/>
      </c>
      <c r="AC742" s="37" t="str">
        <f aca="false">IF(AND(E742&lt;&gt;"",E742=Cruce!$C$5),COUNTIF($E$5:E742,E742),"")</f>
        <v/>
      </c>
      <c r="AD742" s="37" t="str">
        <f aca="false">IF(E742="","",C742&amp;"|"&amp;Y742&amp;"|"&amp;IF(B742="","s/f",TEXT(B742,"yyyymmdd")))</f>
        <v/>
      </c>
      <c r="AE742" s="37" t="n">
        <f aca="false">IF(E742="",0,IF(COUNTIFS($E$5:E742,E742,$AD$5:AD742,AD742)=1,1,0))</f>
        <v>0</v>
      </c>
    </row>
    <row r="743" customFormat="false" ht="15" hidden="false" customHeight="true" outlineLevel="0" collapsed="false">
      <c r="A743" s="31"/>
      <c r="B743" s="30"/>
      <c r="C743" s="31"/>
      <c r="D743" s="31"/>
      <c r="E743" s="32"/>
      <c r="F743" s="32"/>
      <c r="G743" s="33"/>
      <c r="H743" s="31"/>
      <c r="I743" s="24" t="str">
        <f aca="false">IF(B743="","",YEAR(B743))</f>
        <v/>
      </c>
      <c r="J743" s="34" t="str">
        <f aca="false">IF(B743="","",IF(MONTH(B743)=1,"X",""))</f>
        <v/>
      </c>
      <c r="K743" s="34" t="str">
        <f aca="false">IF(B743="","",IF(MONTH(B743)=2,"X",""))</f>
        <v/>
      </c>
      <c r="L743" s="34" t="str">
        <f aca="false">IF(B743="","",IF(MONTH(B743)=3,"X",""))</f>
        <v/>
      </c>
      <c r="M743" s="34" t="str">
        <f aca="false">IF(B743="","",IF(MONTH(B743)=4,"X",""))</f>
        <v/>
      </c>
      <c r="N743" s="34" t="str">
        <f aca="false">IF(B743="","",IF(MONTH(B743)=5,"X",""))</f>
        <v/>
      </c>
      <c r="O743" s="34" t="str">
        <f aca="false">IF(B743="","",IF(MONTH(B743)=6,"X",""))</f>
        <v/>
      </c>
      <c r="P743" s="34" t="str">
        <f aca="false">IF(B743="","",IF(MONTH(B743)=7,"X",""))</f>
        <v/>
      </c>
      <c r="Q743" s="34" t="str">
        <f aca="false">IF(B743="","",IF(MONTH(B743)=8,"X",""))</f>
        <v/>
      </c>
      <c r="R743" s="34" t="str">
        <f aca="false">IF(B743="","",IF(MONTH(B743)=9,"X",""))</f>
        <v/>
      </c>
      <c r="S743" s="34" t="str">
        <f aca="false">IF(B743="","",IF(MONTH(B743)=10,"X",""))</f>
        <v/>
      </c>
      <c r="T743" s="34" t="str">
        <f aca="false">IF(B743="","",IF(MONTH(B743)=11,"X",""))</f>
        <v/>
      </c>
      <c r="U743" s="34" t="str">
        <f aca="false">IF(B743="","",IF(MONTH(B743)=12,"X",""))</f>
        <v/>
      </c>
      <c r="V743" s="24" t="str">
        <f aca="false">IF(E743="","",COUNTIF($E$5:$E$1000,E743))</f>
        <v/>
      </c>
      <c r="W743" s="35" t="str">
        <f aca="false">IF(E743="","",_xlfn.TEXTJOIN(" + ",TRUE(),IF(COUNTIFS($E$5:$E$1000,E743,$C$5:$C$1000,"Auditoría Interna")&gt;0,"Interna",""),IF(COUNTIFS($E$5:$E$1000,E743,$C$5:$C$1000,"Auditoría Externa")&gt;0,"Externa",""),IF(COUNTIFS($E$5:$E$1000,E743,$C$5:$C$1000,"SSF")&gt;0,"SSF",""),IF(COUNTIFS($E$5:$E$1000,E743,$C$5:$C$1000,"Comité de Supervisión")&gt;0,"Comité Sup.",""),IF(COUNTIFS($E$5:$E$1000,E743,$C$5:$C$1000,"Consejo de Administración")&gt;0,"Consejo",""),IF(COUNTIFS($E$5:$E$1000,E743,$C$5:$C$1000,"Otros")&gt;0,"Otros","")))</f>
        <v/>
      </c>
      <c r="X743" s="24" t="str">
        <f aca="false">IF(E743="","",COUNTIFS($E$5:$E$1000,E743,$AB$5:$AB$1000,AB743,$C$5:$C$1000,"&lt;&gt;"&amp;C743))</f>
        <v/>
      </c>
      <c r="Y743" s="33"/>
      <c r="Z743" s="31"/>
      <c r="AA743" s="33"/>
      <c r="AB743" s="37" t="str">
        <f aca="false">IF(B743="","",YEAR(B743)*100+MONTH(B743))</f>
        <v/>
      </c>
      <c r="AC743" s="37" t="str">
        <f aca="false">IF(AND(E743&lt;&gt;"",E743=Cruce!$C$5),COUNTIF($E$5:E743,E743),"")</f>
        <v/>
      </c>
      <c r="AD743" s="37" t="str">
        <f aca="false">IF(E743="","",C743&amp;"|"&amp;Y743&amp;"|"&amp;IF(B743="","s/f",TEXT(B743,"yyyymmdd")))</f>
        <v/>
      </c>
      <c r="AE743" s="37" t="n">
        <f aca="false">IF(E743="",0,IF(COUNTIFS($E$5:E743,E743,$AD$5:AD743,AD743)=1,1,0))</f>
        <v>0</v>
      </c>
    </row>
    <row r="744" customFormat="false" ht="15" hidden="false" customHeight="true" outlineLevel="0" collapsed="false">
      <c r="A744" s="31"/>
      <c r="B744" s="30"/>
      <c r="C744" s="31"/>
      <c r="D744" s="31"/>
      <c r="E744" s="32"/>
      <c r="F744" s="32"/>
      <c r="G744" s="33"/>
      <c r="H744" s="31"/>
      <c r="I744" s="24" t="str">
        <f aca="false">IF(B744="","",YEAR(B744))</f>
        <v/>
      </c>
      <c r="J744" s="34" t="str">
        <f aca="false">IF(B744="","",IF(MONTH(B744)=1,"X",""))</f>
        <v/>
      </c>
      <c r="K744" s="34" t="str">
        <f aca="false">IF(B744="","",IF(MONTH(B744)=2,"X",""))</f>
        <v/>
      </c>
      <c r="L744" s="34" t="str">
        <f aca="false">IF(B744="","",IF(MONTH(B744)=3,"X",""))</f>
        <v/>
      </c>
      <c r="M744" s="34" t="str">
        <f aca="false">IF(B744="","",IF(MONTH(B744)=4,"X",""))</f>
        <v/>
      </c>
      <c r="N744" s="34" t="str">
        <f aca="false">IF(B744="","",IF(MONTH(B744)=5,"X",""))</f>
        <v/>
      </c>
      <c r="O744" s="34" t="str">
        <f aca="false">IF(B744="","",IF(MONTH(B744)=6,"X",""))</f>
        <v/>
      </c>
      <c r="P744" s="34" t="str">
        <f aca="false">IF(B744="","",IF(MONTH(B744)=7,"X",""))</f>
        <v/>
      </c>
      <c r="Q744" s="34" t="str">
        <f aca="false">IF(B744="","",IF(MONTH(B744)=8,"X",""))</f>
        <v/>
      </c>
      <c r="R744" s="34" t="str">
        <f aca="false">IF(B744="","",IF(MONTH(B744)=9,"X",""))</f>
        <v/>
      </c>
      <c r="S744" s="34" t="str">
        <f aca="false">IF(B744="","",IF(MONTH(B744)=10,"X",""))</f>
        <v/>
      </c>
      <c r="T744" s="34" t="str">
        <f aca="false">IF(B744="","",IF(MONTH(B744)=11,"X",""))</f>
        <v/>
      </c>
      <c r="U744" s="34" t="str">
        <f aca="false">IF(B744="","",IF(MONTH(B744)=12,"X",""))</f>
        <v/>
      </c>
      <c r="V744" s="24" t="str">
        <f aca="false">IF(E744="","",COUNTIF($E$5:$E$1000,E744))</f>
        <v/>
      </c>
      <c r="W744" s="35" t="str">
        <f aca="false">IF(E744="","",_xlfn.TEXTJOIN(" + ",TRUE(),IF(COUNTIFS($E$5:$E$1000,E744,$C$5:$C$1000,"Auditoría Interna")&gt;0,"Interna",""),IF(COUNTIFS($E$5:$E$1000,E744,$C$5:$C$1000,"Auditoría Externa")&gt;0,"Externa",""),IF(COUNTIFS($E$5:$E$1000,E744,$C$5:$C$1000,"SSF")&gt;0,"SSF",""),IF(COUNTIFS($E$5:$E$1000,E744,$C$5:$C$1000,"Comité de Supervisión")&gt;0,"Comité Sup.",""),IF(COUNTIFS($E$5:$E$1000,E744,$C$5:$C$1000,"Consejo de Administración")&gt;0,"Consejo",""),IF(COUNTIFS($E$5:$E$1000,E744,$C$5:$C$1000,"Otros")&gt;0,"Otros","")))</f>
        <v/>
      </c>
      <c r="X744" s="24" t="str">
        <f aca="false">IF(E744="","",COUNTIFS($E$5:$E$1000,E744,$AB$5:$AB$1000,AB744,$C$5:$C$1000,"&lt;&gt;"&amp;C744))</f>
        <v/>
      </c>
      <c r="Y744" s="33"/>
      <c r="Z744" s="31"/>
      <c r="AA744" s="33"/>
      <c r="AB744" s="37" t="str">
        <f aca="false">IF(B744="","",YEAR(B744)*100+MONTH(B744))</f>
        <v/>
      </c>
      <c r="AC744" s="37" t="str">
        <f aca="false">IF(AND(E744&lt;&gt;"",E744=Cruce!$C$5),COUNTIF($E$5:E744,E744),"")</f>
        <v/>
      </c>
      <c r="AD744" s="37" t="str">
        <f aca="false">IF(E744="","",C744&amp;"|"&amp;Y744&amp;"|"&amp;IF(B744="","s/f",TEXT(B744,"yyyymmdd")))</f>
        <v/>
      </c>
      <c r="AE744" s="37" t="n">
        <f aca="false">IF(E744="",0,IF(COUNTIFS($E$5:E744,E744,$AD$5:AD744,AD744)=1,1,0))</f>
        <v>0</v>
      </c>
    </row>
    <row r="745" customFormat="false" ht="15" hidden="false" customHeight="true" outlineLevel="0" collapsed="false">
      <c r="A745" s="31"/>
      <c r="B745" s="30"/>
      <c r="C745" s="31"/>
      <c r="D745" s="31"/>
      <c r="E745" s="32"/>
      <c r="F745" s="32"/>
      <c r="G745" s="33"/>
      <c r="H745" s="31"/>
      <c r="I745" s="24" t="str">
        <f aca="false">IF(B745="","",YEAR(B745))</f>
        <v/>
      </c>
      <c r="J745" s="34" t="str">
        <f aca="false">IF(B745="","",IF(MONTH(B745)=1,"X",""))</f>
        <v/>
      </c>
      <c r="K745" s="34" t="str">
        <f aca="false">IF(B745="","",IF(MONTH(B745)=2,"X",""))</f>
        <v/>
      </c>
      <c r="L745" s="34" t="str">
        <f aca="false">IF(B745="","",IF(MONTH(B745)=3,"X",""))</f>
        <v/>
      </c>
      <c r="M745" s="34" t="str">
        <f aca="false">IF(B745="","",IF(MONTH(B745)=4,"X",""))</f>
        <v/>
      </c>
      <c r="N745" s="34" t="str">
        <f aca="false">IF(B745="","",IF(MONTH(B745)=5,"X",""))</f>
        <v/>
      </c>
      <c r="O745" s="34" t="str">
        <f aca="false">IF(B745="","",IF(MONTH(B745)=6,"X",""))</f>
        <v/>
      </c>
      <c r="P745" s="34" t="str">
        <f aca="false">IF(B745="","",IF(MONTH(B745)=7,"X",""))</f>
        <v/>
      </c>
      <c r="Q745" s="34" t="str">
        <f aca="false">IF(B745="","",IF(MONTH(B745)=8,"X",""))</f>
        <v/>
      </c>
      <c r="R745" s="34" t="str">
        <f aca="false">IF(B745="","",IF(MONTH(B745)=9,"X",""))</f>
        <v/>
      </c>
      <c r="S745" s="34" t="str">
        <f aca="false">IF(B745="","",IF(MONTH(B745)=10,"X",""))</f>
        <v/>
      </c>
      <c r="T745" s="34" t="str">
        <f aca="false">IF(B745="","",IF(MONTH(B745)=11,"X",""))</f>
        <v/>
      </c>
      <c r="U745" s="34" t="str">
        <f aca="false">IF(B745="","",IF(MONTH(B745)=12,"X",""))</f>
        <v/>
      </c>
      <c r="V745" s="24" t="str">
        <f aca="false">IF(E745="","",COUNTIF($E$5:$E$1000,E745))</f>
        <v/>
      </c>
      <c r="W745" s="35" t="str">
        <f aca="false">IF(E745="","",_xlfn.TEXTJOIN(" + ",TRUE(),IF(COUNTIFS($E$5:$E$1000,E745,$C$5:$C$1000,"Auditoría Interna")&gt;0,"Interna",""),IF(COUNTIFS($E$5:$E$1000,E745,$C$5:$C$1000,"Auditoría Externa")&gt;0,"Externa",""),IF(COUNTIFS($E$5:$E$1000,E745,$C$5:$C$1000,"SSF")&gt;0,"SSF",""),IF(COUNTIFS($E$5:$E$1000,E745,$C$5:$C$1000,"Comité de Supervisión")&gt;0,"Comité Sup.",""),IF(COUNTIFS($E$5:$E$1000,E745,$C$5:$C$1000,"Consejo de Administración")&gt;0,"Consejo",""),IF(COUNTIFS($E$5:$E$1000,E745,$C$5:$C$1000,"Otros")&gt;0,"Otros","")))</f>
        <v/>
      </c>
      <c r="X745" s="24" t="str">
        <f aca="false">IF(E745="","",COUNTIFS($E$5:$E$1000,E745,$AB$5:$AB$1000,AB745,$C$5:$C$1000,"&lt;&gt;"&amp;C745))</f>
        <v/>
      </c>
      <c r="Y745" s="33"/>
      <c r="Z745" s="31"/>
      <c r="AA745" s="33"/>
      <c r="AB745" s="37" t="str">
        <f aca="false">IF(B745="","",YEAR(B745)*100+MONTH(B745))</f>
        <v/>
      </c>
      <c r="AC745" s="37" t="str">
        <f aca="false">IF(AND(E745&lt;&gt;"",E745=Cruce!$C$5),COUNTIF($E$5:E745,E745),"")</f>
        <v/>
      </c>
      <c r="AD745" s="37" t="str">
        <f aca="false">IF(E745="","",C745&amp;"|"&amp;Y745&amp;"|"&amp;IF(B745="","s/f",TEXT(B745,"yyyymmdd")))</f>
        <v/>
      </c>
      <c r="AE745" s="37" t="n">
        <f aca="false">IF(E745="",0,IF(COUNTIFS($E$5:E745,E745,$AD$5:AD745,AD745)=1,1,0))</f>
        <v>0</v>
      </c>
    </row>
    <row r="746" customFormat="false" ht="15" hidden="false" customHeight="true" outlineLevel="0" collapsed="false">
      <c r="A746" s="31"/>
      <c r="B746" s="30"/>
      <c r="C746" s="31"/>
      <c r="D746" s="31"/>
      <c r="E746" s="32"/>
      <c r="F746" s="32"/>
      <c r="G746" s="33"/>
      <c r="H746" s="31"/>
      <c r="I746" s="24" t="str">
        <f aca="false">IF(B746="","",YEAR(B746))</f>
        <v/>
      </c>
      <c r="J746" s="34" t="str">
        <f aca="false">IF(B746="","",IF(MONTH(B746)=1,"X",""))</f>
        <v/>
      </c>
      <c r="K746" s="34" t="str">
        <f aca="false">IF(B746="","",IF(MONTH(B746)=2,"X",""))</f>
        <v/>
      </c>
      <c r="L746" s="34" t="str">
        <f aca="false">IF(B746="","",IF(MONTH(B746)=3,"X",""))</f>
        <v/>
      </c>
      <c r="M746" s="34" t="str">
        <f aca="false">IF(B746="","",IF(MONTH(B746)=4,"X",""))</f>
        <v/>
      </c>
      <c r="N746" s="34" t="str">
        <f aca="false">IF(B746="","",IF(MONTH(B746)=5,"X",""))</f>
        <v/>
      </c>
      <c r="O746" s="34" t="str">
        <f aca="false">IF(B746="","",IF(MONTH(B746)=6,"X",""))</f>
        <v/>
      </c>
      <c r="P746" s="34" t="str">
        <f aca="false">IF(B746="","",IF(MONTH(B746)=7,"X",""))</f>
        <v/>
      </c>
      <c r="Q746" s="34" t="str">
        <f aca="false">IF(B746="","",IF(MONTH(B746)=8,"X",""))</f>
        <v/>
      </c>
      <c r="R746" s="34" t="str">
        <f aca="false">IF(B746="","",IF(MONTH(B746)=9,"X",""))</f>
        <v/>
      </c>
      <c r="S746" s="34" t="str">
        <f aca="false">IF(B746="","",IF(MONTH(B746)=10,"X",""))</f>
        <v/>
      </c>
      <c r="T746" s="34" t="str">
        <f aca="false">IF(B746="","",IF(MONTH(B746)=11,"X",""))</f>
        <v/>
      </c>
      <c r="U746" s="34" t="str">
        <f aca="false">IF(B746="","",IF(MONTH(B746)=12,"X",""))</f>
        <v/>
      </c>
      <c r="V746" s="24" t="str">
        <f aca="false">IF(E746="","",COUNTIF($E$5:$E$1000,E746))</f>
        <v/>
      </c>
      <c r="W746" s="35" t="str">
        <f aca="false">IF(E746="","",_xlfn.TEXTJOIN(" + ",TRUE(),IF(COUNTIFS($E$5:$E$1000,E746,$C$5:$C$1000,"Auditoría Interna")&gt;0,"Interna",""),IF(COUNTIFS($E$5:$E$1000,E746,$C$5:$C$1000,"Auditoría Externa")&gt;0,"Externa",""),IF(COUNTIFS($E$5:$E$1000,E746,$C$5:$C$1000,"SSF")&gt;0,"SSF",""),IF(COUNTIFS($E$5:$E$1000,E746,$C$5:$C$1000,"Comité de Supervisión")&gt;0,"Comité Sup.",""),IF(COUNTIFS($E$5:$E$1000,E746,$C$5:$C$1000,"Consejo de Administración")&gt;0,"Consejo",""),IF(COUNTIFS($E$5:$E$1000,E746,$C$5:$C$1000,"Otros")&gt;0,"Otros","")))</f>
        <v/>
      </c>
      <c r="X746" s="24" t="str">
        <f aca="false">IF(E746="","",COUNTIFS($E$5:$E$1000,E746,$AB$5:$AB$1000,AB746,$C$5:$C$1000,"&lt;&gt;"&amp;C746))</f>
        <v/>
      </c>
      <c r="Y746" s="33"/>
      <c r="Z746" s="31"/>
      <c r="AA746" s="33"/>
      <c r="AB746" s="37" t="str">
        <f aca="false">IF(B746="","",YEAR(B746)*100+MONTH(B746))</f>
        <v/>
      </c>
      <c r="AC746" s="37" t="str">
        <f aca="false">IF(AND(E746&lt;&gt;"",E746=Cruce!$C$5),COUNTIF($E$5:E746,E746),"")</f>
        <v/>
      </c>
      <c r="AD746" s="37" t="str">
        <f aca="false">IF(E746="","",C746&amp;"|"&amp;Y746&amp;"|"&amp;IF(B746="","s/f",TEXT(B746,"yyyymmdd")))</f>
        <v/>
      </c>
      <c r="AE746" s="37" t="n">
        <f aca="false">IF(E746="",0,IF(COUNTIFS($E$5:E746,E746,$AD$5:AD746,AD746)=1,1,0))</f>
        <v>0</v>
      </c>
    </row>
    <row r="747" customFormat="false" ht="15" hidden="false" customHeight="true" outlineLevel="0" collapsed="false">
      <c r="A747" s="31"/>
      <c r="B747" s="30"/>
      <c r="C747" s="31"/>
      <c r="D747" s="31"/>
      <c r="E747" s="32"/>
      <c r="F747" s="32"/>
      <c r="G747" s="33"/>
      <c r="H747" s="31"/>
      <c r="I747" s="24" t="str">
        <f aca="false">IF(B747="","",YEAR(B747))</f>
        <v/>
      </c>
      <c r="J747" s="34" t="str">
        <f aca="false">IF(B747="","",IF(MONTH(B747)=1,"X",""))</f>
        <v/>
      </c>
      <c r="K747" s="34" t="str">
        <f aca="false">IF(B747="","",IF(MONTH(B747)=2,"X",""))</f>
        <v/>
      </c>
      <c r="L747" s="34" t="str">
        <f aca="false">IF(B747="","",IF(MONTH(B747)=3,"X",""))</f>
        <v/>
      </c>
      <c r="M747" s="34" t="str">
        <f aca="false">IF(B747="","",IF(MONTH(B747)=4,"X",""))</f>
        <v/>
      </c>
      <c r="N747" s="34" t="str">
        <f aca="false">IF(B747="","",IF(MONTH(B747)=5,"X",""))</f>
        <v/>
      </c>
      <c r="O747" s="34" t="str">
        <f aca="false">IF(B747="","",IF(MONTH(B747)=6,"X",""))</f>
        <v/>
      </c>
      <c r="P747" s="34" t="str">
        <f aca="false">IF(B747="","",IF(MONTH(B747)=7,"X",""))</f>
        <v/>
      </c>
      <c r="Q747" s="34" t="str">
        <f aca="false">IF(B747="","",IF(MONTH(B747)=8,"X",""))</f>
        <v/>
      </c>
      <c r="R747" s="34" t="str">
        <f aca="false">IF(B747="","",IF(MONTH(B747)=9,"X",""))</f>
        <v/>
      </c>
      <c r="S747" s="34" t="str">
        <f aca="false">IF(B747="","",IF(MONTH(B747)=10,"X",""))</f>
        <v/>
      </c>
      <c r="T747" s="34" t="str">
        <f aca="false">IF(B747="","",IF(MONTH(B747)=11,"X",""))</f>
        <v/>
      </c>
      <c r="U747" s="34" t="str">
        <f aca="false">IF(B747="","",IF(MONTH(B747)=12,"X",""))</f>
        <v/>
      </c>
      <c r="V747" s="24" t="str">
        <f aca="false">IF(E747="","",COUNTIF($E$5:$E$1000,E747))</f>
        <v/>
      </c>
      <c r="W747" s="35" t="str">
        <f aca="false">IF(E747="","",_xlfn.TEXTJOIN(" + ",TRUE(),IF(COUNTIFS($E$5:$E$1000,E747,$C$5:$C$1000,"Auditoría Interna")&gt;0,"Interna",""),IF(COUNTIFS($E$5:$E$1000,E747,$C$5:$C$1000,"Auditoría Externa")&gt;0,"Externa",""),IF(COUNTIFS($E$5:$E$1000,E747,$C$5:$C$1000,"SSF")&gt;0,"SSF",""),IF(COUNTIFS($E$5:$E$1000,E747,$C$5:$C$1000,"Comité de Supervisión")&gt;0,"Comité Sup.",""),IF(COUNTIFS($E$5:$E$1000,E747,$C$5:$C$1000,"Consejo de Administración")&gt;0,"Consejo",""),IF(COUNTIFS($E$5:$E$1000,E747,$C$5:$C$1000,"Otros")&gt;0,"Otros","")))</f>
        <v/>
      </c>
      <c r="X747" s="24" t="str">
        <f aca="false">IF(E747="","",COUNTIFS($E$5:$E$1000,E747,$AB$5:$AB$1000,AB747,$C$5:$C$1000,"&lt;&gt;"&amp;C747))</f>
        <v/>
      </c>
      <c r="Y747" s="33"/>
      <c r="Z747" s="31"/>
      <c r="AA747" s="33"/>
      <c r="AB747" s="37" t="str">
        <f aca="false">IF(B747="","",YEAR(B747)*100+MONTH(B747))</f>
        <v/>
      </c>
      <c r="AC747" s="37" t="str">
        <f aca="false">IF(AND(E747&lt;&gt;"",E747=Cruce!$C$5),COUNTIF($E$5:E747,E747),"")</f>
        <v/>
      </c>
      <c r="AD747" s="37" t="str">
        <f aca="false">IF(E747="","",C747&amp;"|"&amp;Y747&amp;"|"&amp;IF(B747="","s/f",TEXT(B747,"yyyymmdd")))</f>
        <v/>
      </c>
      <c r="AE747" s="37" t="n">
        <f aca="false">IF(E747="",0,IF(COUNTIFS($E$5:E747,E747,$AD$5:AD747,AD747)=1,1,0))</f>
        <v>0</v>
      </c>
    </row>
    <row r="748" customFormat="false" ht="15" hidden="false" customHeight="true" outlineLevel="0" collapsed="false">
      <c r="A748" s="31"/>
      <c r="B748" s="30"/>
      <c r="C748" s="31"/>
      <c r="D748" s="31"/>
      <c r="E748" s="32"/>
      <c r="F748" s="32"/>
      <c r="G748" s="33"/>
      <c r="H748" s="31"/>
      <c r="I748" s="24" t="str">
        <f aca="false">IF(B748="","",YEAR(B748))</f>
        <v/>
      </c>
      <c r="J748" s="34" t="str">
        <f aca="false">IF(B748="","",IF(MONTH(B748)=1,"X",""))</f>
        <v/>
      </c>
      <c r="K748" s="34" t="str">
        <f aca="false">IF(B748="","",IF(MONTH(B748)=2,"X",""))</f>
        <v/>
      </c>
      <c r="L748" s="34" t="str">
        <f aca="false">IF(B748="","",IF(MONTH(B748)=3,"X",""))</f>
        <v/>
      </c>
      <c r="M748" s="34" t="str">
        <f aca="false">IF(B748="","",IF(MONTH(B748)=4,"X",""))</f>
        <v/>
      </c>
      <c r="N748" s="34" t="str">
        <f aca="false">IF(B748="","",IF(MONTH(B748)=5,"X",""))</f>
        <v/>
      </c>
      <c r="O748" s="34" t="str">
        <f aca="false">IF(B748="","",IF(MONTH(B748)=6,"X",""))</f>
        <v/>
      </c>
      <c r="P748" s="34" t="str">
        <f aca="false">IF(B748="","",IF(MONTH(B748)=7,"X",""))</f>
        <v/>
      </c>
      <c r="Q748" s="34" t="str">
        <f aca="false">IF(B748="","",IF(MONTH(B748)=8,"X",""))</f>
        <v/>
      </c>
      <c r="R748" s="34" t="str">
        <f aca="false">IF(B748="","",IF(MONTH(B748)=9,"X",""))</f>
        <v/>
      </c>
      <c r="S748" s="34" t="str">
        <f aca="false">IF(B748="","",IF(MONTH(B748)=10,"X",""))</f>
        <v/>
      </c>
      <c r="T748" s="34" t="str">
        <f aca="false">IF(B748="","",IF(MONTH(B748)=11,"X",""))</f>
        <v/>
      </c>
      <c r="U748" s="34" t="str">
        <f aca="false">IF(B748="","",IF(MONTH(B748)=12,"X",""))</f>
        <v/>
      </c>
      <c r="V748" s="24" t="str">
        <f aca="false">IF(E748="","",COUNTIF($E$5:$E$1000,E748))</f>
        <v/>
      </c>
      <c r="W748" s="35" t="str">
        <f aca="false">IF(E748="","",_xlfn.TEXTJOIN(" + ",TRUE(),IF(COUNTIFS($E$5:$E$1000,E748,$C$5:$C$1000,"Auditoría Interna")&gt;0,"Interna",""),IF(COUNTIFS($E$5:$E$1000,E748,$C$5:$C$1000,"Auditoría Externa")&gt;0,"Externa",""),IF(COUNTIFS($E$5:$E$1000,E748,$C$5:$C$1000,"SSF")&gt;0,"SSF",""),IF(COUNTIFS($E$5:$E$1000,E748,$C$5:$C$1000,"Comité de Supervisión")&gt;0,"Comité Sup.",""),IF(COUNTIFS($E$5:$E$1000,E748,$C$5:$C$1000,"Consejo de Administración")&gt;0,"Consejo",""),IF(COUNTIFS($E$5:$E$1000,E748,$C$5:$C$1000,"Otros")&gt;0,"Otros","")))</f>
        <v/>
      </c>
      <c r="X748" s="24" t="str">
        <f aca="false">IF(E748="","",COUNTIFS($E$5:$E$1000,E748,$AB$5:$AB$1000,AB748,$C$5:$C$1000,"&lt;&gt;"&amp;C748))</f>
        <v/>
      </c>
      <c r="Y748" s="33"/>
      <c r="Z748" s="31"/>
      <c r="AA748" s="33"/>
      <c r="AB748" s="37" t="str">
        <f aca="false">IF(B748="","",YEAR(B748)*100+MONTH(B748))</f>
        <v/>
      </c>
      <c r="AC748" s="37" t="str">
        <f aca="false">IF(AND(E748&lt;&gt;"",E748=Cruce!$C$5),COUNTIF($E$5:E748,E748),"")</f>
        <v/>
      </c>
      <c r="AD748" s="37" t="str">
        <f aca="false">IF(E748="","",C748&amp;"|"&amp;Y748&amp;"|"&amp;IF(B748="","s/f",TEXT(B748,"yyyymmdd")))</f>
        <v/>
      </c>
      <c r="AE748" s="37" t="n">
        <f aca="false">IF(E748="",0,IF(COUNTIFS($E$5:E748,E748,$AD$5:AD748,AD748)=1,1,0))</f>
        <v>0</v>
      </c>
    </row>
    <row r="749" customFormat="false" ht="15" hidden="false" customHeight="true" outlineLevel="0" collapsed="false">
      <c r="A749" s="31"/>
      <c r="B749" s="30"/>
      <c r="C749" s="31"/>
      <c r="D749" s="31"/>
      <c r="E749" s="32"/>
      <c r="F749" s="32"/>
      <c r="G749" s="33"/>
      <c r="H749" s="31"/>
      <c r="I749" s="24" t="str">
        <f aca="false">IF(B749="","",YEAR(B749))</f>
        <v/>
      </c>
      <c r="J749" s="34" t="str">
        <f aca="false">IF(B749="","",IF(MONTH(B749)=1,"X",""))</f>
        <v/>
      </c>
      <c r="K749" s="34" t="str">
        <f aca="false">IF(B749="","",IF(MONTH(B749)=2,"X",""))</f>
        <v/>
      </c>
      <c r="L749" s="34" t="str">
        <f aca="false">IF(B749="","",IF(MONTH(B749)=3,"X",""))</f>
        <v/>
      </c>
      <c r="M749" s="34" t="str">
        <f aca="false">IF(B749="","",IF(MONTH(B749)=4,"X",""))</f>
        <v/>
      </c>
      <c r="N749" s="34" t="str">
        <f aca="false">IF(B749="","",IF(MONTH(B749)=5,"X",""))</f>
        <v/>
      </c>
      <c r="O749" s="34" t="str">
        <f aca="false">IF(B749="","",IF(MONTH(B749)=6,"X",""))</f>
        <v/>
      </c>
      <c r="P749" s="34" t="str">
        <f aca="false">IF(B749="","",IF(MONTH(B749)=7,"X",""))</f>
        <v/>
      </c>
      <c r="Q749" s="34" t="str">
        <f aca="false">IF(B749="","",IF(MONTH(B749)=8,"X",""))</f>
        <v/>
      </c>
      <c r="R749" s="34" t="str">
        <f aca="false">IF(B749="","",IF(MONTH(B749)=9,"X",""))</f>
        <v/>
      </c>
      <c r="S749" s="34" t="str">
        <f aca="false">IF(B749="","",IF(MONTH(B749)=10,"X",""))</f>
        <v/>
      </c>
      <c r="T749" s="34" t="str">
        <f aca="false">IF(B749="","",IF(MONTH(B749)=11,"X",""))</f>
        <v/>
      </c>
      <c r="U749" s="34" t="str">
        <f aca="false">IF(B749="","",IF(MONTH(B749)=12,"X",""))</f>
        <v/>
      </c>
      <c r="V749" s="24" t="str">
        <f aca="false">IF(E749="","",COUNTIF($E$5:$E$1000,E749))</f>
        <v/>
      </c>
      <c r="W749" s="35" t="str">
        <f aca="false">IF(E749="","",_xlfn.TEXTJOIN(" + ",TRUE(),IF(COUNTIFS($E$5:$E$1000,E749,$C$5:$C$1000,"Auditoría Interna")&gt;0,"Interna",""),IF(COUNTIFS($E$5:$E$1000,E749,$C$5:$C$1000,"Auditoría Externa")&gt;0,"Externa",""),IF(COUNTIFS($E$5:$E$1000,E749,$C$5:$C$1000,"SSF")&gt;0,"SSF",""),IF(COUNTIFS($E$5:$E$1000,E749,$C$5:$C$1000,"Comité de Supervisión")&gt;0,"Comité Sup.",""),IF(COUNTIFS($E$5:$E$1000,E749,$C$5:$C$1000,"Consejo de Administración")&gt;0,"Consejo",""),IF(COUNTIFS($E$5:$E$1000,E749,$C$5:$C$1000,"Otros")&gt;0,"Otros","")))</f>
        <v/>
      </c>
      <c r="X749" s="24" t="str">
        <f aca="false">IF(E749="","",COUNTIFS($E$5:$E$1000,E749,$AB$5:$AB$1000,AB749,$C$5:$C$1000,"&lt;&gt;"&amp;C749))</f>
        <v/>
      </c>
      <c r="Y749" s="33"/>
      <c r="Z749" s="31"/>
      <c r="AA749" s="33"/>
      <c r="AB749" s="37" t="str">
        <f aca="false">IF(B749="","",YEAR(B749)*100+MONTH(B749))</f>
        <v/>
      </c>
      <c r="AC749" s="37" t="str">
        <f aca="false">IF(AND(E749&lt;&gt;"",E749=Cruce!$C$5),COUNTIF($E$5:E749,E749),"")</f>
        <v/>
      </c>
      <c r="AD749" s="37" t="str">
        <f aca="false">IF(E749="","",C749&amp;"|"&amp;Y749&amp;"|"&amp;IF(B749="","s/f",TEXT(B749,"yyyymmdd")))</f>
        <v/>
      </c>
      <c r="AE749" s="37" t="n">
        <f aca="false">IF(E749="",0,IF(COUNTIFS($E$5:E749,E749,$AD$5:AD749,AD749)=1,1,0))</f>
        <v>0</v>
      </c>
    </row>
    <row r="750" customFormat="false" ht="15" hidden="false" customHeight="true" outlineLevel="0" collapsed="false">
      <c r="A750" s="31"/>
      <c r="B750" s="30"/>
      <c r="C750" s="31"/>
      <c r="D750" s="31"/>
      <c r="E750" s="32"/>
      <c r="F750" s="32"/>
      <c r="G750" s="33"/>
      <c r="H750" s="31"/>
      <c r="I750" s="24" t="str">
        <f aca="false">IF(B750="","",YEAR(B750))</f>
        <v/>
      </c>
      <c r="J750" s="34" t="str">
        <f aca="false">IF(B750="","",IF(MONTH(B750)=1,"X",""))</f>
        <v/>
      </c>
      <c r="K750" s="34" t="str">
        <f aca="false">IF(B750="","",IF(MONTH(B750)=2,"X",""))</f>
        <v/>
      </c>
      <c r="L750" s="34" t="str">
        <f aca="false">IF(B750="","",IF(MONTH(B750)=3,"X",""))</f>
        <v/>
      </c>
      <c r="M750" s="34" t="str">
        <f aca="false">IF(B750="","",IF(MONTH(B750)=4,"X",""))</f>
        <v/>
      </c>
      <c r="N750" s="34" t="str">
        <f aca="false">IF(B750="","",IF(MONTH(B750)=5,"X",""))</f>
        <v/>
      </c>
      <c r="O750" s="34" t="str">
        <f aca="false">IF(B750="","",IF(MONTH(B750)=6,"X",""))</f>
        <v/>
      </c>
      <c r="P750" s="34" t="str">
        <f aca="false">IF(B750="","",IF(MONTH(B750)=7,"X",""))</f>
        <v/>
      </c>
      <c r="Q750" s="34" t="str">
        <f aca="false">IF(B750="","",IF(MONTH(B750)=8,"X",""))</f>
        <v/>
      </c>
      <c r="R750" s="34" t="str">
        <f aca="false">IF(B750="","",IF(MONTH(B750)=9,"X",""))</f>
        <v/>
      </c>
      <c r="S750" s="34" t="str">
        <f aca="false">IF(B750="","",IF(MONTH(B750)=10,"X",""))</f>
        <v/>
      </c>
      <c r="T750" s="34" t="str">
        <f aca="false">IF(B750="","",IF(MONTH(B750)=11,"X",""))</f>
        <v/>
      </c>
      <c r="U750" s="34" t="str">
        <f aca="false">IF(B750="","",IF(MONTH(B750)=12,"X",""))</f>
        <v/>
      </c>
      <c r="V750" s="24" t="str">
        <f aca="false">IF(E750="","",COUNTIF($E$5:$E$1000,E750))</f>
        <v/>
      </c>
      <c r="W750" s="35" t="str">
        <f aca="false">IF(E750="","",_xlfn.TEXTJOIN(" + ",TRUE(),IF(COUNTIFS($E$5:$E$1000,E750,$C$5:$C$1000,"Auditoría Interna")&gt;0,"Interna",""),IF(COUNTIFS($E$5:$E$1000,E750,$C$5:$C$1000,"Auditoría Externa")&gt;0,"Externa",""),IF(COUNTIFS($E$5:$E$1000,E750,$C$5:$C$1000,"SSF")&gt;0,"SSF",""),IF(COUNTIFS($E$5:$E$1000,E750,$C$5:$C$1000,"Comité de Supervisión")&gt;0,"Comité Sup.",""),IF(COUNTIFS($E$5:$E$1000,E750,$C$5:$C$1000,"Consejo de Administración")&gt;0,"Consejo",""),IF(COUNTIFS($E$5:$E$1000,E750,$C$5:$C$1000,"Otros")&gt;0,"Otros","")))</f>
        <v/>
      </c>
      <c r="X750" s="24" t="str">
        <f aca="false">IF(E750="","",COUNTIFS($E$5:$E$1000,E750,$AB$5:$AB$1000,AB750,$C$5:$C$1000,"&lt;&gt;"&amp;C750))</f>
        <v/>
      </c>
      <c r="Y750" s="33"/>
      <c r="Z750" s="31"/>
      <c r="AA750" s="33"/>
      <c r="AB750" s="37" t="str">
        <f aca="false">IF(B750="","",YEAR(B750)*100+MONTH(B750))</f>
        <v/>
      </c>
      <c r="AC750" s="37" t="str">
        <f aca="false">IF(AND(E750&lt;&gt;"",E750=Cruce!$C$5),COUNTIF($E$5:E750,E750),"")</f>
        <v/>
      </c>
      <c r="AD750" s="37" t="str">
        <f aca="false">IF(E750="","",C750&amp;"|"&amp;Y750&amp;"|"&amp;IF(B750="","s/f",TEXT(B750,"yyyymmdd")))</f>
        <v/>
      </c>
      <c r="AE750" s="37" t="n">
        <f aca="false">IF(E750="",0,IF(COUNTIFS($E$5:E750,E750,$AD$5:AD750,AD750)=1,1,0))</f>
        <v>0</v>
      </c>
    </row>
    <row r="751" customFormat="false" ht="15" hidden="false" customHeight="true" outlineLevel="0" collapsed="false">
      <c r="A751" s="31"/>
      <c r="B751" s="30"/>
      <c r="C751" s="31"/>
      <c r="D751" s="31"/>
      <c r="E751" s="32"/>
      <c r="F751" s="32"/>
      <c r="G751" s="33"/>
      <c r="H751" s="31"/>
      <c r="I751" s="24" t="str">
        <f aca="false">IF(B751="","",YEAR(B751))</f>
        <v/>
      </c>
      <c r="J751" s="34" t="str">
        <f aca="false">IF(B751="","",IF(MONTH(B751)=1,"X",""))</f>
        <v/>
      </c>
      <c r="K751" s="34" t="str">
        <f aca="false">IF(B751="","",IF(MONTH(B751)=2,"X",""))</f>
        <v/>
      </c>
      <c r="L751" s="34" t="str">
        <f aca="false">IF(B751="","",IF(MONTH(B751)=3,"X",""))</f>
        <v/>
      </c>
      <c r="M751" s="34" t="str">
        <f aca="false">IF(B751="","",IF(MONTH(B751)=4,"X",""))</f>
        <v/>
      </c>
      <c r="N751" s="34" t="str">
        <f aca="false">IF(B751="","",IF(MONTH(B751)=5,"X",""))</f>
        <v/>
      </c>
      <c r="O751" s="34" t="str">
        <f aca="false">IF(B751="","",IF(MONTH(B751)=6,"X",""))</f>
        <v/>
      </c>
      <c r="P751" s="34" t="str">
        <f aca="false">IF(B751="","",IF(MONTH(B751)=7,"X",""))</f>
        <v/>
      </c>
      <c r="Q751" s="34" t="str">
        <f aca="false">IF(B751="","",IF(MONTH(B751)=8,"X",""))</f>
        <v/>
      </c>
      <c r="R751" s="34" t="str">
        <f aca="false">IF(B751="","",IF(MONTH(B751)=9,"X",""))</f>
        <v/>
      </c>
      <c r="S751" s="34" t="str">
        <f aca="false">IF(B751="","",IF(MONTH(B751)=10,"X",""))</f>
        <v/>
      </c>
      <c r="T751" s="34" t="str">
        <f aca="false">IF(B751="","",IF(MONTH(B751)=11,"X",""))</f>
        <v/>
      </c>
      <c r="U751" s="34" t="str">
        <f aca="false">IF(B751="","",IF(MONTH(B751)=12,"X",""))</f>
        <v/>
      </c>
      <c r="V751" s="24" t="str">
        <f aca="false">IF(E751="","",COUNTIF($E$5:$E$1000,E751))</f>
        <v/>
      </c>
      <c r="W751" s="35" t="str">
        <f aca="false">IF(E751="","",_xlfn.TEXTJOIN(" + ",TRUE(),IF(COUNTIFS($E$5:$E$1000,E751,$C$5:$C$1000,"Auditoría Interna")&gt;0,"Interna",""),IF(COUNTIFS($E$5:$E$1000,E751,$C$5:$C$1000,"Auditoría Externa")&gt;0,"Externa",""),IF(COUNTIFS($E$5:$E$1000,E751,$C$5:$C$1000,"SSF")&gt;0,"SSF",""),IF(COUNTIFS($E$5:$E$1000,E751,$C$5:$C$1000,"Comité de Supervisión")&gt;0,"Comité Sup.",""),IF(COUNTIFS($E$5:$E$1000,E751,$C$5:$C$1000,"Consejo de Administración")&gt;0,"Consejo",""),IF(COUNTIFS($E$5:$E$1000,E751,$C$5:$C$1000,"Otros")&gt;0,"Otros","")))</f>
        <v/>
      </c>
      <c r="X751" s="24" t="str">
        <f aca="false">IF(E751="","",COUNTIFS($E$5:$E$1000,E751,$AB$5:$AB$1000,AB751,$C$5:$C$1000,"&lt;&gt;"&amp;C751))</f>
        <v/>
      </c>
      <c r="Y751" s="33"/>
      <c r="Z751" s="31"/>
      <c r="AA751" s="33"/>
      <c r="AB751" s="37" t="str">
        <f aca="false">IF(B751="","",YEAR(B751)*100+MONTH(B751))</f>
        <v/>
      </c>
      <c r="AC751" s="37" t="str">
        <f aca="false">IF(AND(E751&lt;&gt;"",E751=Cruce!$C$5),COUNTIF($E$5:E751,E751),"")</f>
        <v/>
      </c>
      <c r="AD751" s="37" t="str">
        <f aca="false">IF(E751="","",C751&amp;"|"&amp;Y751&amp;"|"&amp;IF(B751="","s/f",TEXT(B751,"yyyymmdd")))</f>
        <v/>
      </c>
      <c r="AE751" s="37" t="n">
        <f aca="false">IF(E751="",0,IF(COUNTIFS($E$5:E751,E751,$AD$5:AD751,AD751)=1,1,0))</f>
        <v>0</v>
      </c>
    </row>
    <row r="752" customFormat="false" ht="15" hidden="false" customHeight="true" outlineLevel="0" collapsed="false">
      <c r="A752" s="31"/>
      <c r="B752" s="30"/>
      <c r="C752" s="31"/>
      <c r="D752" s="31"/>
      <c r="E752" s="32"/>
      <c r="F752" s="32"/>
      <c r="G752" s="33"/>
      <c r="H752" s="31"/>
      <c r="I752" s="24" t="str">
        <f aca="false">IF(B752="","",YEAR(B752))</f>
        <v/>
      </c>
      <c r="J752" s="34" t="str">
        <f aca="false">IF(B752="","",IF(MONTH(B752)=1,"X",""))</f>
        <v/>
      </c>
      <c r="K752" s="34" t="str">
        <f aca="false">IF(B752="","",IF(MONTH(B752)=2,"X",""))</f>
        <v/>
      </c>
      <c r="L752" s="34" t="str">
        <f aca="false">IF(B752="","",IF(MONTH(B752)=3,"X",""))</f>
        <v/>
      </c>
      <c r="M752" s="34" t="str">
        <f aca="false">IF(B752="","",IF(MONTH(B752)=4,"X",""))</f>
        <v/>
      </c>
      <c r="N752" s="34" t="str">
        <f aca="false">IF(B752="","",IF(MONTH(B752)=5,"X",""))</f>
        <v/>
      </c>
      <c r="O752" s="34" t="str">
        <f aca="false">IF(B752="","",IF(MONTH(B752)=6,"X",""))</f>
        <v/>
      </c>
      <c r="P752" s="34" t="str">
        <f aca="false">IF(B752="","",IF(MONTH(B752)=7,"X",""))</f>
        <v/>
      </c>
      <c r="Q752" s="34" t="str">
        <f aca="false">IF(B752="","",IF(MONTH(B752)=8,"X",""))</f>
        <v/>
      </c>
      <c r="R752" s="34" t="str">
        <f aca="false">IF(B752="","",IF(MONTH(B752)=9,"X",""))</f>
        <v/>
      </c>
      <c r="S752" s="34" t="str">
        <f aca="false">IF(B752="","",IF(MONTH(B752)=10,"X",""))</f>
        <v/>
      </c>
      <c r="T752" s="34" t="str">
        <f aca="false">IF(B752="","",IF(MONTH(B752)=11,"X",""))</f>
        <v/>
      </c>
      <c r="U752" s="34" t="str">
        <f aca="false">IF(B752="","",IF(MONTH(B752)=12,"X",""))</f>
        <v/>
      </c>
      <c r="V752" s="24" t="str">
        <f aca="false">IF(E752="","",COUNTIF($E$5:$E$1000,E752))</f>
        <v/>
      </c>
      <c r="W752" s="35" t="str">
        <f aca="false">IF(E752="","",_xlfn.TEXTJOIN(" + ",TRUE(),IF(COUNTIFS($E$5:$E$1000,E752,$C$5:$C$1000,"Auditoría Interna")&gt;0,"Interna",""),IF(COUNTIFS($E$5:$E$1000,E752,$C$5:$C$1000,"Auditoría Externa")&gt;0,"Externa",""),IF(COUNTIFS($E$5:$E$1000,E752,$C$5:$C$1000,"SSF")&gt;0,"SSF",""),IF(COUNTIFS($E$5:$E$1000,E752,$C$5:$C$1000,"Comité de Supervisión")&gt;0,"Comité Sup.",""),IF(COUNTIFS($E$5:$E$1000,E752,$C$5:$C$1000,"Consejo de Administración")&gt;0,"Consejo",""),IF(COUNTIFS($E$5:$E$1000,E752,$C$5:$C$1000,"Otros")&gt;0,"Otros","")))</f>
        <v/>
      </c>
      <c r="X752" s="24" t="str">
        <f aca="false">IF(E752="","",COUNTIFS($E$5:$E$1000,E752,$AB$5:$AB$1000,AB752,$C$5:$C$1000,"&lt;&gt;"&amp;C752))</f>
        <v/>
      </c>
      <c r="Y752" s="33"/>
      <c r="Z752" s="31"/>
      <c r="AA752" s="33"/>
      <c r="AB752" s="37" t="str">
        <f aca="false">IF(B752="","",YEAR(B752)*100+MONTH(B752))</f>
        <v/>
      </c>
      <c r="AC752" s="37" t="str">
        <f aca="false">IF(AND(E752&lt;&gt;"",E752=Cruce!$C$5),COUNTIF($E$5:E752,E752),"")</f>
        <v/>
      </c>
      <c r="AD752" s="37" t="str">
        <f aca="false">IF(E752="","",C752&amp;"|"&amp;Y752&amp;"|"&amp;IF(B752="","s/f",TEXT(B752,"yyyymmdd")))</f>
        <v/>
      </c>
      <c r="AE752" s="37" t="n">
        <f aca="false">IF(E752="",0,IF(COUNTIFS($E$5:E752,E752,$AD$5:AD752,AD752)=1,1,0))</f>
        <v>0</v>
      </c>
    </row>
    <row r="753" customFormat="false" ht="15" hidden="false" customHeight="true" outlineLevel="0" collapsed="false">
      <c r="A753" s="31"/>
      <c r="B753" s="30"/>
      <c r="C753" s="31"/>
      <c r="D753" s="31"/>
      <c r="E753" s="32"/>
      <c r="F753" s="32"/>
      <c r="G753" s="33"/>
      <c r="H753" s="31"/>
      <c r="I753" s="24" t="str">
        <f aca="false">IF(B753="","",YEAR(B753))</f>
        <v/>
      </c>
      <c r="J753" s="34" t="str">
        <f aca="false">IF(B753="","",IF(MONTH(B753)=1,"X",""))</f>
        <v/>
      </c>
      <c r="K753" s="34" t="str">
        <f aca="false">IF(B753="","",IF(MONTH(B753)=2,"X",""))</f>
        <v/>
      </c>
      <c r="L753" s="34" t="str">
        <f aca="false">IF(B753="","",IF(MONTH(B753)=3,"X",""))</f>
        <v/>
      </c>
      <c r="M753" s="34" t="str">
        <f aca="false">IF(B753="","",IF(MONTH(B753)=4,"X",""))</f>
        <v/>
      </c>
      <c r="N753" s="34" t="str">
        <f aca="false">IF(B753="","",IF(MONTH(B753)=5,"X",""))</f>
        <v/>
      </c>
      <c r="O753" s="34" t="str">
        <f aca="false">IF(B753="","",IF(MONTH(B753)=6,"X",""))</f>
        <v/>
      </c>
      <c r="P753" s="34" t="str">
        <f aca="false">IF(B753="","",IF(MONTH(B753)=7,"X",""))</f>
        <v/>
      </c>
      <c r="Q753" s="34" t="str">
        <f aca="false">IF(B753="","",IF(MONTH(B753)=8,"X",""))</f>
        <v/>
      </c>
      <c r="R753" s="34" t="str">
        <f aca="false">IF(B753="","",IF(MONTH(B753)=9,"X",""))</f>
        <v/>
      </c>
      <c r="S753" s="34" t="str">
        <f aca="false">IF(B753="","",IF(MONTH(B753)=10,"X",""))</f>
        <v/>
      </c>
      <c r="T753" s="34" t="str">
        <f aca="false">IF(B753="","",IF(MONTH(B753)=11,"X",""))</f>
        <v/>
      </c>
      <c r="U753" s="34" t="str">
        <f aca="false">IF(B753="","",IF(MONTH(B753)=12,"X",""))</f>
        <v/>
      </c>
      <c r="V753" s="24" t="str">
        <f aca="false">IF(E753="","",COUNTIF($E$5:$E$1000,E753))</f>
        <v/>
      </c>
      <c r="W753" s="35" t="str">
        <f aca="false">IF(E753="","",_xlfn.TEXTJOIN(" + ",TRUE(),IF(COUNTIFS($E$5:$E$1000,E753,$C$5:$C$1000,"Auditoría Interna")&gt;0,"Interna",""),IF(COUNTIFS($E$5:$E$1000,E753,$C$5:$C$1000,"Auditoría Externa")&gt;0,"Externa",""),IF(COUNTIFS($E$5:$E$1000,E753,$C$5:$C$1000,"SSF")&gt;0,"SSF",""),IF(COUNTIFS($E$5:$E$1000,E753,$C$5:$C$1000,"Comité de Supervisión")&gt;0,"Comité Sup.",""),IF(COUNTIFS($E$5:$E$1000,E753,$C$5:$C$1000,"Consejo de Administración")&gt;0,"Consejo",""),IF(COUNTIFS($E$5:$E$1000,E753,$C$5:$C$1000,"Otros")&gt;0,"Otros","")))</f>
        <v/>
      </c>
      <c r="X753" s="24" t="str">
        <f aca="false">IF(E753="","",COUNTIFS($E$5:$E$1000,E753,$AB$5:$AB$1000,AB753,$C$5:$C$1000,"&lt;&gt;"&amp;C753))</f>
        <v/>
      </c>
      <c r="Y753" s="33"/>
      <c r="Z753" s="31"/>
      <c r="AA753" s="33"/>
      <c r="AB753" s="37" t="str">
        <f aca="false">IF(B753="","",YEAR(B753)*100+MONTH(B753))</f>
        <v/>
      </c>
      <c r="AC753" s="37" t="str">
        <f aca="false">IF(AND(E753&lt;&gt;"",E753=Cruce!$C$5),COUNTIF($E$5:E753,E753),"")</f>
        <v/>
      </c>
      <c r="AD753" s="37" t="str">
        <f aca="false">IF(E753="","",C753&amp;"|"&amp;Y753&amp;"|"&amp;IF(B753="","s/f",TEXT(B753,"yyyymmdd")))</f>
        <v/>
      </c>
      <c r="AE753" s="37" t="n">
        <f aca="false">IF(E753="",0,IF(COUNTIFS($E$5:E753,E753,$AD$5:AD753,AD753)=1,1,0))</f>
        <v>0</v>
      </c>
    </row>
    <row r="754" customFormat="false" ht="15" hidden="false" customHeight="true" outlineLevel="0" collapsed="false">
      <c r="A754" s="31"/>
      <c r="B754" s="30"/>
      <c r="C754" s="31"/>
      <c r="D754" s="31"/>
      <c r="E754" s="32"/>
      <c r="F754" s="32"/>
      <c r="G754" s="33"/>
      <c r="H754" s="31"/>
      <c r="I754" s="24" t="str">
        <f aca="false">IF(B754="","",YEAR(B754))</f>
        <v/>
      </c>
      <c r="J754" s="34" t="str">
        <f aca="false">IF(B754="","",IF(MONTH(B754)=1,"X",""))</f>
        <v/>
      </c>
      <c r="K754" s="34" t="str">
        <f aca="false">IF(B754="","",IF(MONTH(B754)=2,"X",""))</f>
        <v/>
      </c>
      <c r="L754" s="34" t="str">
        <f aca="false">IF(B754="","",IF(MONTH(B754)=3,"X",""))</f>
        <v/>
      </c>
      <c r="M754" s="34" t="str">
        <f aca="false">IF(B754="","",IF(MONTH(B754)=4,"X",""))</f>
        <v/>
      </c>
      <c r="N754" s="34" t="str">
        <f aca="false">IF(B754="","",IF(MONTH(B754)=5,"X",""))</f>
        <v/>
      </c>
      <c r="O754" s="34" t="str">
        <f aca="false">IF(B754="","",IF(MONTH(B754)=6,"X",""))</f>
        <v/>
      </c>
      <c r="P754" s="34" t="str">
        <f aca="false">IF(B754="","",IF(MONTH(B754)=7,"X",""))</f>
        <v/>
      </c>
      <c r="Q754" s="34" t="str">
        <f aca="false">IF(B754="","",IF(MONTH(B754)=8,"X",""))</f>
        <v/>
      </c>
      <c r="R754" s="34" t="str">
        <f aca="false">IF(B754="","",IF(MONTH(B754)=9,"X",""))</f>
        <v/>
      </c>
      <c r="S754" s="34" t="str">
        <f aca="false">IF(B754="","",IF(MONTH(B754)=10,"X",""))</f>
        <v/>
      </c>
      <c r="T754" s="34" t="str">
        <f aca="false">IF(B754="","",IF(MONTH(B754)=11,"X",""))</f>
        <v/>
      </c>
      <c r="U754" s="34" t="str">
        <f aca="false">IF(B754="","",IF(MONTH(B754)=12,"X",""))</f>
        <v/>
      </c>
      <c r="V754" s="24" t="str">
        <f aca="false">IF(E754="","",COUNTIF($E$5:$E$1000,E754))</f>
        <v/>
      </c>
      <c r="W754" s="35" t="str">
        <f aca="false">IF(E754="","",_xlfn.TEXTJOIN(" + ",TRUE(),IF(COUNTIFS($E$5:$E$1000,E754,$C$5:$C$1000,"Auditoría Interna")&gt;0,"Interna",""),IF(COUNTIFS($E$5:$E$1000,E754,$C$5:$C$1000,"Auditoría Externa")&gt;0,"Externa",""),IF(COUNTIFS($E$5:$E$1000,E754,$C$5:$C$1000,"SSF")&gt;0,"SSF",""),IF(COUNTIFS($E$5:$E$1000,E754,$C$5:$C$1000,"Comité de Supervisión")&gt;0,"Comité Sup.",""),IF(COUNTIFS($E$5:$E$1000,E754,$C$5:$C$1000,"Consejo de Administración")&gt;0,"Consejo",""),IF(COUNTIFS($E$5:$E$1000,E754,$C$5:$C$1000,"Otros")&gt;0,"Otros","")))</f>
        <v/>
      </c>
      <c r="X754" s="24" t="str">
        <f aca="false">IF(E754="","",COUNTIFS($E$5:$E$1000,E754,$AB$5:$AB$1000,AB754,$C$5:$C$1000,"&lt;&gt;"&amp;C754))</f>
        <v/>
      </c>
      <c r="Y754" s="33"/>
      <c r="Z754" s="31"/>
      <c r="AA754" s="33"/>
      <c r="AB754" s="37" t="str">
        <f aca="false">IF(B754="","",YEAR(B754)*100+MONTH(B754))</f>
        <v/>
      </c>
      <c r="AC754" s="37" t="str">
        <f aca="false">IF(AND(E754&lt;&gt;"",E754=Cruce!$C$5),COUNTIF($E$5:E754,E754),"")</f>
        <v/>
      </c>
      <c r="AD754" s="37" t="str">
        <f aca="false">IF(E754="","",C754&amp;"|"&amp;Y754&amp;"|"&amp;IF(B754="","s/f",TEXT(B754,"yyyymmdd")))</f>
        <v/>
      </c>
      <c r="AE754" s="37" t="n">
        <f aca="false">IF(E754="",0,IF(COUNTIFS($E$5:E754,E754,$AD$5:AD754,AD754)=1,1,0))</f>
        <v>0</v>
      </c>
    </row>
    <row r="755" customFormat="false" ht="15" hidden="false" customHeight="true" outlineLevel="0" collapsed="false">
      <c r="A755" s="31"/>
      <c r="B755" s="30"/>
      <c r="C755" s="31"/>
      <c r="D755" s="31"/>
      <c r="E755" s="32"/>
      <c r="F755" s="32"/>
      <c r="G755" s="33"/>
      <c r="H755" s="31"/>
      <c r="I755" s="24" t="str">
        <f aca="false">IF(B755="","",YEAR(B755))</f>
        <v/>
      </c>
      <c r="J755" s="34" t="str">
        <f aca="false">IF(B755="","",IF(MONTH(B755)=1,"X",""))</f>
        <v/>
      </c>
      <c r="K755" s="34" t="str">
        <f aca="false">IF(B755="","",IF(MONTH(B755)=2,"X",""))</f>
        <v/>
      </c>
      <c r="L755" s="34" t="str">
        <f aca="false">IF(B755="","",IF(MONTH(B755)=3,"X",""))</f>
        <v/>
      </c>
      <c r="M755" s="34" t="str">
        <f aca="false">IF(B755="","",IF(MONTH(B755)=4,"X",""))</f>
        <v/>
      </c>
      <c r="N755" s="34" t="str">
        <f aca="false">IF(B755="","",IF(MONTH(B755)=5,"X",""))</f>
        <v/>
      </c>
      <c r="O755" s="34" t="str">
        <f aca="false">IF(B755="","",IF(MONTH(B755)=6,"X",""))</f>
        <v/>
      </c>
      <c r="P755" s="34" t="str">
        <f aca="false">IF(B755="","",IF(MONTH(B755)=7,"X",""))</f>
        <v/>
      </c>
      <c r="Q755" s="34" t="str">
        <f aca="false">IF(B755="","",IF(MONTH(B755)=8,"X",""))</f>
        <v/>
      </c>
      <c r="R755" s="34" t="str">
        <f aca="false">IF(B755="","",IF(MONTH(B755)=9,"X",""))</f>
        <v/>
      </c>
      <c r="S755" s="34" t="str">
        <f aca="false">IF(B755="","",IF(MONTH(B755)=10,"X",""))</f>
        <v/>
      </c>
      <c r="T755" s="34" t="str">
        <f aca="false">IF(B755="","",IF(MONTH(B755)=11,"X",""))</f>
        <v/>
      </c>
      <c r="U755" s="34" t="str">
        <f aca="false">IF(B755="","",IF(MONTH(B755)=12,"X",""))</f>
        <v/>
      </c>
      <c r="V755" s="24" t="str">
        <f aca="false">IF(E755="","",COUNTIF($E$5:$E$1000,E755))</f>
        <v/>
      </c>
      <c r="W755" s="35" t="str">
        <f aca="false">IF(E755="","",_xlfn.TEXTJOIN(" + ",TRUE(),IF(COUNTIFS($E$5:$E$1000,E755,$C$5:$C$1000,"Auditoría Interna")&gt;0,"Interna",""),IF(COUNTIFS($E$5:$E$1000,E755,$C$5:$C$1000,"Auditoría Externa")&gt;0,"Externa",""),IF(COUNTIFS($E$5:$E$1000,E755,$C$5:$C$1000,"SSF")&gt;0,"SSF",""),IF(COUNTIFS($E$5:$E$1000,E755,$C$5:$C$1000,"Comité de Supervisión")&gt;0,"Comité Sup.",""),IF(COUNTIFS($E$5:$E$1000,E755,$C$5:$C$1000,"Consejo de Administración")&gt;0,"Consejo",""),IF(COUNTIFS($E$5:$E$1000,E755,$C$5:$C$1000,"Otros")&gt;0,"Otros","")))</f>
        <v/>
      </c>
      <c r="X755" s="24" t="str">
        <f aca="false">IF(E755="","",COUNTIFS($E$5:$E$1000,E755,$AB$5:$AB$1000,AB755,$C$5:$C$1000,"&lt;&gt;"&amp;C755))</f>
        <v/>
      </c>
      <c r="Y755" s="33"/>
      <c r="Z755" s="31"/>
      <c r="AA755" s="33"/>
      <c r="AB755" s="37" t="str">
        <f aca="false">IF(B755="","",YEAR(B755)*100+MONTH(B755))</f>
        <v/>
      </c>
      <c r="AC755" s="37" t="str">
        <f aca="false">IF(AND(E755&lt;&gt;"",E755=Cruce!$C$5),COUNTIF($E$5:E755,E755),"")</f>
        <v/>
      </c>
      <c r="AD755" s="37" t="str">
        <f aca="false">IF(E755="","",C755&amp;"|"&amp;Y755&amp;"|"&amp;IF(B755="","s/f",TEXT(B755,"yyyymmdd")))</f>
        <v/>
      </c>
      <c r="AE755" s="37" t="n">
        <f aca="false">IF(E755="",0,IF(COUNTIFS($E$5:E755,E755,$AD$5:AD755,AD755)=1,1,0))</f>
        <v>0</v>
      </c>
    </row>
    <row r="756" customFormat="false" ht="15" hidden="false" customHeight="true" outlineLevel="0" collapsed="false">
      <c r="A756" s="31"/>
      <c r="B756" s="30"/>
      <c r="C756" s="31"/>
      <c r="D756" s="31"/>
      <c r="E756" s="32"/>
      <c r="F756" s="32"/>
      <c r="G756" s="33"/>
      <c r="H756" s="31"/>
      <c r="I756" s="24" t="str">
        <f aca="false">IF(B756="","",YEAR(B756))</f>
        <v/>
      </c>
      <c r="J756" s="34" t="str">
        <f aca="false">IF(B756="","",IF(MONTH(B756)=1,"X",""))</f>
        <v/>
      </c>
      <c r="K756" s="34" t="str">
        <f aca="false">IF(B756="","",IF(MONTH(B756)=2,"X",""))</f>
        <v/>
      </c>
      <c r="L756" s="34" t="str">
        <f aca="false">IF(B756="","",IF(MONTH(B756)=3,"X",""))</f>
        <v/>
      </c>
      <c r="M756" s="34" t="str">
        <f aca="false">IF(B756="","",IF(MONTH(B756)=4,"X",""))</f>
        <v/>
      </c>
      <c r="N756" s="34" t="str">
        <f aca="false">IF(B756="","",IF(MONTH(B756)=5,"X",""))</f>
        <v/>
      </c>
      <c r="O756" s="34" t="str">
        <f aca="false">IF(B756="","",IF(MONTH(B756)=6,"X",""))</f>
        <v/>
      </c>
      <c r="P756" s="34" t="str">
        <f aca="false">IF(B756="","",IF(MONTH(B756)=7,"X",""))</f>
        <v/>
      </c>
      <c r="Q756" s="34" t="str">
        <f aca="false">IF(B756="","",IF(MONTH(B756)=8,"X",""))</f>
        <v/>
      </c>
      <c r="R756" s="34" t="str">
        <f aca="false">IF(B756="","",IF(MONTH(B756)=9,"X",""))</f>
        <v/>
      </c>
      <c r="S756" s="34" t="str">
        <f aca="false">IF(B756="","",IF(MONTH(B756)=10,"X",""))</f>
        <v/>
      </c>
      <c r="T756" s="34" t="str">
        <f aca="false">IF(B756="","",IF(MONTH(B756)=11,"X",""))</f>
        <v/>
      </c>
      <c r="U756" s="34" t="str">
        <f aca="false">IF(B756="","",IF(MONTH(B756)=12,"X",""))</f>
        <v/>
      </c>
      <c r="V756" s="24" t="str">
        <f aca="false">IF(E756="","",COUNTIF($E$5:$E$1000,E756))</f>
        <v/>
      </c>
      <c r="W756" s="35" t="str">
        <f aca="false">IF(E756="","",_xlfn.TEXTJOIN(" + ",TRUE(),IF(COUNTIFS($E$5:$E$1000,E756,$C$5:$C$1000,"Auditoría Interna")&gt;0,"Interna",""),IF(COUNTIFS($E$5:$E$1000,E756,$C$5:$C$1000,"Auditoría Externa")&gt;0,"Externa",""),IF(COUNTIFS($E$5:$E$1000,E756,$C$5:$C$1000,"SSF")&gt;0,"SSF",""),IF(COUNTIFS($E$5:$E$1000,E756,$C$5:$C$1000,"Comité de Supervisión")&gt;0,"Comité Sup.",""),IF(COUNTIFS($E$5:$E$1000,E756,$C$5:$C$1000,"Consejo de Administración")&gt;0,"Consejo",""),IF(COUNTIFS($E$5:$E$1000,E756,$C$5:$C$1000,"Otros")&gt;0,"Otros","")))</f>
        <v/>
      </c>
      <c r="X756" s="24" t="str">
        <f aca="false">IF(E756="","",COUNTIFS($E$5:$E$1000,E756,$AB$5:$AB$1000,AB756,$C$5:$C$1000,"&lt;&gt;"&amp;C756))</f>
        <v/>
      </c>
      <c r="Y756" s="33"/>
      <c r="Z756" s="31"/>
      <c r="AA756" s="33"/>
      <c r="AB756" s="37" t="str">
        <f aca="false">IF(B756="","",YEAR(B756)*100+MONTH(B756))</f>
        <v/>
      </c>
      <c r="AC756" s="37" t="str">
        <f aca="false">IF(AND(E756&lt;&gt;"",E756=Cruce!$C$5),COUNTIF($E$5:E756,E756),"")</f>
        <v/>
      </c>
      <c r="AD756" s="37" t="str">
        <f aca="false">IF(E756="","",C756&amp;"|"&amp;Y756&amp;"|"&amp;IF(B756="","s/f",TEXT(B756,"yyyymmdd")))</f>
        <v/>
      </c>
      <c r="AE756" s="37" t="n">
        <f aca="false">IF(E756="",0,IF(COUNTIFS($E$5:E756,E756,$AD$5:AD756,AD756)=1,1,0))</f>
        <v>0</v>
      </c>
    </row>
    <row r="757" customFormat="false" ht="15" hidden="false" customHeight="true" outlineLevel="0" collapsed="false">
      <c r="A757" s="31"/>
      <c r="B757" s="30"/>
      <c r="C757" s="31"/>
      <c r="D757" s="31"/>
      <c r="E757" s="32"/>
      <c r="F757" s="32"/>
      <c r="G757" s="33"/>
      <c r="H757" s="31"/>
      <c r="I757" s="24" t="str">
        <f aca="false">IF(B757="","",YEAR(B757))</f>
        <v/>
      </c>
      <c r="J757" s="34" t="str">
        <f aca="false">IF(B757="","",IF(MONTH(B757)=1,"X",""))</f>
        <v/>
      </c>
      <c r="K757" s="34" t="str">
        <f aca="false">IF(B757="","",IF(MONTH(B757)=2,"X",""))</f>
        <v/>
      </c>
      <c r="L757" s="34" t="str">
        <f aca="false">IF(B757="","",IF(MONTH(B757)=3,"X",""))</f>
        <v/>
      </c>
      <c r="M757" s="34" t="str">
        <f aca="false">IF(B757="","",IF(MONTH(B757)=4,"X",""))</f>
        <v/>
      </c>
      <c r="N757" s="34" t="str">
        <f aca="false">IF(B757="","",IF(MONTH(B757)=5,"X",""))</f>
        <v/>
      </c>
      <c r="O757" s="34" t="str">
        <f aca="false">IF(B757="","",IF(MONTH(B757)=6,"X",""))</f>
        <v/>
      </c>
      <c r="P757" s="34" t="str">
        <f aca="false">IF(B757="","",IF(MONTH(B757)=7,"X",""))</f>
        <v/>
      </c>
      <c r="Q757" s="34" t="str">
        <f aca="false">IF(B757="","",IF(MONTH(B757)=8,"X",""))</f>
        <v/>
      </c>
      <c r="R757" s="34" t="str">
        <f aca="false">IF(B757="","",IF(MONTH(B757)=9,"X",""))</f>
        <v/>
      </c>
      <c r="S757" s="34" t="str">
        <f aca="false">IF(B757="","",IF(MONTH(B757)=10,"X",""))</f>
        <v/>
      </c>
      <c r="T757" s="34" t="str">
        <f aca="false">IF(B757="","",IF(MONTH(B757)=11,"X",""))</f>
        <v/>
      </c>
      <c r="U757" s="34" t="str">
        <f aca="false">IF(B757="","",IF(MONTH(B757)=12,"X",""))</f>
        <v/>
      </c>
      <c r="V757" s="24" t="str">
        <f aca="false">IF(E757="","",COUNTIF($E$5:$E$1000,E757))</f>
        <v/>
      </c>
      <c r="W757" s="35" t="str">
        <f aca="false">IF(E757="","",_xlfn.TEXTJOIN(" + ",TRUE(),IF(COUNTIFS($E$5:$E$1000,E757,$C$5:$C$1000,"Auditoría Interna")&gt;0,"Interna",""),IF(COUNTIFS($E$5:$E$1000,E757,$C$5:$C$1000,"Auditoría Externa")&gt;0,"Externa",""),IF(COUNTIFS($E$5:$E$1000,E757,$C$5:$C$1000,"SSF")&gt;0,"SSF",""),IF(COUNTIFS($E$5:$E$1000,E757,$C$5:$C$1000,"Comité de Supervisión")&gt;0,"Comité Sup.",""),IF(COUNTIFS($E$5:$E$1000,E757,$C$5:$C$1000,"Consejo de Administración")&gt;0,"Consejo",""),IF(COUNTIFS($E$5:$E$1000,E757,$C$5:$C$1000,"Otros")&gt;0,"Otros","")))</f>
        <v/>
      </c>
      <c r="X757" s="24" t="str">
        <f aca="false">IF(E757="","",COUNTIFS($E$5:$E$1000,E757,$AB$5:$AB$1000,AB757,$C$5:$C$1000,"&lt;&gt;"&amp;C757))</f>
        <v/>
      </c>
      <c r="Y757" s="33"/>
      <c r="Z757" s="31"/>
      <c r="AA757" s="33"/>
      <c r="AB757" s="37" t="str">
        <f aca="false">IF(B757="","",YEAR(B757)*100+MONTH(B757))</f>
        <v/>
      </c>
      <c r="AC757" s="37" t="str">
        <f aca="false">IF(AND(E757&lt;&gt;"",E757=Cruce!$C$5),COUNTIF($E$5:E757,E757),"")</f>
        <v/>
      </c>
      <c r="AD757" s="37" t="str">
        <f aca="false">IF(E757="","",C757&amp;"|"&amp;Y757&amp;"|"&amp;IF(B757="","s/f",TEXT(B757,"yyyymmdd")))</f>
        <v/>
      </c>
      <c r="AE757" s="37" t="n">
        <f aca="false">IF(E757="",0,IF(COUNTIFS($E$5:E757,E757,$AD$5:AD757,AD757)=1,1,0))</f>
        <v>0</v>
      </c>
    </row>
    <row r="758" customFormat="false" ht="15" hidden="false" customHeight="true" outlineLevel="0" collapsed="false">
      <c r="A758" s="31"/>
      <c r="B758" s="30"/>
      <c r="C758" s="31"/>
      <c r="D758" s="31"/>
      <c r="E758" s="32"/>
      <c r="F758" s="32"/>
      <c r="G758" s="33"/>
      <c r="H758" s="31"/>
      <c r="I758" s="24" t="str">
        <f aca="false">IF(B758="","",YEAR(B758))</f>
        <v/>
      </c>
      <c r="J758" s="34" t="str">
        <f aca="false">IF(B758="","",IF(MONTH(B758)=1,"X",""))</f>
        <v/>
      </c>
      <c r="K758" s="34" t="str">
        <f aca="false">IF(B758="","",IF(MONTH(B758)=2,"X",""))</f>
        <v/>
      </c>
      <c r="L758" s="34" t="str">
        <f aca="false">IF(B758="","",IF(MONTH(B758)=3,"X",""))</f>
        <v/>
      </c>
      <c r="M758" s="34" t="str">
        <f aca="false">IF(B758="","",IF(MONTH(B758)=4,"X",""))</f>
        <v/>
      </c>
      <c r="N758" s="34" t="str">
        <f aca="false">IF(B758="","",IF(MONTH(B758)=5,"X",""))</f>
        <v/>
      </c>
      <c r="O758" s="34" t="str">
        <f aca="false">IF(B758="","",IF(MONTH(B758)=6,"X",""))</f>
        <v/>
      </c>
      <c r="P758" s="34" t="str">
        <f aca="false">IF(B758="","",IF(MONTH(B758)=7,"X",""))</f>
        <v/>
      </c>
      <c r="Q758" s="34" t="str">
        <f aca="false">IF(B758="","",IF(MONTH(B758)=8,"X",""))</f>
        <v/>
      </c>
      <c r="R758" s="34" t="str">
        <f aca="false">IF(B758="","",IF(MONTH(B758)=9,"X",""))</f>
        <v/>
      </c>
      <c r="S758" s="34" t="str">
        <f aca="false">IF(B758="","",IF(MONTH(B758)=10,"X",""))</f>
        <v/>
      </c>
      <c r="T758" s="34" t="str">
        <f aca="false">IF(B758="","",IF(MONTH(B758)=11,"X",""))</f>
        <v/>
      </c>
      <c r="U758" s="34" t="str">
        <f aca="false">IF(B758="","",IF(MONTH(B758)=12,"X",""))</f>
        <v/>
      </c>
      <c r="V758" s="24" t="str">
        <f aca="false">IF(E758="","",COUNTIF($E$5:$E$1000,E758))</f>
        <v/>
      </c>
      <c r="W758" s="35" t="str">
        <f aca="false">IF(E758="","",_xlfn.TEXTJOIN(" + ",TRUE(),IF(COUNTIFS($E$5:$E$1000,E758,$C$5:$C$1000,"Auditoría Interna")&gt;0,"Interna",""),IF(COUNTIFS($E$5:$E$1000,E758,$C$5:$C$1000,"Auditoría Externa")&gt;0,"Externa",""),IF(COUNTIFS($E$5:$E$1000,E758,$C$5:$C$1000,"SSF")&gt;0,"SSF",""),IF(COUNTIFS($E$5:$E$1000,E758,$C$5:$C$1000,"Comité de Supervisión")&gt;0,"Comité Sup.",""),IF(COUNTIFS($E$5:$E$1000,E758,$C$5:$C$1000,"Consejo de Administración")&gt;0,"Consejo",""),IF(COUNTIFS($E$5:$E$1000,E758,$C$5:$C$1000,"Otros")&gt;0,"Otros","")))</f>
        <v/>
      </c>
      <c r="X758" s="24" t="str">
        <f aca="false">IF(E758="","",COUNTIFS($E$5:$E$1000,E758,$AB$5:$AB$1000,AB758,$C$5:$C$1000,"&lt;&gt;"&amp;C758))</f>
        <v/>
      </c>
      <c r="Y758" s="33"/>
      <c r="Z758" s="31"/>
      <c r="AA758" s="33"/>
      <c r="AB758" s="37" t="str">
        <f aca="false">IF(B758="","",YEAR(B758)*100+MONTH(B758))</f>
        <v/>
      </c>
      <c r="AC758" s="37" t="str">
        <f aca="false">IF(AND(E758&lt;&gt;"",E758=Cruce!$C$5),COUNTIF($E$5:E758,E758),"")</f>
        <v/>
      </c>
      <c r="AD758" s="37" t="str">
        <f aca="false">IF(E758="","",C758&amp;"|"&amp;Y758&amp;"|"&amp;IF(B758="","s/f",TEXT(B758,"yyyymmdd")))</f>
        <v/>
      </c>
      <c r="AE758" s="37" t="n">
        <f aca="false">IF(E758="",0,IF(COUNTIFS($E$5:E758,E758,$AD$5:AD758,AD758)=1,1,0))</f>
        <v>0</v>
      </c>
    </row>
    <row r="759" customFormat="false" ht="15" hidden="false" customHeight="true" outlineLevel="0" collapsed="false">
      <c r="A759" s="31"/>
      <c r="B759" s="30"/>
      <c r="C759" s="31"/>
      <c r="D759" s="31"/>
      <c r="E759" s="32"/>
      <c r="F759" s="32"/>
      <c r="G759" s="33"/>
      <c r="H759" s="31"/>
      <c r="I759" s="24" t="str">
        <f aca="false">IF(B759="","",YEAR(B759))</f>
        <v/>
      </c>
      <c r="J759" s="34" t="str">
        <f aca="false">IF(B759="","",IF(MONTH(B759)=1,"X",""))</f>
        <v/>
      </c>
      <c r="K759" s="34" t="str">
        <f aca="false">IF(B759="","",IF(MONTH(B759)=2,"X",""))</f>
        <v/>
      </c>
      <c r="L759" s="34" t="str">
        <f aca="false">IF(B759="","",IF(MONTH(B759)=3,"X",""))</f>
        <v/>
      </c>
      <c r="M759" s="34" t="str">
        <f aca="false">IF(B759="","",IF(MONTH(B759)=4,"X",""))</f>
        <v/>
      </c>
      <c r="N759" s="34" t="str">
        <f aca="false">IF(B759="","",IF(MONTH(B759)=5,"X",""))</f>
        <v/>
      </c>
      <c r="O759" s="34" t="str">
        <f aca="false">IF(B759="","",IF(MONTH(B759)=6,"X",""))</f>
        <v/>
      </c>
      <c r="P759" s="34" t="str">
        <f aca="false">IF(B759="","",IF(MONTH(B759)=7,"X",""))</f>
        <v/>
      </c>
      <c r="Q759" s="34" t="str">
        <f aca="false">IF(B759="","",IF(MONTH(B759)=8,"X",""))</f>
        <v/>
      </c>
      <c r="R759" s="34" t="str">
        <f aca="false">IF(B759="","",IF(MONTH(B759)=9,"X",""))</f>
        <v/>
      </c>
      <c r="S759" s="34" t="str">
        <f aca="false">IF(B759="","",IF(MONTH(B759)=10,"X",""))</f>
        <v/>
      </c>
      <c r="T759" s="34" t="str">
        <f aca="false">IF(B759="","",IF(MONTH(B759)=11,"X",""))</f>
        <v/>
      </c>
      <c r="U759" s="34" t="str">
        <f aca="false">IF(B759="","",IF(MONTH(B759)=12,"X",""))</f>
        <v/>
      </c>
      <c r="V759" s="24" t="str">
        <f aca="false">IF(E759="","",COUNTIF($E$5:$E$1000,E759))</f>
        <v/>
      </c>
      <c r="W759" s="35" t="str">
        <f aca="false">IF(E759="","",_xlfn.TEXTJOIN(" + ",TRUE(),IF(COUNTIFS($E$5:$E$1000,E759,$C$5:$C$1000,"Auditoría Interna")&gt;0,"Interna",""),IF(COUNTIFS($E$5:$E$1000,E759,$C$5:$C$1000,"Auditoría Externa")&gt;0,"Externa",""),IF(COUNTIFS($E$5:$E$1000,E759,$C$5:$C$1000,"SSF")&gt;0,"SSF",""),IF(COUNTIFS($E$5:$E$1000,E759,$C$5:$C$1000,"Comité de Supervisión")&gt;0,"Comité Sup.",""),IF(COUNTIFS($E$5:$E$1000,E759,$C$5:$C$1000,"Consejo de Administración")&gt;0,"Consejo",""),IF(COUNTIFS($E$5:$E$1000,E759,$C$5:$C$1000,"Otros")&gt;0,"Otros","")))</f>
        <v/>
      </c>
      <c r="X759" s="24" t="str">
        <f aca="false">IF(E759="","",COUNTIFS($E$5:$E$1000,E759,$AB$5:$AB$1000,AB759,$C$5:$C$1000,"&lt;&gt;"&amp;C759))</f>
        <v/>
      </c>
      <c r="Y759" s="33"/>
      <c r="Z759" s="31"/>
      <c r="AA759" s="33"/>
      <c r="AB759" s="37" t="str">
        <f aca="false">IF(B759="","",YEAR(B759)*100+MONTH(B759))</f>
        <v/>
      </c>
      <c r="AC759" s="37" t="str">
        <f aca="false">IF(AND(E759&lt;&gt;"",E759=Cruce!$C$5),COUNTIF($E$5:E759,E759),"")</f>
        <v/>
      </c>
      <c r="AD759" s="37" t="str">
        <f aca="false">IF(E759="","",C759&amp;"|"&amp;Y759&amp;"|"&amp;IF(B759="","s/f",TEXT(B759,"yyyymmdd")))</f>
        <v/>
      </c>
      <c r="AE759" s="37" t="n">
        <f aca="false">IF(E759="",0,IF(COUNTIFS($E$5:E759,E759,$AD$5:AD759,AD759)=1,1,0))</f>
        <v>0</v>
      </c>
    </row>
    <row r="760" customFormat="false" ht="15" hidden="false" customHeight="true" outlineLevel="0" collapsed="false">
      <c r="A760" s="31"/>
      <c r="B760" s="30"/>
      <c r="C760" s="31"/>
      <c r="D760" s="31"/>
      <c r="E760" s="32"/>
      <c r="F760" s="32"/>
      <c r="G760" s="33"/>
      <c r="H760" s="31"/>
      <c r="I760" s="24" t="str">
        <f aca="false">IF(B760="","",YEAR(B760))</f>
        <v/>
      </c>
      <c r="J760" s="34" t="str">
        <f aca="false">IF(B760="","",IF(MONTH(B760)=1,"X",""))</f>
        <v/>
      </c>
      <c r="K760" s="34" t="str">
        <f aca="false">IF(B760="","",IF(MONTH(B760)=2,"X",""))</f>
        <v/>
      </c>
      <c r="L760" s="34" t="str">
        <f aca="false">IF(B760="","",IF(MONTH(B760)=3,"X",""))</f>
        <v/>
      </c>
      <c r="M760" s="34" t="str">
        <f aca="false">IF(B760="","",IF(MONTH(B760)=4,"X",""))</f>
        <v/>
      </c>
      <c r="N760" s="34" t="str">
        <f aca="false">IF(B760="","",IF(MONTH(B760)=5,"X",""))</f>
        <v/>
      </c>
      <c r="O760" s="34" t="str">
        <f aca="false">IF(B760="","",IF(MONTH(B760)=6,"X",""))</f>
        <v/>
      </c>
      <c r="P760" s="34" t="str">
        <f aca="false">IF(B760="","",IF(MONTH(B760)=7,"X",""))</f>
        <v/>
      </c>
      <c r="Q760" s="34" t="str">
        <f aca="false">IF(B760="","",IF(MONTH(B760)=8,"X",""))</f>
        <v/>
      </c>
      <c r="R760" s="34" t="str">
        <f aca="false">IF(B760="","",IF(MONTH(B760)=9,"X",""))</f>
        <v/>
      </c>
      <c r="S760" s="34" t="str">
        <f aca="false">IF(B760="","",IF(MONTH(B760)=10,"X",""))</f>
        <v/>
      </c>
      <c r="T760" s="34" t="str">
        <f aca="false">IF(B760="","",IF(MONTH(B760)=11,"X",""))</f>
        <v/>
      </c>
      <c r="U760" s="34" t="str">
        <f aca="false">IF(B760="","",IF(MONTH(B760)=12,"X",""))</f>
        <v/>
      </c>
      <c r="V760" s="24" t="str">
        <f aca="false">IF(E760="","",COUNTIF($E$5:$E$1000,E760))</f>
        <v/>
      </c>
      <c r="W760" s="35" t="str">
        <f aca="false">IF(E760="","",_xlfn.TEXTJOIN(" + ",TRUE(),IF(COUNTIFS($E$5:$E$1000,E760,$C$5:$C$1000,"Auditoría Interna")&gt;0,"Interna",""),IF(COUNTIFS($E$5:$E$1000,E760,$C$5:$C$1000,"Auditoría Externa")&gt;0,"Externa",""),IF(COUNTIFS($E$5:$E$1000,E760,$C$5:$C$1000,"SSF")&gt;0,"SSF",""),IF(COUNTIFS($E$5:$E$1000,E760,$C$5:$C$1000,"Comité de Supervisión")&gt;0,"Comité Sup.",""),IF(COUNTIFS($E$5:$E$1000,E760,$C$5:$C$1000,"Consejo de Administración")&gt;0,"Consejo",""),IF(COUNTIFS($E$5:$E$1000,E760,$C$5:$C$1000,"Otros")&gt;0,"Otros","")))</f>
        <v/>
      </c>
      <c r="X760" s="24" t="str">
        <f aca="false">IF(E760="","",COUNTIFS($E$5:$E$1000,E760,$AB$5:$AB$1000,AB760,$C$5:$C$1000,"&lt;&gt;"&amp;C760))</f>
        <v/>
      </c>
      <c r="Y760" s="33"/>
      <c r="Z760" s="31"/>
      <c r="AA760" s="33"/>
      <c r="AB760" s="37" t="str">
        <f aca="false">IF(B760="","",YEAR(B760)*100+MONTH(B760))</f>
        <v/>
      </c>
      <c r="AC760" s="37" t="str">
        <f aca="false">IF(AND(E760&lt;&gt;"",E760=Cruce!$C$5),COUNTIF($E$5:E760,E760),"")</f>
        <v/>
      </c>
      <c r="AD760" s="37" t="str">
        <f aca="false">IF(E760="","",C760&amp;"|"&amp;Y760&amp;"|"&amp;IF(B760="","s/f",TEXT(B760,"yyyymmdd")))</f>
        <v/>
      </c>
      <c r="AE760" s="37" t="n">
        <f aca="false">IF(E760="",0,IF(COUNTIFS($E$5:E760,E760,$AD$5:AD760,AD760)=1,1,0))</f>
        <v>0</v>
      </c>
    </row>
    <row r="761" customFormat="false" ht="15" hidden="false" customHeight="true" outlineLevel="0" collapsed="false">
      <c r="A761" s="31"/>
      <c r="B761" s="30"/>
      <c r="C761" s="31"/>
      <c r="D761" s="31"/>
      <c r="E761" s="32"/>
      <c r="F761" s="32"/>
      <c r="G761" s="33"/>
      <c r="H761" s="31"/>
      <c r="I761" s="24" t="str">
        <f aca="false">IF(B761="","",YEAR(B761))</f>
        <v/>
      </c>
      <c r="J761" s="34" t="str">
        <f aca="false">IF(B761="","",IF(MONTH(B761)=1,"X",""))</f>
        <v/>
      </c>
      <c r="K761" s="34" t="str">
        <f aca="false">IF(B761="","",IF(MONTH(B761)=2,"X",""))</f>
        <v/>
      </c>
      <c r="L761" s="34" t="str">
        <f aca="false">IF(B761="","",IF(MONTH(B761)=3,"X",""))</f>
        <v/>
      </c>
      <c r="M761" s="34" t="str">
        <f aca="false">IF(B761="","",IF(MONTH(B761)=4,"X",""))</f>
        <v/>
      </c>
      <c r="N761" s="34" t="str">
        <f aca="false">IF(B761="","",IF(MONTH(B761)=5,"X",""))</f>
        <v/>
      </c>
      <c r="O761" s="34" t="str">
        <f aca="false">IF(B761="","",IF(MONTH(B761)=6,"X",""))</f>
        <v/>
      </c>
      <c r="P761" s="34" t="str">
        <f aca="false">IF(B761="","",IF(MONTH(B761)=7,"X",""))</f>
        <v/>
      </c>
      <c r="Q761" s="34" t="str">
        <f aca="false">IF(B761="","",IF(MONTH(B761)=8,"X",""))</f>
        <v/>
      </c>
      <c r="R761" s="34" t="str">
        <f aca="false">IF(B761="","",IF(MONTH(B761)=9,"X",""))</f>
        <v/>
      </c>
      <c r="S761" s="34" t="str">
        <f aca="false">IF(B761="","",IF(MONTH(B761)=10,"X",""))</f>
        <v/>
      </c>
      <c r="T761" s="34" t="str">
        <f aca="false">IF(B761="","",IF(MONTH(B761)=11,"X",""))</f>
        <v/>
      </c>
      <c r="U761" s="34" t="str">
        <f aca="false">IF(B761="","",IF(MONTH(B761)=12,"X",""))</f>
        <v/>
      </c>
      <c r="V761" s="24" t="str">
        <f aca="false">IF(E761="","",COUNTIF($E$5:$E$1000,E761))</f>
        <v/>
      </c>
      <c r="W761" s="35" t="str">
        <f aca="false">IF(E761="","",_xlfn.TEXTJOIN(" + ",TRUE(),IF(COUNTIFS($E$5:$E$1000,E761,$C$5:$C$1000,"Auditoría Interna")&gt;0,"Interna",""),IF(COUNTIFS($E$5:$E$1000,E761,$C$5:$C$1000,"Auditoría Externa")&gt;0,"Externa",""),IF(COUNTIFS($E$5:$E$1000,E761,$C$5:$C$1000,"SSF")&gt;0,"SSF",""),IF(COUNTIFS($E$5:$E$1000,E761,$C$5:$C$1000,"Comité de Supervisión")&gt;0,"Comité Sup.",""),IF(COUNTIFS($E$5:$E$1000,E761,$C$5:$C$1000,"Consejo de Administración")&gt;0,"Consejo",""),IF(COUNTIFS($E$5:$E$1000,E761,$C$5:$C$1000,"Otros")&gt;0,"Otros","")))</f>
        <v/>
      </c>
      <c r="X761" s="24" t="str">
        <f aca="false">IF(E761="","",COUNTIFS($E$5:$E$1000,E761,$AB$5:$AB$1000,AB761,$C$5:$C$1000,"&lt;&gt;"&amp;C761))</f>
        <v/>
      </c>
      <c r="Y761" s="33"/>
      <c r="Z761" s="31"/>
      <c r="AA761" s="33"/>
      <c r="AB761" s="37" t="str">
        <f aca="false">IF(B761="","",YEAR(B761)*100+MONTH(B761))</f>
        <v/>
      </c>
      <c r="AC761" s="37" t="str">
        <f aca="false">IF(AND(E761&lt;&gt;"",E761=Cruce!$C$5),COUNTIF($E$5:E761,E761),"")</f>
        <v/>
      </c>
      <c r="AD761" s="37" t="str">
        <f aca="false">IF(E761="","",C761&amp;"|"&amp;Y761&amp;"|"&amp;IF(B761="","s/f",TEXT(B761,"yyyymmdd")))</f>
        <v/>
      </c>
      <c r="AE761" s="37" t="n">
        <f aca="false">IF(E761="",0,IF(COUNTIFS($E$5:E761,E761,$AD$5:AD761,AD761)=1,1,0))</f>
        <v>0</v>
      </c>
    </row>
    <row r="762" customFormat="false" ht="15" hidden="false" customHeight="true" outlineLevel="0" collapsed="false">
      <c r="A762" s="31"/>
      <c r="B762" s="30"/>
      <c r="C762" s="31"/>
      <c r="D762" s="31"/>
      <c r="E762" s="32"/>
      <c r="F762" s="32"/>
      <c r="G762" s="33"/>
      <c r="H762" s="31"/>
      <c r="I762" s="24" t="str">
        <f aca="false">IF(B762="","",YEAR(B762))</f>
        <v/>
      </c>
      <c r="J762" s="34" t="str">
        <f aca="false">IF(B762="","",IF(MONTH(B762)=1,"X",""))</f>
        <v/>
      </c>
      <c r="K762" s="34" t="str">
        <f aca="false">IF(B762="","",IF(MONTH(B762)=2,"X",""))</f>
        <v/>
      </c>
      <c r="L762" s="34" t="str">
        <f aca="false">IF(B762="","",IF(MONTH(B762)=3,"X",""))</f>
        <v/>
      </c>
      <c r="M762" s="34" t="str">
        <f aca="false">IF(B762="","",IF(MONTH(B762)=4,"X",""))</f>
        <v/>
      </c>
      <c r="N762" s="34" t="str">
        <f aca="false">IF(B762="","",IF(MONTH(B762)=5,"X",""))</f>
        <v/>
      </c>
      <c r="O762" s="34" t="str">
        <f aca="false">IF(B762="","",IF(MONTH(B762)=6,"X",""))</f>
        <v/>
      </c>
      <c r="P762" s="34" t="str">
        <f aca="false">IF(B762="","",IF(MONTH(B762)=7,"X",""))</f>
        <v/>
      </c>
      <c r="Q762" s="34" t="str">
        <f aca="false">IF(B762="","",IF(MONTH(B762)=8,"X",""))</f>
        <v/>
      </c>
      <c r="R762" s="34" t="str">
        <f aca="false">IF(B762="","",IF(MONTH(B762)=9,"X",""))</f>
        <v/>
      </c>
      <c r="S762" s="34" t="str">
        <f aca="false">IF(B762="","",IF(MONTH(B762)=10,"X",""))</f>
        <v/>
      </c>
      <c r="T762" s="34" t="str">
        <f aca="false">IF(B762="","",IF(MONTH(B762)=11,"X",""))</f>
        <v/>
      </c>
      <c r="U762" s="34" t="str">
        <f aca="false">IF(B762="","",IF(MONTH(B762)=12,"X",""))</f>
        <v/>
      </c>
      <c r="V762" s="24" t="str">
        <f aca="false">IF(E762="","",COUNTIF($E$5:$E$1000,E762))</f>
        <v/>
      </c>
      <c r="W762" s="35" t="str">
        <f aca="false">IF(E762="","",_xlfn.TEXTJOIN(" + ",TRUE(),IF(COUNTIFS($E$5:$E$1000,E762,$C$5:$C$1000,"Auditoría Interna")&gt;0,"Interna",""),IF(COUNTIFS($E$5:$E$1000,E762,$C$5:$C$1000,"Auditoría Externa")&gt;0,"Externa",""),IF(COUNTIFS($E$5:$E$1000,E762,$C$5:$C$1000,"SSF")&gt;0,"SSF",""),IF(COUNTIFS($E$5:$E$1000,E762,$C$5:$C$1000,"Comité de Supervisión")&gt;0,"Comité Sup.",""),IF(COUNTIFS($E$5:$E$1000,E762,$C$5:$C$1000,"Consejo de Administración")&gt;0,"Consejo",""),IF(COUNTIFS($E$5:$E$1000,E762,$C$5:$C$1000,"Otros")&gt;0,"Otros","")))</f>
        <v/>
      </c>
      <c r="X762" s="24" t="str">
        <f aca="false">IF(E762="","",COUNTIFS($E$5:$E$1000,E762,$AB$5:$AB$1000,AB762,$C$5:$C$1000,"&lt;&gt;"&amp;C762))</f>
        <v/>
      </c>
      <c r="Y762" s="33"/>
      <c r="Z762" s="31"/>
      <c r="AA762" s="33"/>
      <c r="AB762" s="37" t="str">
        <f aca="false">IF(B762="","",YEAR(B762)*100+MONTH(B762))</f>
        <v/>
      </c>
      <c r="AC762" s="37" t="str">
        <f aca="false">IF(AND(E762&lt;&gt;"",E762=Cruce!$C$5),COUNTIF($E$5:E762,E762),"")</f>
        <v/>
      </c>
      <c r="AD762" s="37" t="str">
        <f aca="false">IF(E762="","",C762&amp;"|"&amp;Y762&amp;"|"&amp;IF(B762="","s/f",TEXT(B762,"yyyymmdd")))</f>
        <v/>
      </c>
      <c r="AE762" s="37" t="n">
        <f aca="false">IF(E762="",0,IF(COUNTIFS($E$5:E762,E762,$AD$5:AD762,AD762)=1,1,0))</f>
        <v>0</v>
      </c>
    </row>
    <row r="763" customFormat="false" ht="15" hidden="false" customHeight="true" outlineLevel="0" collapsed="false">
      <c r="A763" s="31"/>
      <c r="B763" s="30"/>
      <c r="C763" s="31"/>
      <c r="D763" s="31"/>
      <c r="E763" s="32"/>
      <c r="F763" s="32"/>
      <c r="G763" s="33"/>
      <c r="H763" s="31"/>
      <c r="I763" s="24" t="str">
        <f aca="false">IF(B763="","",YEAR(B763))</f>
        <v/>
      </c>
      <c r="J763" s="34" t="str">
        <f aca="false">IF(B763="","",IF(MONTH(B763)=1,"X",""))</f>
        <v/>
      </c>
      <c r="K763" s="34" t="str">
        <f aca="false">IF(B763="","",IF(MONTH(B763)=2,"X",""))</f>
        <v/>
      </c>
      <c r="L763" s="34" t="str">
        <f aca="false">IF(B763="","",IF(MONTH(B763)=3,"X",""))</f>
        <v/>
      </c>
      <c r="M763" s="34" t="str">
        <f aca="false">IF(B763="","",IF(MONTH(B763)=4,"X",""))</f>
        <v/>
      </c>
      <c r="N763" s="34" t="str">
        <f aca="false">IF(B763="","",IF(MONTH(B763)=5,"X",""))</f>
        <v/>
      </c>
      <c r="O763" s="34" t="str">
        <f aca="false">IF(B763="","",IF(MONTH(B763)=6,"X",""))</f>
        <v/>
      </c>
      <c r="P763" s="34" t="str">
        <f aca="false">IF(B763="","",IF(MONTH(B763)=7,"X",""))</f>
        <v/>
      </c>
      <c r="Q763" s="34" t="str">
        <f aca="false">IF(B763="","",IF(MONTH(B763)=8,"X",""))</f>
        <v/>
      </c>
      <c r="R763" s="34" t="str">
        <f aca="false">IF(B763="","",IF(MONTH(B763)=9,"X",""))</f>
        <v/>
      </c>
      <c r="S763" s="34" t="str">
        <f aca="false">IF(B763="","",IF(MONTH(B763)=10,"X",""))</f>
        <v/>
      </c>
      <c r="T763" s="34" t="str">
        <f aca="false">IF(B763="","",IF(MONTH(B763)=11,"X",""))</f>
        <v/>
      </c>
      <c r="U763" s="34" t="str">
        <f aca="false">IF(B763="","",IF(MONTH(B763)=12,"X",""))</f>
        <v/>
      </c>
      <c r="V763" s="24" t="str">
        <f aca="false">IF(E763="","",COUNTIF($E$5:$E$1000,E763))</f>
        <v/>
      </c>
      <c r="W763" s="35" t="str">
        <f aca="false">IF(E763="","",_xlfn.TEXTJOIN(" + ",TRUE(),IF(COUNTIFS($E$5:$E$1000,E763,$C$5:$C$1000,"Auditoría Interna")&gt;0,"Interna",""),IF(COUNTIFS($E$5:$E$1000,E763,$C$5:$C$1000,"Auditoría Externa")&gt;0,"Externa",""),IF(COUNTIFS($E$5:$E$1000,E763,$C$5:$C$1000,"SSF")&gt;0,"SSF",""),IF(COUNTIFS($E$5:$E$1000,E763,$C$5:$C$1000,"Comité de Supervisión")&gt;0,"Comité Sup.",""),IF(COUNTIFS($E$5:$E$1000,E763,$C$5:$C$1000,"Consejo de Administración")&gt;0,"Consejo",""),IF(COUNTIFS($E$5:$E$1000,E763,$C$5:$C$1000,"Otros")&gt;0,"Otros","")))</f>
        <v/>
      </c>
      <c r="X763" s="24" t="str">
        <f aca="false">IF(E763="","",COUNTIFS($E$5:$E$1000,E763,$AB$5:$AB$1000,AB763,$C$5:$C$1000,"&lt;&gt;"&amp;C763))</f>
        <v/>
      </c>
      <c r="Y763" s="33"/>
      <c r="Z763" s="31"/>
      <c r="AA763" s="33"/>
      <c r="AB763" s="37" t="str">
        <f aca="false">IF(B763="","",YEAR(B763)*100+MONTH(B763))</f>
        <v/>
      </c>
      <c r="AC763" s="37" t="str">
        <f aca="false">IF(AND(E763&lt;&gt;"",E763=Cruce!$C$5),COUNTIF($E$5:E763,E763),"")</f>
        <v/>
      </c>
      <c r="AD763" s="37" t="str">
        <f aca="false">IF(E763="","",C763&amp;"|"&amp;Y763&amp;"|"&amp;IF(B763="","s/f",TEXT(B763,"yyyymmdd")))</f>
        <v/>
      </c>
      <c r="AE763" s="37" t="n">
        <f aca="false">IF(E763="",0,IF(COUNTIFS($E$5:E763,E763,$AD$5:AD763,AD763)=1,1,0))</f>
        <v>0</v>
      </c>
    </row>
    <row r="764" customFormat="false" ht="15" hidden="false" customHeight="true" outlineLevel="0" collapsed="false">
      <c r="A764" s="31"/>
      <c r="B764" s="30"/>
      <c r="C764" s="31"/>
      <c r="D764" s="31"/>
      <c r="E764" s="32"/>
      <c r="F764" s="32"/>
      <c r="G764" s="33"/>
      <c r="H764" s="31"/>
      <c r="I764" s="24" t="str">
        <f aca="false">IF(B764="","",YEAR(B764))</f>
        <v/>
      </c>
      <c r="J764" s="34" t="str">
        <f aca="false">IF(B764="","",IF(MONTH(B764)=1,"X",""))</f>
        <v/>
      </c>
      <c r="K764" s="34" t="str">
        <f aca="false">IF(B764="","",IF(MONTH(B764)=2,"X",""))</f>
        <v/>
      </c>
      <c r="L764" s="34" t="str">
        <f aca="false">IF(B764="","",IF(MONTH(B764)=3,"X",""))</f>
        <v/>
      </c>
      <c r="M764" s="34" t="str">
        <f aca="false">IF(B764="","",IF(MONTH(B764)=4,"X",""))</f>
        <v/>
      </c>
      <c r="N764" s="34" t="str">
        <f aca="false">IF(B764="","",IF(MONTH(B764)=5,"X",""))</f>
        <v/>
      </c>
      <c r="O764" s="34" t="str">
        <f aca="false">IF(B764="","",IF(MONTH(B764)=6,"X",""))</f>
        <v/>
      </c>
      <c r="P764" s="34" t="str">
        <f aca="false">IF(B764="","",IF(MONTH(B764)=7,"X",""))</f>
        <v/>
      </c>
      <c r="Q764" s="34" t="str">
        <f aca="false">IF(B764="","",IF(MONTH(B764)=8,"X",""))</f>
        <v/>
      </c>
      <c r="R764" s="34" t="str">
        <f aca="false">IF(B764="","",IF(MONTH(B764)=9,"X",""))</f>
        <v/>
      </c>
      <c r="S764" s="34" t="str">
        <f aca="false">IF(B764="","",IF(MONTH(B764)=10,"X",""))</f>
        <v/>
      </c>
      <c r="T764" s="34" t="str">
        <f aca="false">IF(B764="","",IF(MONTH(B764)=11,"X",""))</f>
        <v/>
      </c>
      <c r="U764" s="34" t="str">
        <f aca="false">IF(B764="","",IF(MONTH(B764)=12,"X",""))</f>
        <v/>
      </c>
      <c r="V764" s="24" t="str">
        <f aca="false">IF(E764="","",COUNTIF($E$5:$E$1000,E764))</f>
        <v/>
      </c>
      <c r="W764" s="35" t="str">
        <f aca="false">IF(E764="","",_xlfn.TEXTJOIN(" + ",TRUE(),IF(COUNTIFS($E$5:$E$1000,E764,$C$5:$C$1000,"Auditoría Interna")&gt;0,"Interna",""),IF(COUNTIFS($E$5:$E$1000,E764,$C$5:$C$1000,"Auditoría Externa")&gt;0,"Externa",""),IF(COUNTIFS($E$5:$E$1000,E764,$C$5:$C$1000,"SSF")&gt;0,"SSF",""),IF(COUNTIFS($E$5:$E$1000,E764,$C$5:$C$1000,"Comité de Supervisión")&gt;0,"Comité Sup.",""),IF(COUNTIFS($E$5:$E$1000,E764,$C$5:$C$1000,"Consejo de Administración")&gt;0,"Consejo",""),IF(COUNTIFS($E$5:$E$1000,E764,$C$5:$C$1000,"Otros")&gt;0,"Otros","")))</f>
        <v/>
      </c>
      <c r="X764" s="24" t="str">
        <f aca="false">IF(E764="","",COUNTIFS($E$5:$E$1000,E764,$AB$5:$AB$1000,AB764,$C$5:$C$1000,"&lt;&gt;"&amp;C764))</f>
        <v/>
      </c>
      <c r="Y764" s="33"/>
      <c r="Z764" s="31"/>
      <c r="AA764" s="33"/>
      <c r="AB764" s="37" t="str">
        <f aca="false">IF(B764="","",YEAR(B764)*100+MONTH(B764))</f>
        <v/>
      </c>
      <c r="AC764" s="37" t="str">
        <f aca="false">IF(AND(E764&lt;&gt;"",E764=Cruce!$C$5),COUNTIF($E$5:E764,E764),"")</f>
        <v/>
      </c>
      <c r="AD764" s="37" t="str">
        <f aca="false">IF(E764="","",C764&amp;"|"&amp;Y764&amp;"|"&amp;IF(B764="","s/f",TEXT(B764,"yyyymmdd")))</f>
        <v/>
      </c>
      <c r="AE764" s="37" t="n">
        <f aca="false">IF(E764="",0,IF(COUNTIFS($E$5:E764,E764,$AD$5:AD764,AD764)=1,1,0))</f>
        <v>0</v>
      </c>
    </row>
    <row r="765" customFormat="false" ht="15" hidden="false" customHeight="true" outlineLevel="0" collapsed="false">
      <c r="A765" s="31"/>
      <c r="B765" s="30"/>
      <c r="C765" s="31"/>
      <c r="D765" s="31"/>
      <c r="E765" s="32"/>
      <c r="F765" s="32"/>
      <c r="G765" s="33"/>
      <c r="H765" s="31"/>
      <c r="I765" s="24" t="str">
        <f aca="false">IF(B765="","",YEAR(B765))</f>
        <v/>
      </c>
      <c r="J765" s="34" t="str">
        <f aca="false">IF(B765="","",IF(MONTH(B765)=1,"X",""))</f>
        <v/>
      </c>
      <c r="K765" s="34" t="str">
        <f aca="false">IF(B765="","",IF(MONTH(B765)=2,"X",""))</f>
        <v/>
      </c>
      <c r="L765" s="34" t="str">
        <f aca="false">IF(B765="","",IF(MONTH(B765)=3,"X",""))</f>
        <v/>
      </c>
      <c r="M765" s="34" t="str">
        <f aca="false">IF(B765="","",IF(MONTH(B765)=4,"X",""))</f>
        <v/>
      </c>
      <c r="N765" s="34" t="str">
        <f aca="false">IF(B765="","",IF(MONTH(B765)=5,"X",""))</f>
        <v/>
      </c>
      <c r="O765" s="34" t="str">
        <f aca="false">IF(B765="","",IF(MONTH(B765)=6,"X",""))</f>
        <v/>
      </c>
      <c r="P765" s="34" t="str">
        <f aca="false">IF(B765="","",IF(MONTH(B765)=7,"X",""))</f>
        <v/>
      </c>
      <c r="Q765" s="34" t="str">
        <f aca="false">IF(B765="","",IF(MONTH(B765)=8,"X",""))</f>
        <v/>
      </c>
      <c r="R765" s="34" t="str">
        <f aca="false">IF(B765="","",IF(MONTH(B765)=9,"X",""))</f>
        <v/>
      </c>
      <c r="S765" s="34" t="str">
        <f aca="false">IF(B765="","",IF(MONTH(B765)=10,"X",""))</f>
        <v/>
      </c>
      <c r="T765" s="34" t="str">
        <f aca="false">IF(B765="","",IF(MONTH(B765)=11,"X",""))</f>
        <v/>
      </c>
      <c r="U765" s="34" t="str">
        <f aca="false">IF(B765="","",IF(MONTH(B765)=12,"X",""))</f>
        <v/>
      </c>
      <c r="V765" s="24" t="str">
        <f aca="false">IF(E765="","",COUNTIF($E$5:$E$1000,E765))</f>
        <v/>
      </c>
      <c r="W765" s="35" t="str">
        <f aca="false">IF(E765="","",_xlfn.TEXTJOIN(" + ",TRUE(),IF(COUNTIFS($E$5:$E$1000,E765,$C$5:$C$1000,"Auditoría Interna")&gt;0,"Interna",""),IF(COUNTIFS($E$5:$E$1000,E765,$C$5:$C$1000,"Auditoría Externa")&gt;0,"Externa",""),IF(COUNTIFS($E$5:$E$1000,E765,$C$5:$C$1000,"SSF")&gt;0,"SSF",""),IF(COUNTIFS($E$5:$E$1000,E765,$C$5:$C$1000,"Comité de Supervisión")&gt;0,"Comité Sup.",""),IF(COUNTIFS($E$5:$E$1000,E765,$C$5:$C$1000,"Consejo de Administración")&gt;0,"Consejo",""),IF(COUNTIFS($E$5:$E$1000,E765,$C$5:$C$1000,"Otros")&gt;0,"Otros","")))</f>
        <v/>
      </c>
      <c r="X765" s="24" t="str">
        <f aca="false">IF(E765="","",COUNTIFS($E$5:$E$1000,E765,$AB$5:$AB$1000,AB765,$C$5:$C$1000,"&lt;&gt;"&amp;C765))</f>
        <v/>
      </c>
      <c r="Y765" s="33"/>
      <c r="Z765" s="31"/>
      <c r="AA765" s="33"/>
      <c r="AB765" s="37" t="str">
        <f aca="false">IF(B765="","",YEAR(B765)*100+MONTH(B765))</f>
        <v/>
      </c>
      <c r="AC765" s="37" t="str">
        <f aca="false">IF(AND(E765&lt;&gt;"",E765=Cruce!$C$5),COUNTIF($E$5:E765,E765),"")</f>
        <v/>
      </c>
      <c r="AD765" s="37" t="str">
        <f aca="false">IF(E765="","",C765&amp;"|"&amp;Y765&amp;"|"&amp;IF(B765="","s/f",TEXT(B765,"yyyymmdd")))</f>
        <v/>
      </c>
      <c r="AE765" s="37" t="n">
        <f aca="false">IF(E765="",0,IF(COUNTIFS($E$5:E765,E765,$AD$5:AD765,AD765)=1,1,0))</f>
        <v>0</v>
      </c>
    </row>
    <row r="766" customFormat="false" ht="15" hidden="false" customHeight="true" outlineLevel="0" collapsed="false">
      <c r="A766" s="31"/>
      <c r="B766" s="30"/>
      <c r="C766" s="31"/>
      <c r="D766" s="31"/>
      <c r="E766" s="32"/>
      <c r="F766" s="32"/>
      <c r="G766" s="33"/>
      <c r="H766" s="31"/>
      <c r="I766" s="24" t="str">
        <f aca="false">IF(B766="","",YEAR(B766))</f>
        <v/>
      </c>
      <c r="J766" s="34" t="str">
        <f aca="false">IF(B766="","",IF(MONTH(B766)=1,"X",""))</f>
        <v/>
      </c>
      <c r="K766" s="34" t="str">
        <f aca="false">IF(B766="","",IF(MONTH(B766)=2,"X",""))</f>
        <v/>
      </c>
      <c r="L766" s="34" t="str">
        <f aca="false">IF(B766="","",IF(MONTH(B766)=3,"X",""))</f>
        <v/>
      </c>
      <c r="M766" s="34" t="str">
        <f aca="false">IF(B766="","",IF(MONTH(B766)=4,"X",""))</f>
        <v/>
      </c>
      <c r="N766" s="34" t="str">
        <f aca="false">IF(B766="","",IF(MONTH(B766)=5,"X",""))</f>
        <v/>
      </c>
      <c r="O766" s="34" t="str">
        <f aca="false">IF(B766="","",IF(MONTH(B766)=6,"X",""))</f>
        <v/>
      </c>
      <c r="P766" s="34" t="str">
        <f aca="false">IF(B766="","",IF(MONTH(B766)=7,"X",""))</f>
        <v/>
      </c>
      <c r="Q766" s="34" t="str">
        <f aca="false">IF(B766="","",IF(MONTH(B766)=8,"X",""))</f>
        <v/>
      </c>
      <c r="R766" s="34" t="str">
        <f aca="false">IF(B766="","",IF(MONTH(B766)=9,"X",""))</f>
        <v/>
      </c>
      <c r="S766" s="34" t="str">
        <f aca="false">IF(B766="","",IF(MONTH(B766)=10,"X",""))</f>
        <v/>
      </c>
      <c r="T766" s="34" t="str">
        <f aca="false">IF(B766="","",IF(MONTH(B766)=11,"X",""))</f>
        <v/>
      </c>
      <c r="U766" s="34" t="str">
        <f aca="false">IF(B766="","",IF(MONTH(B766)=12,"X",""))</f>
        <v/>
      </c>
      <c r="V766" s="24" t="str">
        <f aca="false">IF(E766="","",COUNTIF($E$5:$E$1000,E766))</f>
        <v/>
      </c>
      <c r="W766" s="35" t="str">
        <f aca="false">IF(E766="","",_xlfn.TEXTJOIN(" + ",TRUE(),IF(COUNTIFS($E$5:$E$1000,E766,$C$5:$C$1000,"Auditoría Interna")&gt;0,"Interna",""),IF(COUNTIFS($E$5:$E$1000,E766,$C$5:$C$1000,"Auditoría Externa")&gt;0,"Externa",""),IF(COUNTIFS($E$5:$E$1000,E766,$C$5:$C$1000,"SSF")&gt;0,"SSF",""),IF(COUNTIFS($E$5:$E$1000,E766,$C$5:$C$1000,"Comité de Supervisión")&gt;0,"Comité Sup.",""),IF(COUNTIFS($E$5:$E$1000,E766,$C$5:$C$1000,"Consejo de Administración")&gt;0,"Consejo",""),IF(COUNTIFS($E$5:$E$1000,E766,$C$5:$C$1000,"Otros")&gt;0,"Otros","")))</f>
        <v/>
      </c>
      <c r="X766" s="24" t="str">
        <f aca="false">IF(E766="","",COUNTIFS($E$5:$E$1000,E766,$AB$5:$AB$1000,AB766,$C$5:$C$1000,"&lt;&gt;"&amp;C766))</f>
        <v/>
      </c>
      <c r="Y766" s="33"/>
      <c r="Z766" s="31"/>
      <c r="AA766" s="33"/>
      <c r="AB766" s="37" t="str">
        <f aca="false">IF(B766="","",YEAR(B766)*100+MONTH(B766))</f>
        <v/>
      </c>
      <c r="AC766" s="37" t="str">
        <f aca="false">IF(AND(E766&lt;&gt;"",E766=Cruce!$C$5),COUNTIF($E$5:E766,E766),"")</f>
        <v/>
      </c>
      <c r="AD766" s="37" t="str">
        <f aca="false">IF(E766="","",C766&amp;"|"&amp;Y766&amp;"|"&amp;IF(B766="","s/f",TEXT(B766,"yyyymmdd")))</f>
        <v/>
      </c>
      <c r="AE766" s="37" t="n">
        <f aca="false">IF(E766="",0,IF(COUNTIFS($E$5:E766,E766,$AD$5:AD766,AD766)=1,1,0))</f>
        <v>0</v>
      </c>
    </row>
    <row r="767" customFormat="false" ht="15" hidden="false" customHeight="true" outlineLevel="0" collapsed="false">
      <c r="A767" s="31"/>
      <c r="B767" s="30"/>
      <c r="C767" s="31"/>
      <c r="D767" s="31"/>
      <c r="E767" s="32"/>
      <c r="F767" s="32"/>
      <c r="G767" s="33"/>
      <c r="H767" s="31"/>
      <c r="I767" s="24" t="str">
        <f aca="false">IF(B767="","",YEAR(B767))</f>
        <v/>
      </c>
      <c r="J767" s="34" t="str">
        <f aca="false">IF(B767="","",IF(MONTH(B767)=1,"X",""))</f>
        <v/>
      </c>
      <c r="K767" s="34" t="str">
        <f aca="false">IF(B767="","",IF(MONTH(B767)=2,"X",""))</f>
        <v/>
      </c>
      <c r="L767" s="34" t="str">
        <f aca="false">IF(B767="","",IF(MONTH(B767)=3,"X",""))</f>
        <v/>
      </c>
      <c r="M767" s="34" t="str">
        <f aca="false">IF(B767="","",IF(MONTH(B767)=4,"X",""))</f>
        <v/>
      </c>
      <c r="N767" s="34" t="str">
        <f aca="false">IF(B767="","",IF(MONTH(B767)=5,"X",""))</f>
        <v/>
      </c>
      <c r="O767" s="34" t="str">
        <f aca="false">IF(B767="","",IF(MONTH(B767)=6,"X",""))</f>
        <v/>
      </c>
      <c r="P767" s="34" t="str">
        <f aca="false">IF(B767="","",IF(MONTH(B767)=7,"X",""))</f>
        <v/>
      </c>
      <c r="Q767" s="34" t="str">
        <f aca="false">IF(B767="","",IF(MONTH(B767)=8,"X",""))</f>
        <v/>
      </c>
      <c r="R767" s="34" t="str">
        <f aca="false">IF(B767="","",IF(MONTH(B767)=9,"X",""))</f>
        <v/>
      </c>
      <c r="S767" s="34" t="str">
        <f aca="false">IF(B767="","",IF(MONTH(B767)=10,"X",""))</f>
        <v/>
      </c>
      <c r="T767" s="34" t="str">
        <f aca="false">IF(B767="","",IF(MONTH(B767)=11,"X",""))</f>
        <v/>
      </c>
      <c r="U767" s="34" t="str">
        <f aca="false">IF(B767="","",IF(MONTH(B767)=12,"X",""))</f>
        <v/>
      </c>
      <c r="V767" s="24" t="str">
        <f aca="false">IF(E767="","",COUNTIF($E$5:$E$1000,E767))</f>
        <v/>
      </c>
      <c r="W767" s="35" t="str">
        <f aca="false">IF(E767="","",_xlfn.TEXTJOIN(" + ",TRUE(),IF(COUNTIFS($E$5:$E$1000,E767,$C$5:$C$1000,"Auditoría Interna")&gt;0,"Interna",""),IF(COUNTIFS($E$5:$E$1000,E767,$C$5:$C$1000,"Auditoría Externa")&gt;0,"Externa",""),IF(COUNTIFS($E$5:$E$1000,E767,$C$5:$C$1000,"SSF")&gt;0,"SSF",""),IF(COUNTIFS($E$5:$E$1000,E767,$C$5:$C$1000,"Comité de Supervisión")&gt;0,"Comité Sup.",""),IF(COUNTIFS($E$5:$E$1000,E767,$C$5:$C$1000,"Consejo de Administración")&gt;0,"Consejo",""),IF(COUNTIFS($E$5:$E$1000,E767,$C$5:$C$1000,"Otros")&gt;0,"Otros","")))</f>
        <v/>
      </c>
      <c r="X767" s="24" t="str">
        <f aca="false">IF(E767="","",COUNTIFS($E$5:$E$1000,E767,$AB$5:$AB$1000,AB767,$C$5:$C$1000,"&lt;&gt;"&amp;C767))</f>
        <v/>
      </c>
      <c r="Y767" s="33"/>
      <c r="Z767" s="31"/>
      <c r="AA767" s="33"/>
      <c r="AB767" s="37" t="str">
        <f aca="false">IF(B767="","",YEAR(B767)*100+MONTH(B767))</f>
        <v/>
      </c>
      <c r="AC767" s="37" t="str">
        <f aca="false">IF(AND(E767&lt;&gt;"",E767=Cruce!$C$5),COUNTIF($E$5:E767,E767),"")</f>
        <v/>
      </c>
      <c r="AD767" s="37" t="str">
        <f aca="false">IF(E767="","",C767&amp;"|"&amp;Y767&amp;"|"&amp;IF(B767="","s/f",TEXT(B767,"yyyymmdd")))</f>
        <v/>
      </c>
      <c r="AE767" s="37" t="n">
        <f aca="false">IF(E767="",0,IF(COUNTIFS($E$5:E767,E767,$AD$5:AD767,AD767)=1,1,0))</f>
        <v>0</v>
      </c>
    </row>
    <row r="768" customFormat="false" ht="15" hidden="false" customHeight="true" outlineLevel="0" collapsed="false">
      <c r="A768" s="31"/>
      <c r="B768" s="30"/>
      <c r="C768" s="31"/>
      <c r="D768" s="31"/>
      <c r="E768" s="32"/>
      <c r="F768" s="32"/>
      <c r="G768" s="33"/>
      <c r="H768" s="31"/>
      <c r="I768" s="24" t="str">
        <f aca="false">IF(B768="","",YEAR(B768))</f>
        <v/>
      </c>
      <c r="J768" s="34" t="str">
        <f aca="false">IF(B768="","",IF(MONTH(B768)=1,"X",""))</f>
        <v/>
      </c>
      <c r="K768" s="34" t="str">
        <f aca="false">IF(B768="","",IF(MONTH(B768)=2,"X",""))</f>
        <v/>
      </c>
      <c r="L768" s="34" t="str">
        <f aca="false">IF(B768="","",IF(MONTH(B768)=3,"X",""))</f>
        <v/>
      </c>
      <c r="M768" s="34" t="str">
        <f aca="false">IF(B768="","",IF(MONTH(B768)=4,"X",""))</f>
        <v/>
      </c>
      <c r="N768" s="34" t="str">
        <f aca="false">IF(B768="","",IF(MONTH(B768)=5,"X",""))</f>
        <v/>
      </c>
      <c r="O768" s="34" t="str">
        <f aca="false">IF(B768="","",IF(MONTH(B768)=6,"X",""))</f>
        <v/>
      </c>
      <c r="P768" s="34" t="str">
        <f aca="false">IF(B768="","",IF(MONTH(B768)=7,"X",""))</f>
        <v/>
      </c>
      <c r="Q768" s="34" t="str">
        <f aca="false">IF(B768="","",IF(MONTH(B768)=8,"X",""))</f>
        <v/>
      </c>
      <c r="R768" s="34" t="str">
        <f aca="false">IF(B768="","",IF(MONTH(B768)=9,"X",""))</f>
        <v/>
      </c>
      <c r="S768" s="34" t="str">
        <f aca="false">IF(B768="","",IF(MONTH(B768)=10,"X",""))</f>
        <v/>
      </c>
      <c r="T768" s="34" t="str">
        <f aca="false">IF(B768="","",IF(MONTH(B768)=11,"X",""))</f>
        <v/>
      </c>
      <c r="U768" s="34" t="str">
        <f aca="false">IF(B768="","",IF(MONTH(B768)=12,"X",""))</f>
        <v/>
      </c>
      <c r="V768" s="24" t="str">
        <f aca="false">IF(E768="","",COUNTIF($E$5:$E$1000,E768))</f>
        <v/>
      </c>
      <c r="W768" s="35" t="str">
        <f aca="false">IF(E768="","",_xlfn.TEXTJOIN(" + ",TRUE(),IF(COUNTIFS($E$5:$E$1000,E768,$C$5:$C$1000,"Auditoría Interna")&gt;0,"Interna",""),IF(COUNTIFS($E$5:$E$1000,E768,$C$5:$C$1000,"Auditoría Externa")&gt;0,"Externa",""),IF(COUNTIFS($E$5:$E$1000,E768,$C$5:$C$1000,"SSF")&gt;0,"SSF",""),IF(COUNTIFS($E$5:$E$1000,E768,$C$5:$C$1000,"Comité de Supervisión")&gt;0,"Comité Sup.",""),IF(COUNTIFS($E$5:$E$1000,E768,$C$5:$C$1000,"Consejo de Administración")&gt;0,"Consejo",""),IF(COUNTIFS($E$5:$E$1000,E768,$C$5:$C$1000,"Otros")&gt;0,"Otros","")))</f>
        <v/>
      </c>
      <c r="X768" s="24" t="str">
        <f aca="false">IF(E768="","",COUNTIFS($E$5:$E$1000,E768,$AB$5:$AB$1000,AB768,$C$5:$C$1000,"&lt;&gt;"&amp;C768))</f>
        <v/>
      </c>
      <c r="Y768" s="33"/>
      <c r="Z768" s="31"/>
      <c r="AA768" s="33"/>
      <c r="AB768" s="37" t="str">
        <f aca="false">IF(B768="","",YEAR(B768)*100+MONTH(B768))</f>
        <v/>
      </c>
      <c r="AC768" s="37" t="str">
        <f aca="false">IF(AND(E768&lt;&gt;"",E768=Cruce!$C$5),COUNTIF($E$5:E768,E768),"")</f>
        <v/>
      </c>
      <c r="AD768" s="37" t="str">
        <f aca="false">IF(E768="","",C768&amp;"|"&amp;Y768&amp;"|"&amp;IF(B768="","s/f",TEXT(B768,"yyyymmdd")))</f>
        <v/>
      </c>
      <c r="AE768" s="37" t="n">
        <f aca="false">IF(E768="",0,IF(COUNTIFS($E$5:E768,E768,$AD$5:AD768,AD768)=1,1,0))</f>
        <v>0</v>
      </c>
    </row>
    <row r="769" customFormat="false" ht="15" hidden="false" customHeight="true" outlineLevel="0" collapsed="false">
      <c r="A769" s="31"/>
      <c r="B769" s="30"/>
      <c r="C769" s="31"/>
      <c r="D769" s="31"/>
      <c r="E769" s="32"/>
      <c r="F769" s="32"/>
      <c r="G769" s="33"/>
      <c r="H769" s="31"/>
      <c r="I769" s="24" t="str">
        <f aca="false">IF(B769="","",YEAR(B769))</f>
        <v/>
      </c>
      <c r="J769" s="34" t="str">
        <f aca="false">IF(B769="","",IF(MONTH(B769)=1,"X",""))</f>
        <v/>
      </c>
      <c r="K769" s="34" t="str">
        <f aca="false">IF(B769="","",IF(MONTH(B769)=2,"X",""))</f>
        <v/>
      </c>
      <c r="L769" s="34" t="str">
        <f aca="false">IF(B769="","",IF(MONTH(B769)=3,"X",""))</f>
        <v/>
      </c>
      <c r="M769" s="34" t="str">
        <f aca="false">IF(B769="","",IF(MONTH(B769)=4,"X",""))</f>
        <v/>
      </c>
      <c r="N769" s="34" t="str">
        <f aca="false">IF(B769="","",IF(MONTH(B769)=5,"X",""))</f>
        <v/>
      </c>
      <c r="O769" s="34" t="str">
        <f aca="false">IF(B769="","",IF(MONTH(B769)=6,"X",""))</f>
        <v/>
      </c>
      <c r="P769" s="34" t="str">
        <f aca="false">IF(B769="","",IF(MONTH(B769)=7,"X",""))</f>
        <v/>
      </c>
      <c r="Q769" s="34" t="str">
        <f aca="false">IF(B769="","",IF(MONTH(B769)=8,"X",""))</f>
        <v/>
      </c>
      <c r="R769" s="34" t="str">
        <f aca="false">IF(B769="","",IF(MONTH(B769)=9,"X",""))</f>
        <v/>
      </c>
      <c r="S769" s="34" t="str">
        <f aca="false">IF(B769="","",IF(MONTH(B769)=10,"X",""))</f>
        <v/>
      </c>
      <c r="T769" s="34" t="str">
        <f aca="false">IF(B769="","",IF(MONTH(B769)=11,"X",""))</f>
        <v/>
      </c>
      <c r="U769" s="34" t="str">
        <f aca="false">IF(B769="","",IF(MONTH(B769)=12,"X",""))</f>
        <v/>
      </c>
      <c r="V769" s="24" t="str">
        <f aca="false">IF(E769="","",COUNTIF($E$5:$E$1000,E769))</f>
        <v/>
      </c>
      <c r="W769" s="35" t="str">
        <f aca="false">IF(E769="","",_xlfn.TEXTJOIN(" + ",TRUE(),IF(COUNTIFS($E$5:$E$1000,E769,$C$5:$C$1000,"Auditoría Interna")&gt;0,"Interna",""),IF(COUNTIFS($E$5:$E$1000,E769,$C$5:$C$1000,"Auditoría Externa")&gt;0,"Externa",""),IF(COUNTIFS($E$5:$E$1000,E769,$C$5:$C$1000,"SSF")&gt;0,"SSF",""),IF(COUNTIFS($E$5:$E$1000,E769,$C$5:$C$1000,"Comité de Supervisión")&gt;0,"Comité Sup.",""),IF(COUNTIFS($E$5:$E$1000,E769,$C$5:$C$1000,"Consejo de Administración")&gt;0,"Consejo",""),IF(COUNTIFS($E$5:$E$1000,E769,$C$5:$C$1000,"Otros")&gt;0,"Otros","")))</f>
        <v/>
      </c>
      <c r="X769" s="24" t="str">
        <f aca="false">IF(E769="","",COUNTIFS($E$5:$E$1000,E769,$AB$5:$AB$1000,AB769,$C$5:$C$1000,"&lt;&gt;"&amp;C769))</f>
        <v/>
      </c>
      <c r="Y769" s="33"/>
      <c r="Z769" s="31"/>
      <c r="AA769" s="33"/>
      <c r="AB769" s="37" t="str">
        <f aca="false">IF(B769="","",YEAR(B769)*100+MONTH(B769))</f>
        <v/>
      </c>
      <c r="AC769" s="37" t="str">
        <f aca="false">IF(AND(E769&lt;&gt;"",E769=Cruce!$C$5),COUNTIF($E$5:E769,E769),"")</f>
        <v/>
      </c>
      <c r="AD769" s="37" t="str">
        <f aca="false">IF(E769="","",C769&amp;"|"&amp;Y769&amp;"|"&amp;IF(B769="","s/f",TEXT(B769,"yyyymmdd")))</f>
        <v/>
      </c>
      <c r="AE769" s="37" t="n">
        <f aca="false">IF(E769="",0,IF(COUNTIFS($E$5:E769,E769,$AD$5:AD769,AD769)=1,1,0))</f>
        <v>0</v>
      </c>
    </row>
    <row r="770" customFormat="false" ht="15" hidden="false" customHeight="true" outlineLevel="0" collapsed="false">
      <c r="A770" s="31"/>
      <c r="B770" s="30"/>
      <c r="C770" s="31"/>
      <c r="D770" s="31"/>
      <c r="E770" s="32"/>
      <c r="F770" s="32"/>
      <c r="G770" s="33"/>
      <c r="H770" s="31"/>
      <c r="I770" s="24" t="str">
        <f aca="false">IF(B770="","",YEAR(B770))</f>
        <v/>
      </c>
      <c r="J770" s="34" t="str">
        <f aca="false">IF(B770="","",IF(MONTH(B770)=1,"X",""))</f>
        <v/>
      </c>
      <c r="K770" s="34" t="str">
        <f aca="false">IF(B770="","",IF(MONTH(B770)=2,"X",""))</f>
        <v/>
      </c>
      <c r="L770" s="34" t="str">
        <f aca="false">IF(B770="","",IF(MONTH(B770)=3,"X",""))</f>
        <v/>
      </c>
      <c r="M770" s="34" t="str">
        <f aca="false">IF(B770="","",IF(MONTH(B770)=4,"X",""))</f>
        <v/>
      </c>
      <c r="N770" s="34" t="str">
        <f aca="false">IF(B770="","",IF(MONTH(B770)=5,"X",""))</f>
        <v/>
      </c>
      <c r="O770" s="34" t="str">
        <f aca="false">IF(B770="","",IF(MONTH(B770)=6,"X",""))</f>
        <v/>
      </c>
      <c r="P770" s="34" t="str">
        <f aca="false">IF(B770="","",IF(MONTH(B770)=7,"X",""))</f>
        <v/>
      </c>
      <c r="Q770" s="34" t="str">
        <f aca="false">IF(B770="","",IF(MONTH(B770)=8,"X",""))</f>
        <v/>
      </c>
      <c r="R770" s="34" t="str">
        <f aca="false">IF(B770="","",IF(MONTH(B770)=9,"X",""))</f>
        <v/>
      </c>
      <c r="S770" s="34" t="str">
        <f aca="false">IF(B770="","",IF(MONTH(B770)=10,"X",""))</f>
        <v/>
      </c>
      <c r="T770" s="34" t="str">
        <f aca="false">IF(B770="","",IF(MONTH(B770)=11,"X",""))</f>
        <v/>
      </c>
      <c r="U770" s="34" t="str">
        <f aca="false">IF(B770="","",IF(MONTH(B770)=12,"X",""))</f>
        <v/>
      </c>
      <c r="V770" s="24" t="str">
        <f aca="false">IF(E770="","",COUNTIF($E$5:$E$1000,E770))</f>
        <v/>
      </c>
      <c r="W770" s="35" t="str">
        <f aca="false">IF(E770="","",_xlfn.TEXTJOIN(" + ",TRUE(),IF(COUNTIFS($E$5:$E$1000,E770,$C$5:$C$1000,"Auditoría Interna")&gt;0,"Interna",""),IF(COUNTIFS($E$5:$E$1000,E770,$C$5:$C$1000,"Auditoría Externa")&gt;0,"Externa",""),IF(COUNTIFS($E$5:$E$1000,E770,$C$5:$C$1000,"SSF")&gt;0,"SSF",""),IF(COUNTIFS($E$5:$E$1000,E770,$C$5:$C$1000,"Comité de Supervisión")&gt;0,"Comité Sup.",""),IF(COUNTIFS($E$5:$E$1000,E770,$C$5:$C$1000,"Consejo de Administración")&gt;0,"Consejo",""),IF(COUNTIFS($E$5:$E$1000,E770,$C$5:$C$1000,"Otros")&gt;0,"Otros","")))</f>
        <v/>
      </c>
      <c r="X770" s="24" t="str">
        <f aca="false">IF(E770="","",COUNTIFS($E$5:$E$1000,E770,$AB$5:$AB$1000,AB770,$C$5:$C$1000,"&lt;&gt;"&amp;C770))</f>
        <v/>
      </c>
      <c r="Y770" s="33"/>
      <c r="Z770" s="31"/>
      <c r="AA770" s="33"/>
      <c r="AB770" s="37" t="str">
        <f aca="false">IF(B770="","",YEAR(B770)*100+MONTH(B770))</f>
        <v/>
      </c>
      <c r="AC770" s="37" t="str">
        <f aca="false">IF(AND(E770&lt;&gt;"",E770=Cruce!$C$5),COUNTIF($E$5:E770,E770),"")</f>
        <v/>
      </c>
      <c r="AD770" s="37" t="str">
        <f aca="false">IF(E770="","",C770&amp;"|"&amp;Y770&amp;"|"&amp;IF(B770="","s/f",TEXT(B770,"yyyymmdd")))</f>
        <v/>
      </c>
      <c r="AE770" s="37" t="n">
        <f aca="false">IF(E770="",0,IF(COUNTIFS($E$5:E770,E770,$AD$5:AD770,AD770)=1,1,0))</f>
        <v>0</v>
      </c>
    </row>
    <row r="771" customFormat="false" ht="15" hidden="false" customHeight="true" outlineLevel="0" collapsed="false">
      <c r="A771" s="31"/>
      <c r="B771" s="30"/>
      <c r="C771" s="31"/>
      <c r="D771" s="31"/>
      <c r="E771" s="32"/>
      <c r="F771" s="32"/>
      <c r="G771" s="33"/>
      <c r="H771" s="31"/>
      <c r="I771" s="24" t="str">
        <f aca="false">IF(B771="","",YEAR(B771))</f>
        <v/>
      </c>
      <c r="J771" s="34" t="str">
        <f aca="false">IF(B771="","",IF(MONTH(B771)=1,"X",""))</f>
        <v/>
      </c>
      <c r="K771" s="34" t="str">
        <f aca="false">IF(B771="","",IF(MONTH(B771)=2,"X",""))</f>
        <v/>
      </c>
      <c r="L771" s="34" t="str">
        <f aca="false">IF(B771="","",IF(MONTH(B771)=3,"X",""))</f>
        <v/>
      </c>
      <c r="M771" s="34" t="str">
        <f aca="false">IF(B771="","",IF(MONTH(B771)=4,"X",""))</f>
        <v/>
      </c>
      <c r="N771" s="34" t="str">
        <f aca="false">IF(B771="","",IF(MONTH(B771)=5,"X",""))</f>
        <v/>
      </c>
      <c r="O771" s="34" t="str">
        <f aca="false">IF(B771="","",IF(MONTH(B771)=6,"X",""))</f>
        <v/>
      </c>
      <c r="P771" s="34" t="str">
        <f aca="false">IF(B771="","",IF(MONTH(B771)=7,"X",""))</f>
        <v/>
      </c>
      <c r="Q771" s="34" t="str">
        <f aca="false">IF(B771="","",IF(MONTH(B771)=8,"X",""))</f>
        <v/>
      </c>
      <c r="R771" s="34" t="str">
        <f aca="false">IF(B771="","",IF(MONTH(B771)=9,"X",""))</f>
        <v/>
      </c>
      <c r="S771" s="34" t="str">
        <f aca="false">IF(B771="","",IF(MONTH(B771)=10,"X",""))</f>
        <v/>
      </c>
      <c r="T771" s="34" t="str">
        <f aca="false">IF(B771="","",IF(MONTH(B771)=11,"X",""))</f>
        <v/>
      </c>
      <c r="U771" s="34" t="str">
        <f aca="false">IF(B771="","",IF(MONTH(B771)=12,"X",""))</f>
        <v/>
      </c>
      <c r="V771" s="24" t="str">
        <f aca="false">IF(E771="","",COUNTIF($E$5:$E$1000,E771))</f>
        <v/>
      </c>
      <c r="W771" s="35" t="str">
        <f aca="false">IF(E771="","",_xlfn.TEXTJOIN(" + ",TRUE(),IF(COUNTIFS($E$5:$E$1000,E771,$C$5:$C$1000,"Auditoría Interna")&gt;0,"Interna",""),IF(COUNTIFS($E$5:$E$1000,E771,$C$5:$C$1000,"Auditoría Externa")&gt;0,"Externa",""),IF(COUNTIFS($E$5:$E$1000,E771,$C$5:$C$1000,"SSF")&gt;0,"SSF",""),IF(COUNTIFS($E$5:$E$1000,E771,$C$5:$C$1000,"Comité de Supervisión")&gt;0,"Comité Sup.",""),IF(COUNTIFS($E$5:$E$1000,E771,$C$5:$C$1000,"Consejo de Administración")&gt;0,"Consejo",""),IF(COUNTIFS($E$5:$E$1000,E771,$C$5:$C$1000,"Otros")&gt;0,"Otros","")))</f>
        <v/>
      </c>
      <c r="X771" s="24" t="str">
        <f aca="false">IF(E771="","",COUNTIFS($E$5:$E$1000,E771,$AB$5:$AB$1000,AB771,$C$5:$C$1000,"&lt;&gt;"&amp;C771))</f>
        <v/>
      </c>
      <c r="Y771" s="33"/>
      <c r="Z771" s="31"/>
      <c r="AA771" s="33"/>
      <c r="AB771" s="37" t="str">
        <f aca="false">IF(B771="","",YEAR(B771)*100+MONTH(B771))</f>
        <v/>
      </c>
      <c r="AC771" s="37" t="str">
        <f aca="false">IF(AND(E771&lt;&gt;"",E771=Cruce!$C$5),COUNTIF($E$5:E771,E771),"")</f>
        <v/>
      </c>
      <c r="AD771" s="37" t="str">
        <f aca="false">IF(E771="","",C771&amp;"|"&amp;Y771&amp;"|"&amp;IF(B771="","s/f",TEXT(B771,"yyyymmdd")))</f>
        <v/>
      </c>
      <c r="AE771" s="37" t="n">
        <f aca="false">IF(E771="",0,IF(COUNTIFS($E$5:E771,E771,$AD$5:AD771,AD771)=1,1,0))</f>
        <v>0</v>
      </c>
    </row>
    <row r="772" customFormat="false" ht="15" hidden="false" customHeight="true" outlineLevel="0" collapsed="false">
      <c r="A772" s="31"/>
      <c r="B772" s="30"/>
      <c r="C772" s="31"/>
      <c r="D772" s="31"/>
      <c r="E772" s="32"/>
      <c r="F772" s="32"/>
      <c r="G772" s="33"/>
      <c r="H772" s="31"/>
      <c r="I772" s="24" t="str">
        <f aca="false">IF(B772="","",YEAR(B772))</f>
        <v/>
      </c>
      <c r="J772" s="34" t="str">
        <f aca="false">IF(B772="","",IF(MONTH(B772)=1,"X",""))</f>
        <v/>
      </c>
      <c r="K772" s="34" t="str">
        <f aca="false">IF(B772="","",IF(MONTH(B772)=2,"X",""))</f>
        <v/>
      </c>
      <c r="L772" s="34" t="str">
        <f aca="false">IF(B772="","",IF(MONTH(B772)=3,"X",""))</f>
        <v/>
      </c>
      <c r="M772" s="34" t="str">
        <f aca="false">IF(B772="","",IF(MONTH(B772)=4,"X",""))</f>
        <v/>
      </c>
      <c r="N772" s="34" t="str">
        <f aca="false">IF(B772="","",IF(MONTH(B772)=5,"X",""))</f>
        <v/>
      </c>
      <c r="O772" s="34" t="str">
        <f aca="false">IF(B772="","",IF(MONTH(B772)=6,"X",""))</f>
        <v/>
      </c>
      <c r="P772" s="34" t="str">
        <f aca="false">IF(B772="","",IF(MONTH(B772)=7,"X",""))</f>
        <v/>
      </c>
      <c r="Q772" s="34" t="str">
        <f aca="false">IF(B772="","",IF(MONTH(B772)=8,"X",""))</f>
        <v/>
      </c>
      <c r="R772" s="34" t="str">
        <f aca="false">IF(B772="","",IF(MONTH(B772)=9,"X",""))</f>
        <v/>
      </c>
      <c r="S772" s="34" t="str">
        <f aca="false">IF(B772="","",IF(MONTH(B772)=10,"X",""))</f>
        <v/>
      </c>
      <c r="T772" s="34" t="str">
        <f aca="false">IF(B772="","",IF(MONTH(B772)=11,"X",""))</f>
        <v/>
      </c>
      <c r="U772" s="34" t="str">
        <f aca="false">IF(B772="","",IF(MONTH(B772)=12,"X",""))</f>
        <v/>
      </c>
      <c r="V772" s="24" t="str">
        <f aca="false">IF(E772="","",COUNTIF($E$5:$E$1000,E772))</f>
        <v/>
      </c>
      <c r="W772" s="35" t="str">
        <f aca="false">IF(E772="","",_xlfn.TEXTJOIN(" + ",TRUE(),IF(COUNTIFS($E$5:$E$1000,E772,$C$5:$C$1000,"Auditoría Interna")&gt;0,"Interna",""),IF(COUNTIFS($E$5:$E$1000,E772,$C$5:$C$1000,"Auditoría Externa")&gt;0,"Externa",""),IF(COUNTIFS($E$5:$E$1000,E772,$C$5:$C$1000,"SSF")&gt;0,"SSF",""),IF(COUNTIFS($E$5:$E$1000,E772,$C$5:$C$1000,"Comité de Supervisión")&gt;0,"Comité Sup.",""),IF(COUNTIFS($E$5:$E$1000,E772,$C$5:$C$1000,"Consejo de Administración")&gt;0,"Consejo",""),IF(COUNTIFS($E$5:$E$1000,E772,$C$5:$C$1000,"Otros")&gt;0,"Otros","")))</f>
        <v/>
      </c>
      <c r="X772" s="24" t="str">
        <f aca="false">IF(E772="","",COUNTIFS($E$5:$E$1000,E772,$AB$5:$AB$1000,AB772,$C$5:$C$1000,"&lt;&gt;"&amp;C772))</f>
        <v/>
      </c>
      <c r="Y772" s="33"/>
      <c r="Z772" s="31"/>
      <c r="AA772" s="33"/>
      <c r="AB772" s="37" t="str">
        <f aca="false">IF(B772="","",YEAR(B772)*100+MONTH(B772))</f>
        <v/>
      </c>
      <c r="AC772" s="37" t="str">
        <f aca="false">IF(AND(E772&lt;&gt;"",E772=Cruce!$C$5),COUNTIF($E$5:E772,E772),"")</f>
        <v/>
      </c>
      <c r="AD772" s="37" t="str">
        <f aca="false">IF(E772="","",C772&amp;"|"&amp;Y772&amp;"|"&amp;IF(B772="","s/f",TEXT(B772,"yyyymmdd")))</f>
        <v/>
      </c>
      <c r="AE772" s="37" t="n">
        <f aca="false">IF(E772="",0,IF(COUNTIFS($E$5:E772,E772,$AD$5:AD772,AD772)=1,1,0))</f>
        <v>0</v>
      </c>
    </row>
    <row r="773" customFormat="false" ht="15" hidden="false" customHeight="true" outlineLevel="0" collapsed="false">
      <c r="A773" s="31"/>
      <c r="B773" s="30"/>
      <c r="C773" s="31"/>
      <c r="D773" s="31"/>
      <c r="E773" s="32"/>
      <c r="F773" s="32"/>
      <c r="G773" s="33"/>
      <c r="H773" s="31"/>
      <c r="I773" s="24" t="str">
        <f aca="false">IF(B773="","",YEAR(B773))</f>
        <v/>
      </c>
      <c r="J773" s="34" t="str">
        <f aca="false">IF(B773="","",IF(MONTH(B773)=1,"X",""))</f>
        <v/>
      </c>
      <c r="K773" s="34" t="str">
        <f aca="false">IF(B773="","",IF(MONTH(B773)=2,"X",""))</f>
        <v/>
      </c>
      <c r="L773" s="34" t="str">
        <f aca="false">IF(B773="","",IF(MONTH(B773)=3,"X",""))</f>
        <v/>
      </c>
      <c r="M773" s="34" t="str">
        <f aca="false">IF(B773="","",IF(MONTH(B773)=4,"X",""))</f>
        <v/>
      </c>
      <c r="N773" s="34" t="str">
        <f aca="false">IF(B773="","",IF(MONTH(B773)=5,"X",""))</f>
        <v/>
      </c>
      <c r="O773" s="34" t="str">
        <f aca="false">IF(B773="","",IF(MONTH(B773)=6,"X",""))</f>
        <v/>
      </c>
      <c r="P773" s="34" t="str">
        <f aca="false">IF(B773="","",IF(MONTH(B773)=7,"X",""))</f>
        <v/>
      </c>
      <c r="Q773" s="34" t="str">
        <f aca="false">IF(B773="","",IF(MONTH(B773)=8,"X",""))</f>
        <v/>
      </c>
      <c r="R773" s="34" t="str">
        <f aca="false">IF(B773="","",IF(MONTH(B773)=9,"X",""))</f>
        <v/>
      </c>
      <c r="S773" s="34" t="str">
        <f aca="false">IF(B773="","",IF(MONTH(B773)=10,"X",""))</f>
        <v/>
      </c>
      <c r="T773" s="34" t="str">
        <f aca="false">IF(B773="","",IF(MONTH(B773)=11,"X",""))</f>
        <v/>
      </c>
      <c r="U773" s="34" t="str">
        <f aca="false">IF(B773="","",IF(MONTH(B773)=12,"X",""))</f>
        <v/>
      </c>
      <c r="V773" s="24" t="str">
        <f aca="false">IF(E773="","",COUNTIF($E$5:$E$1000,E773))</f>
        <v/>
      </c>
      <c r="W773" s="35" t="str">
        <f aca="false">IF(E773="","",_xlfn.TEXTJOIN(" + ",TRUE(),IF(COUNTIFS($E$5:$E$1000,E773,$C$5:$C$1000,"Auditoría Interna")&gt;0,"Interna",""),IF(COUNTIFS($E$5:$E$1000,E773,$C$5:$C$1000,"Auditoría Externa")&gt;0,"Externa",""),IF(COUNTIFS($E$5:$E$1000,E773,$C$5:$C$1000,"SSF")&gt;0,"SSF",""),IF(COUNTIFS($E$5:$E$1000,E773,$C$5:$C$1000,"Comité de Supervisión")&gt;0,"Comité Sup.",""),IF(COUNTIFS($E$5:$E$1000,E773,$C$5:$C$1000,"Consejo de Administración")&gt;0,"Consejo",""),IF(COUNTIFS($E$5:$E$1000,E773,$C$5:$C$1000,"Otros")&gt;0,"Otros","")))</f>
        <v/>
      </c>
      <c r="X773" s="24" t="str">
        <f aca="false">IF(E773="","",COUNTIFS($E$5:$E$1000,E773,$AB$5:$AB$1000,AB773,$C$5:$C$1000,"&lt;&gt;"&amp;C773))</f>
        <v/>
      </c>
      <c r="Y773" s="33"/>
      <c r="Z773" s="31"/>
      <c r="AA773" s="33"/>
      <c r="AB773" s="37" t="str">
        <f aca="false">IF(B773="","",YEAR(B773)*100+MONTH(B773))</f>
        <v/>
      </c>
      <c r="AC773" s="37" t="str">
        <f aca="false">IF(AND(E773&lt;&gt;"",E773=Cruce!$C$5),COUNTIF($E$5:E773,E773),"")</f>
        <v/>
      </c>
      <c r="AD773" s="37" t="str">
        <f aca="false">IF(E773="","",C773&amp;"|"&amp;Y773&amp;"|"&amp;IF(B773="","s/f",TEXT(B773,"yyyymmdd")))</f>
        <v/>
      </c>
      <c r="AE773" s="37" t="n">
        <f aca="false">IF(E773="",0,IF(COUNTIFS($E$5:E773,E773,$AD$5:AD773,AD773)=1,1,0))</f>
        <v>0</v>
      </c>
    </row>
    <row r="774" customFormat="false" ht="15" hidden="false" customHeight="true" outlineLevel="0" collapsed="false">
      <c r="A774" s="31"/>
      <c r="B774" s="30"/>
      <c r="C774" s="31"/>
      <c r="D774" s="31"/>
      <c r="E774" s="32"/>
      <c r="F774" s="32"/>
      <c r="G774" s="33"/>
      <c r="H774" s="31"/>
      <c r="I774" s="24" t="str">
        <f aca="false">IF(B774="","",YEAR(B774))</f>
        <v/>
      </c>
      <c r="J774" s="34" t="str">
        <f aca="false">IF(B774="","",IF(MONTH(B774)=1,"X",""))</f>
        <v/>
      </c>
      <c r="K774" s="34" t="str">
        <f aca="false">IF(B774="","",IF(MONTH(B774)=2,"X",""))</f>
        <v/>
      </c>
      <c r="L774" s="34" t="str">
        <f aca="false">IF(B774="","",IF(MONTH(B774)=3,"X",""))</f>
        <v/>
      </c>
      <c r="M774" s="34" t="str">
        <f aca="false">IF(B774="","",IF(MONTH(B774)=4,"X",""))</f>
        <v/>
      </c>
      <c r="N774" s="34" t="str">
        <f aca="false">IF(B774="","",IF(MONTH(B774)=5,"X",""))</f>
        <v/>
      </c>
      <c r="O774" s="34" t="str">
        <f aca="false">IF(B774="","",IF(MONTH(B774)=6,"X",""))</f>
        <v/>
      </c>
      <c r="P774" s="34" t="str">
        <f aca="false">IF(B774="","",IF(MONTH(B774)=7,"X",""))</f>
        <v/>
      </c>
      <c r="Q774" s="34" t="str">
        <f aca="false">IF(B774="","",IF(MONTH(B774)=8,"X",""))</f>
        <v/>
      </c>
      <c r="R774" s="34" t="str">
        <f aca="false">IF(B774="","",IF(MONTH(B774)=9,"X",""))</f>
        <v/>
      </c>
      <c r="S774" s="34" t="str">
        <f aca="false">IF(B774="","",IF(MONTH(B774)=10,"X",""))</f>
        <v/>
      </c>
      <c r="T774" s="34" t="str">
        <f aca="false">IF(B774="","",IF(MONTH(B774)=11,"X",""))</f>
        <v/>
      </c>
      <c r="U774" s="34" t="str">
        <f aca="false">IF(B774="","",IF(MONTH(B774)=12,"X",""))</f>
        <v/>
      </c>
      <c r="V774" s="24" t="str">
        <f aca="false">IF(E774="","",COUNTIF($E$5:$E$1000,E774))</f>
        <v/>
      </c>
      <c r="W774" s="35" t="str">
        <f aca="false">IF(E774="","",_xlfn.TEXTJOIN(" + ",TRUE(),IF(COUNTIFS($E$5:$E$1000,E774,$C$5:$C$1000,"Auditoría Interna")&gt;0,"Interna",""),IF(COUNTIFS($E$5:$E$1000,E774,$C$5:$C$1000,"Auditoría Externa")&gt;0,"Externa",""),IF(COUNTIFS($E$5:$E$1000,E774,$C$5:$C$1000,"SSF")&gt;0,"SSF",""),IF(COUNTIFS($E$5:$E$1000,E774,$C$5:$C$1000,"Comité de Supervisión")&gt;0,"Comité Sup.",""),IF(COUNTIFS($E$5:$E$1000,E774,$C$5:$C$1000,"Consejo de Administración")&gt;0,"Consejo",""),IF(COUNTIFS($E$5:$E$1000,E774,$C$5:$C$1000,"Otros")&gt;0,"Otros","")))</f>
        <v/>
      </c>
      <c r="X774" s="24" t="str">
        <f aca="false">IF(E774="","",COUNTIFS($E$5:$E$1000,E774,$AB$5:$AB$1000,AB774,$C$5:$C$1000,"&lt;&gt;"&amp;C774))</f>
        <v/>
      </c>
      <c r="Y774" s="33"/>
      <c r="Z774" s="31"/>
      <c r="AA774" s="33"/>
      <c r="AB774" s="37" t="str">
        <f aca="false">IF(B774="","",YEAR(B774)*100+MONTH(B774))</f>
        <v/>
      </c>
      <c r="AC774" s="37" t="str">
        <f aca="false">IF(AND(E774&lt;&gt;"",E774=Cruce!$C$5),COUNTIF($E$5:E774,E774),"")</f>
        <v/>
      </c>
      <c r="AD774" s="37" t="str">
        <f aca="false">IF(E774="","",C774&amp;"|"&amp;Y774&amp;"|"&amp;IF(B774="","s/f",TEXT(B774,"yyyymmdd")))</f>
        <v/>
      </c>
      <c r="AE774" s="37" t="n">
        <f aca="false">IF(E774="",0,IF(COUNTIFS($E$5:E774,E774,$AD$5:AD774,AD774)=1,1,0))</f>
        <v>0</v>
      </c>
    </row>
    <row r="775" customFormat="false" ht="15" hidden="false" customHeight="true" outlineLevel="0" collapsed="false">
      <c r="A775" s="31"/>
      <c r="B775" s="30"/>
      <c r="C775" s="31"/>
      <c r="D775" s="31"/>
      <c r="E775" s="32"/>
      <c r="F775" s="32"/>
      <c r="G775" s="33"/>
      <c r="H775" s="31"/>
      <c r="I775" s="24" t="str">
        <f aca="false">IF(B775="","",YEAR(B775))</f>
        <v/>
      </c>
      <c r="J775" s="34" t="str">
        <f aca="false">IF(B775="","",IF(MONTH(B775)=1,"X",""))</f>
        <v/>
      </c>
      <c r="K775" s="34" t="str">
        <f aca="false">IF(B775="","",IF(MONTH(B775)=2,"X",""))</f>
        <v/>
      </c>
      <c r="L775" s="34" t="str">
        <f aca="false">IF(B775="","",IF(MONTH(B775)=3,"X",""))</f>
        <v/>
      </c>
      <c r="M775" s="34" t="str">
        <f aca="false">IF(B775="","",IF(MONTH(B775)=4,"X",""))</f>
        <v/>
      </c>
      <c r="N775" s="34" t="str">
        <f aca="false">IF(B775="","",IF(MONTH(B775)=5,"X",""))</f>
        <v/>
      </c>
      <c r="O775" s="34" t="str">
        <f aca="false">IF(B775="","",IF(MONTH(B775)=6,"X",""))</f>
        <v/>
      </c>
      <c r="P775" s="34" t="str">
        <f aca="false">IF(B775="","",IF(MONTH(B775)=7,"X",""))</f>
        <v/>
      </c>
      <c r="Q775" s="34" t="str">
        <f aca="false">IF(B775="","",IF(MONTH(B775)=8,"X",""))</f>
        <v/>
      </c>
      <c r="R775" s="34" t="str">
        <f aca="false">IF(B775="","",IF(MONTH(B775)=9,"X",""))</f>
        <v/>
      </c>
      <c r="S775" s="34" t="str">
        <f aca="false">IF(B775="","",IF(MONTH(B775)=10,"X",""))</f>
        <v/>
      </c>
      <c r="T775" s="34" t="str">
        <f aca="false">IF(B775="","",IF(MONTH(B775)=11,"X",""))</f>
        <v/>
      </c>
      <c r="U775" s="34" t="str">
        <f aca="false">IF(B775="","",IF(MONTH(B775)=12,"X",""))</f>
        <v/>
      </c>
      <c r="V775" s="24" t="str">
        <f aca="false">IF(E775="","",COUNTIF($E$5:$E$1000,E775))</f>
        <v/>
      </c>
      <c r="W775" s="35" t="str">
        <f aca="false">IF(E775="","",_xlfn.TEXTJOIN(" + ",TRUE(),IF(COUNTIFS($E$5:$E$1000,E775,$C$5:$C$1000,"Auditoría Interna")&gt;0,"Interna",""),IF(COUNTIFS($E$5:$E$1000,E775,$C$5:$C$1000,"Auditoría Externa")&gt;0,"Externa",""),IF(COUNTIFS($E$5:$E$1000,E775,$C$5:$C$1000,"SSF")&gt;0,"SSF",""),IF(COUNTIFS($E$5:$E$1000,E775,$C$5:$C$1000,"Comité de Supervisión")&gt;0,"Comité Sup.",""),IF(COUNTIFS($E$5:$E$1000,E775,$C$5:$C$1000,"Consejo de Administración")&gt;0,"Consejo",""),IF(COUNTIFS($E$5:$E$1000,E775,$C$5:$C$1000,"Otros")&gt;0,"Otros","")))</f>
        <v/>
      </c>
      <c r="X775" s="24" t="str">
        <f aca="false">IF(E775="","",COUNTIFS($E$5:$E$1000,E775,$AB$5:$AB$1000,AB775,$C$5:$C$1000,"&lt;&gt;"&amp;C775))</f>
        <v/>
      </c>
      <c r="Y775" s="33"/>
      <c r="Z775" s="31"/>
      <c r="AA775" s="33"/>
      <c r="AB775" s="37" t="str">
        <f aca="false">IF(B775="","",YEAR(B775)*100+MONTH(B775))</f>
        <v/>
      </c>
      <c r="AC775" s="37" t="str">
        <f aca="false">IF(AND(E775&lt;&gt;"",E775=Cruce!$C$5),COUNTIF($E$5:E775,E775),"")</f>
        <v/>
      </c>
      <c r="AD775" s="37" t="str">
        <f aca="false">IF(E775="","",C775&amp;"|"&amp;Y775&amp;"|"&amp;IF(B775="","s/f",TEXT(B775,"yyyymmdd")))</f>
        <v/>
      </c>
      <c r="AE775" s="37" t="n">
        <f aca="false">IF(E775="",0,IF(COUNTIFS($E$5:E775,E775,$AD$5:AD775,AD775)=1,1,0))</f>
        <v>0</v>
      </c>
    </row>
    <row r="776" customFormat="false" ht="15" hidden="false" customHeight="true" outlineLevel="0" collapsed="false">
      <c r="A776" s="31"/>
      <c r="B776" s="30"/>
      <c r="C776" s="31"/>
      <c r="D776" s="31"/>
      <c r="E776" s="32"/>
      <c r="F776" s="32"/>
      <c r="G776" s="33"/>
      <c r="H776" s="31"/>
      <c r="I776" s="24" t="str">
        <f aca="false">IF(B776="","",YEAR(B776))</f>
        <v/>
      </c>
      <c r="J776" s="34" t="str">
        <f aca="false">IF(B776="","",IF(MONTH(B776)=1,"X",""))</f>
        <v/>
      </c>
      <c r="K776" s="34" t="str">
        <f aca="false">IF(B776="","",IF(MONTH(B776)=2,"X",""))</f>
        <v/>
      </c>
      <c r="L776" s="34" t="str">
        <f aca="false">IF(B776="","",IF(MONTH(B776)=3,"X",""))</f>
        <v/>
      </c>
      <c r="M776" s="34" t="str">
        <f aca="false">IF(B776="","",IF(MONTH(B776)=4,"X",""))</f>
        <v/>
      </c>
      <c r="N776" s="34" t="str">
        <f aca="false">IF(B776="","",IF(MONTH(B776)=5,"X",""))</f>
        <v/>
      </c>
      <c r="O776" s="34" t="str">
        <f aca="false">IF(B776="","",IF(MONTH(B776)=6,"X",""))</f>
        <v/>
      </c>
      <c r="P776" s="34" t="str">
        <f aca="false">IF(B776="","",IF(MONTH(B776)=7,"X",""))</f>
        <v/>
      </c>
      <c r="Q776" s="34" t="str">
        <f aca="false">IF(B776="","",IF(MONTH(B776)=8,"X",""))</f>
        <v/>
      </c>
      <c r="R776" s="34" t="str">
        <f aca="false">IF(B776="","",IF(MONTH(B776)=9,"X",""))</f>
        <v/>
      </c>
      <c r="S776" s="34" t="str">
        <f aca="false">IF(B776="","",IF(MONTH(B776)=10,"X",""))</f>
        <v/>
      </c>
      <c r="T776" s="34" t="str">
        <f aca="false">IF(B776="","",IF(MONTH(B776)=11,"X",""))</f>
        <v/>
      </c>
      <c r="U776" s="34" t="str">
        <f aca="false">IF(B776="","",IF(MONTH(B776)=12,"X",""))</f>
        <v/>
      </c>
      <c r="V776" s="24" t="str">
        <f aca="false">IF(E776="","",COUNTIF($E$5:$E$1000,E776))</f>
        <v/>
      </c>
      <c r="W776" s="35" t="str">
        <f aca="false">IF(E776="","",_xlfn.TEXTJOIN(" + ",TRUE(),IF(COUNTIFS($E$5:$E$1000,E776,$C$5:$C$1000,"Auditoría Interna")&gt;0,"Interna",""),IF(COUNTIFS($E$5:$E$1000,E776,$C$5:$C$1000,"Auditoría Externa")&gt;0,"Externa",""),IF(COUNTIFS($E$5:$E$1000,E776,$C$5:$C$1000,"SSF")&gt;0,"SSF",""),IF(COUNTIFS($E$5:$E$1000,E776,$C$5:$C$1000,"Comité de Supervisión")&gt;0,"Comité Sup.",""),IF(COUNTIFS($E$5:$E$1000,E776,$C$5:$C$1000,"Consejo de Administración")&gt;0,"Consejo",""),IF(COUNTIFS($E$5:$E$1000,E776,$C$5:$C$1000,"Otros")&gt;0,"Otros","")))</f>
        <v/>
      </c>
      <c r="X776" s="24" t="str">
        <f aca="false">IF(E776="","",COUNTIFS($E$5:$E$1000,E776,$AB$5:$AB$1000,AB776,$C$5:$C$1000,"&lt;&gt;"&amp;C776))</f>
        <v/>
      </c>
      <c r="Y776" s="33"/>
      <c r="Z776" s="31"/>
      <c r="AA776" s="33"/>
      <c r="AB776" s="37" t="str">
        <f aca="false">IF(B776="","",YEAR(B776)*100+MONTH(B776))</f>
        <v/>
      </c>
      <c r="AC776" s="37" t="str">
        <f aca="false">IF(AND(E776&lt;&gt;"",E776=Cruce!$C$5),COUNTIF($E$5:E776,E776),"")</f>
        <v/>
      </c>
      <c r="AD776" s="37" t="str">
        <f aca="false">IF(E776="","",C776&amp;"|"&amp;Y776&amp;"|"&amp;IF(B776="","s/f",TEXT(B776,"yyyymmdd")))</f>
        <v/>
      </c>
      <c r="AE776" s="37" t="n">
        <f aca="false">IF(E776="",0,IF(COUNTIFS($E$5:E776,E776,$AD$5:AD776,AD776)=1,1,0))</f>
        <v>0</v>
      </c>
    </row>
    <row r="777" customFormat="false" ht="15" hidden="false" customHeight="true" outlineLevel="0" collapsed="false">
      <c r="A777" s="31"/>
      <c r="B777" s="30"/>
      <c r="C777" s="31"/>
      <c r="D777" s="31"/>
      <c r="E777" s="32"/>
      <c r="F777" s="32"/>
      <c r="G777" s="33"/>
      <c r="H777" s="31"/>
      <c r="I777" s="24" t="str">
        <f aca="false">IF(B777="","",YEAR(B777))</f>
        <v/>
      </c>
      <c r="J777" s="34" t="str">
        <f aca="false">IF(B777="","",IF(MONTH(B777)=1,"X",""))</f>
        <v/>
      </c>
      <c r="K777" s="34" t="str">
        <f aca="false">IF(B777="","",IF(MONTH(B777)=2,"X",""))</f>
        <v/>
      </c>
      <c r="L777" s="34" t="str">
        <f aca="false">IF(B777="","",IF(MONTH(B777)=3,"X",""))</f>
        <v/>
      </c>
      <c r="M777" s="34" t="str">
        <f aca="false">IF(B777="","",IF(MONTH(B777)=4,"X",""))</f>
        <v/>
      </c>
      <c r="N777" s="34" t="str">
        <f aca="false">IF(B777="","",IF(MONTH(B777)=5,"X",""))</f>
        <v/>
      </c>
      <c r="O777" s="34" t="str">
        <f aca="false">IF(B777="","",IF(MONTH(B777)=6,"X",""))</f>
        <v/>
      </c>
      <c r="P777" s="34" t="str">
        <f aca="false">IF(B777="","",IF(MONTH(B777)=7,"X",""))</f>
        <v/>
      </c>
      <c r="Q777" s="34" t="str">
        <f aca="false">IF(B777="","",IF(MONTH(B777)=8,"X",""))</f>
        <v/>
      </c>
      <c r="R777" s="34" t="str">
        <f aca="false">IF(B777="","",IF(MONTH(B777)=9,"X",""))</f>
        <v/>
      </c>
      <c r="S777" s="34" t="str">
        <f aca="false">IF(B777="","",IF(MONTH(B777)=10,"X",""))</f>
        <v/>
      </c>
      <c r="T777" s="34" t="str">
        <f aca="false">IF(B777="","",IF(MONTH(B777)=11,"X",""))</f>
        <v/>
      </c>
      <c r="U777" s="34" t="str">
        <f aca="false">IF(B777="","",IF(MONTH(B777)=12,"X",""))</f>
        <v/>
      </c>
      <c r="V777" s="24" t="str">
        <f aca="false">IF(E777="","",COUNTIF($E$5:$E$1000,E777))</f>
        <v/>
      </c>
      <c r="W777" s="35" t="str">
        <f aca="false">IF(E777="","",_xlfn.TEXTJOIN(" + ",TRUE(),IF(COUNTIFS($E$5:$E$1000,E777,$C$5:$C$1000,"Auditoría Interna")&gt;0,"Interna",""),IF(COUNTIFS($E$5:$E$1000,E777,$C$5:$C$1000,"Auditoría Externa")&gt;0,"Externa",""),IF(COUNTIFS($E$5:$E$1000,E777,$C$5:$C$1000,"SSF")&gt;0,"SSF",""),IF(COUNTIFS($E$5:$E$1000,E777,$C$5:$C$1000,"Comité de Supervisión")&gt;0,"Comité Sup.",""),IF(COUNTIFS($E$5:$E$1000,E777,$C$5:$C$1000,"Consejo de Administración")&gt;0,"Consejo",""),IF(COUNTIFS($E$5:$E$1000,E777,$C$5:$C$1000,"Otros")&gt;0,"Otros","")))</f>
        <v/>
      </c>
      <c r="X777" s="24" t="str">
        <f aca="false">IF(E777="","",COUNTIFS($E$5:$E$1000,E777,$AB$5:$AB$1000,AB777,$C$5:$C$1000,"&lt;&gt;"&amp;C777))</f>
        <v/>
      </c>
      <c r="Y777" s="33"/>
      <c r="Z777" s="31"/>
      <c r="AA777" s="33"/>
      <c r="AB777" s="37" t="str">
        <f aca="false">IF(B777="","",YEAR(B777)*100+MONTH(B777))</f>
        <v/>
      </c>
      <c r="AC777" s="37" t="str">
        <f aca="false">IF(AND(E777&lt;&gt;"",E777=Cruce!$C$5),COUNTIF($E$5:E777,E777),"")</f>
        <v/>
      </c>
      <c r="AD777" s="37" t="str">
        <f aca="false">IF(E777="","",C777&amp;"|"&amp;Y777&amp;"|"&amp;IF(B777="","s/f",TEXT(B777,"yyyymmdd")))</f>
        <v/>
      </c>
      <c r="AE777" s="37" t="n">
        <f aca="false">IF(E777="",0,IF(COUNTIFS($E$5:E777,E777,$AD$5:AD777,AD777)=1,1,0))</f>
        <v>0</v>
      </c>
    </row>
    <row r="778" customFormat="false" ht="15" hidden="false" customHeight="true" outlineLevel="0" collapsed="false">
      <c r="A778" s="31"/>
      <c r="B778" s="30"/>
      <c r="C778" s="31"/>
      <c r="D778" s="31"/>
      <c r="E778" s="32"/>
      <c r="F778" s="32"/>
      <c r="G778" s="33"/>
      <c r="H778" s="31"/>
      <c r="I778" s="24" t="str">
        <f aca="false">IF(B778="","",YEAR(B778))</f>
        <v/>
      </c>
      <c r="J778" s="34" t="str">
        <f aca="false">IF(B778="","",IF(MONTH(B778)=1,"X",""))</f>
        <v/>
      </c>
      <c r="K778" s="34" t="str">
        <f aca="false">IF(B778="","",IF(MONTH(B778)=2,"X",""))</f>
        <v/>
      </c>
      <c r="L778" s="34" t="str">
        <f aca="false">IF(B778="","",IF(MONTH(B778)=3,"X",""))</f>
        <v/>
      </c>
      <c r="M778" s="34" t="str">
        <f aca="false">IF(B778="","",IF(MONTH(B778)=4,"X",""))</f>
        <v/>
      </c>
      <c r="N778" s="34" t="str">
        <f aca="false">IF(B778="","",IF(MONTH(B778)=5,"X",""))</f>
        <v/>
      </c>
      <c r="O778" s="34" t="str">
        <f aca="false">IF(B778="","",IF(MONTH(B778)=6,"X",""))</f>
        <v/>
      </c>
      <c r="P778" s="34" t="str">
        <f aca="false">IF(B778="","",IF(MONTH(B778)=7,"X",""))</f>
        <v/>
      </c>
      <c r="Q778" s="34" t="str">
        <f aca="false">IF(B778="","",IF(MONTH(B778)=8,"X",""))</f>
        <v/>
      </c>
      <c r="R778" s="34" t="str">
        <f aca="false">IF(B778="","",IF(MONTH(B778)=9,"X",""))</f>
        <v/>
      </c>
      <c r="S778" s="34" t="str">
        <f aca="false">IF(B778="","",IF(MONTH(B778)=10,"X",""))</f>
        <v/>
      </c>
      <c r="T778" s="34" t="str">
        <f aca="false">IF(B778="","",IF(MONTH(B778)=11,"X",""))</f>
        <v/>
      </c>
      <c r="U778" s="34" t="str">
        <f aca="false">IF(B778="","",IF(MONTH(B778)=12,"X",""))</f>
        <v/>
      </c>
      <c r="V778" s="24" t="str">
        <f aca="false">IF(E778="","",COUNTIF($E$5:$E$1000,E778))</f>
        <v/>
      </c>
      <c r="W778" s="35" t="str">
        <f aca="false">IF(E778="","",_xlfn.TEXTJOIN(" + ",TRUE(),IF(COUNTIFS($E$5:$E$1000,E778,$C$5:$C$1000,"Auditoría Interna")&gt;0,"Interna",""),IF(COUNTIFS($E$5:$E$1000,E778,$C$5:$C$1000,"Auditoría Externa")&gt;0,"Externa",""),IF(COUNTIFS($E$5:$E$1000,E778,$C$5:$C$1000,"SSF")&gt;0,"SSF",""),IF(COUNTIFS($E$5:$E$1000,E778,$C$5:$C$1000,"Comité de Supervisión")&gt;0,"Comité Sup.",""),IF(COUNTIFS($E$5:$E$1000,E778,$C$5:$C$1000,"Consejo de Administración")&gt;0,"Consejo",""),IF(COUNTIFS($E$5:$E$1000,E778,$C$5:$C$1000,"Otros")&gt;0,"Otros","")))</f>
        <v/>
      </c>
      <c r="X778" s="24" t="str">
        <f aca="false">IF(E778="","",COUNTIFS($E$5:$E$1000,E778,$AB$5:$AB$1000,AB778,$C$5:$C$1000,"&lt;&gt;"&amp;C778))</f>
        <v/>
      </c>
      <c r="Y778" s="33"/>
      <c r="Z778" s="31"/>
      <c r="AA778" s="33"/>
      <c r="AB778" s="37" t="str">
        <f aca="false">IF(B778="","",YEAR(B778)*100+MONTH(B778))</f>
        <v/>
      </c>
      <c r="AC778" s="37" t="str">
        <f aca="false">IF(AND(E778&lt;&gt;"",E778=Cruce!$C$5),COUNTIF($E$5:E778,E778),"")</f>
        <v/>
      </c>
      <c r="AD778" s="37" t="str">
        <f aca="false">IF(E778="","",C778&amp;"|"&amp;Y778&amp;"|"&amp;IF(B778="","s/f",TEXT(B778,"yyyymmdd")))</f>
        <v/>
      </c>
      <c r="AE778" s="37" t="n">
        <f aca="false">IF(E778="",0,IF(COUNTIFS($E$5:E778,E778,$AD$5:AD778,AD778)=1,1,0))</f>
        <v>0</v>
      </c>
    </row>
    <row r="779" customFormat="false" ht="15" hidden="false" customHeight="true" outlineLevel="0" collapsed="false">
      <c r="A779" s="31"/>
      <c r="B779" s="30"/>
      <c r="C779" s="31"/>
      <c r="D779" s="31"/>
      <c r="E779" s="32"/>
      <c r="F779" s="32"/>
      <c r="G779" s="33"/>
      <c r="H779" s="31"/>
      <c r="I779" s="24" t="str">
        <f aca="false">IF(B779="","",YEAR(B779))</f>
        <v/>
      </c>
      <c r="J779" s="34" t="str">
        <f aca="false">IF(B779="","",IF(MONTH(B779)=1,"X",""))</f>
        <v/>
      </c>
      <c r="K779" s="34" t="str">
        <f aca="false">IF(B779="","",IF(MONTH(B779)=2,"X",""))</f>
        <v/>
      </c>
      <c r="L779" s="34" t="str">
        <f aca="false">IF(B779="","",IF(MONTH(B779)=3,"X",""))</f>
        <v/>
      </c>
      <c r="M779" s="34" t="str">
        <f aca="false">IF(B779="","",IF(MONTH(B779)=4,"X",""))</f>
        <v/>
      </c>
      <c r="N779" s="34" t="str">
        <f aca="false">IF(B779="","",IF(MONTH(B779)=5,"X",""))</f>
        <v/>
      </c>
      <c r="O779" s="34" t="str">
        <f aca="false">IF(B779="","",IF(MONTH(B779)=6,"X",""))</f>
        <v/>
      </c>
      <c r="P779" s="34" t="str">
        <f aca="false">IF(B779="","",IF(MONTH(B779)=7,"X",""))</f>
        <v/>
      </c>
      <c r="Q779" s="34" t="str">
        <f aca="false">IF(B779="","",IF(MONTH(B779)=8,"X",""))</f>
        <v/>
      </c>
      <c r="R779" s="34" t="str">
        <f aca="false">IF(B779="","",IF(MONTH(B779)=9,"X",""))</f>
        <v/>
      </c>
      <c r="S779" s="34" t="str">
        <f aca="false">IF(B779="","",IF(MONTH(B779)=10,"X",""))</f>
        <v/>
      </c>
      <c r="T779" s="34" t="str">
        <f aca="false">IF(B779="","",IF(MONTH(B779)=11,"X",""))</f>
        <v/>
      </c>
      <c r="U779" s="34" t="str">
        <f aca="false">IF(B779="","",IF(MONTH(B779)=12,"X",""))</f>
        <v/>
      </c>
      <c r="V779" s="24" t="str">
        <f aca="false">IF(E779="","",COUNTIF($E$5:$E$1000,E779))</f>
        <v/>
      </c>
      <c r="W779" s="35" t="str">
        <f aca="false">IF(E779="","",_xlfn.TEXTJOIN(" + ",TRUE(),IF(COUNTIFS($E$5:$E$1000,E779,$C$5:$C$1000,"Auditoría Interna")&gt;0,"Interna",""),IF(COUNTIFS($E$5:$E$1000,E779,$C$5:$C$1000,"Auditoría Externa")&gt;0,"Externa",""),IF(COUNTIFS($E$5:$E$1000,E779,$C$5:$C$1000,"SSF")&gt;0,"SSF",""),IF(COUNTIFS($E$5:$E$1000,E779,$C$5:$C$1000,"Comité de Supervisión")&gt;0,"Comité Sup.",""),IF(COUNTIFS($E$5:$E$1000,E779,$C$5:$C$1000,"Consejo de Administración")&gt;0,"Consejo",""),IF(COUNTIFS($E$5:$E$1000,E779,$C$5:$C$1000,"Otros")&gt;0,"Otros","")))</f>
        <v/>
      </c>
      <c r="X779" s="24" t="str">
        <f aca="false">IF(E779="","",COUNTIFS($E$5:$E$1000,E779,$AB$5:$AB$1000,AB779,$C$5:$C$1000,"&lt;&gt;"&amp;C779))</f>
        <v/>
      </c>
      <c r="Y779" s="33"/>
      <c r="Z779" s="31"/>
      <c r="AA779" s="33"/>
      <c r="AB779" s="37" t="str">
        <f aca="false">IF(B779="","",YEAR(B779)*100+MONTH(B779))</f>
        <v/>
      </c>
      <c r="AC779" s="37" t="str">
        <f aca="false">IF(AND(E779&lt;&gt;"",E779=Cruce!$C$5),COUNTIF($E$5:E779,E779),"")</f>
        <v/>
      </c>
      <c r="AD779" s="37" t="str">
        <f aca="false">IF(E779="","",C779&amp;"|"&amp;Y779&amp;"|"&amp;IF(B779="","s/f",TEXT(B779,"yyyymmdd")))</f>
        <v/>
      </c>
      <c r="AE779" s="37" t="n">
        <f aca="false">IF(E779="",0,IF(COUNTIFS($E$5:E779,E779,$AD$5:AD779,AD779)=1,1,0))</f>
        <v>0</v>
      </c>
    </row>
    <row r="780" customFormat="false" ht="15" hidden="false" customHeight="true" outlineLevel="0" collapsed="false">
      <c r="A780" s="31"/>
      <c r="B780" s="30"/>
      <c r="C780" s="31"/>
      <c r="D780" s="31"/>
      <c r="E780" s="32"/>
      <c r="F780" s="32"/>
      <c r="G780" s="33"/>
      <c r="H780" s="31"/>
      <c r="I780" s="24" t="str">
        <f aca="false">IF(B780="","",YEAR(B780))</f>
        <v/>
      </c>
      <c r="J780" s="34" t="str">
        <f aca="false">IF(B780="","",IF(MONTH(B780)=1,"X",""))</f>
        <v/>
      </c>
      <c r="K780" s="34" t="str">
        <f aca="false">IF(B780="","",IF(MONTH(B780)=2,"X",""))</f>
        <v/>
      </c>
      <c r="L780" s="34" t="str">
        <f aca="false">IF(B780="","",IF(MONTH(B780)=3,"X",""))</f>
        <v/>
      </c>
      <c r="M780" s="34" t="str">
        <f aca="false">IF(B780="","",IF(MONTH(B780)=4,"X",""))</f>
        <v/>
      </c>
      <c r="N780" s="34" t="str">
        <f aca="false">IF(B780="","",IF(MONTH(B780)=5,"X",""))</f>
        <v/>
      </c>
      <c r="O780" s="34" t="str">
        <f aca="false">IF(B780="","",IF(MONTH(B780)=6,"X",""))</f>
        <v/>
      </c>
      <c r="P780" s="34" t="str">
        <f aca="false">IF(B780="","",IF(MONTH(B780)=7,"X",""))</f>
        <v/>
      </c>
      <c r="Q780" s="34" t="str">
        <f aca="false">IF(B780="","",IF(MONTH(B780)=8,"X",""))</f>
        <v/>
      </c>
      <c r="R780" s="34" t="str">
        <f aca="false">IF(B780="","",IF(MONTH(B780)=9,"X",""))</f>
        <v/>
      </c>
      <c r="S780" s="34" t="str">
        <f aca="false">IF(B780="","",IF(MONTH(B780)=10,"X",""))</f>
        <v/>
      </c>
      <c r="T780" s="34" t="str">
        <f aca="false">IF(B780="","",IF(MONTH(B780)=11,"X",""))</f>
        <v/>
      </c>
      <c r="U780" s="34" t="str">
        <f aca="false">IF(B780="","",IF(MONTH(B780)=12,"X",""))</f>
        <v/>
      </c>
      <c r="V780" s="24" t="str">
        <f aca="false">IF(E780="","",COUNTIF($E$5:$E$1000,E780))</f>
        <v/>
      </c>
      <c r="W780" s="35" t="str">
        <f aca="false">IF(E780="","",_xlfn.TEXTJOIN(" + ",TRUE(),IF(COUNTIFS($E$5:$E$1000,E780,$C$5:$C$1000,"Auditoría Interna")&gt;0,"Interna",""),IF(COUNTIFS($E$5:$E$1000,E780,$C$5:$C$1000,"Auditoría Externa")&gt;0,"Externa",""),IF(COUNTIFS($E$5:$E$1000,E780,$C$5:$C$1000,"SSF")&gt;0,"SSF",""),IF(COUNTIFS($E$5:$E$1000,E780,$C$5:$C$1000,"Comité de Supervisión")&gt;0,"Comité Sup.",""),IF(COUNTIFS($E$5:$E$1000,E780,$C$5:$C$1000,"Consejo de Administración")&gt;0,"Consejo",""),IF(COUNTIFS($E$5:$E$1000,E780,$C$5:$C$1000,"Otros")&gt;0,"Otros","")))</f>
        <v/>
      </c>
      <c r="X780" s="24" t="str">
        <f aca="false">IF(E780="","",COUNTIFS($E$5:$E$1000,E780,$AB$5:$AB$1000,AB780,$C$5:$C$1000,"&lt;&gt;"&amp;C780))</f>
        <v/>
      </c>
      <c r="Y780" s="33"/>
      <c r="Z780" s="31"/>
      <c r="AA780" s="33"/>
      <c r="AB780" s="37" t="str">
        <f aca="false">IF(B780="","",YEAR(B780)*100+MONTH(B780))</f>
        <v/>
      </c>
      <c r="AC780" s="37" t="str">
        <f aca="false">IF(AND(E780&lt;&gt;"",E780=Cruce!$C$5),COUNTIF($E$5:E780,E780),"")</f>
        <v/>
      </c>
      <c r="AD780" s="37" t="str">
        <f aca="false">IF(E780="","",C780&amp;"|"&amp;Y780&amp;"|"&amp;IF(B780="","s/f",TEXT(B780,"yyyymmdd")))</f>
        <v/>
      </c>
      <c r="AE780" s="37" t="n">
        <f aca="false">IF(E780="",0,IF(COUNTIFS($E$5:E780,E780,$AD$5:AD780,AD780)=1,1,0))</f>
        <v>0</v>
      </c>
    </row>
    <row r="781" customFormat="false" ht="15" hidden="false" customHeight="true" outlineLevel="0" collapsed="false">
      <c r="A781" s="31"/>
      <c r="B781" s="30"/>
      <c r="C781" s="31"/>
      <c r="D781" s="31"/>
      <c r="E781" s="32"/>
      <c r="F781" s="32"/>
      <c r="G781" s="33"/>
      <c r="H781" s="31"/>
      <c r="I781" s="24" t="str">
        <f aca="false">IF(B781="","",YEAR(B781))</f>
        <v/>
      </c>
      <c r="J781" s="34" t="str">
        <f aca="false">IF(B781="","",IF(MONTH(B781)=1,"X",""))</f>
        <v/>
      </c>
      <c r="K781" s="34" t="str">
        <f aca="false">IF(B781="","",IF(MONTH(B781)=2,"X",""))</f>
        <v/>
      </c>
      <c r="L781" s="34" t="str">
        <f aca="false">IF(B781="","",IF(MONTH(B781)=3,"X",""))</f>
        <v/>
      </c>
      <c r="M781" s="34" t="str">
        <f aca="false">IF(B781="","",IF(MONTH(B781)=4,"X",""))</f>
        <v/>
      </c>
      <c r="N781" s="34" t="str">
        <f aca="false">IF(B781="","",IF(MONTH(B781)=5,"X",""))</f>
        <v/>
      </c>
      <c r="O781" s="34" t="str">
        <f aca="false">IF(B781="","",IF(MONTH(B781)=6,"X",""))</f>
        <v/>
      </c>
      <c r="P781" s="34" t="str">
        <f aca="false">IF(B781="","",IF(MONTH(B781)=7,"X",""))</f>
        <v/>
      </c>
      <c r="Q781" s="34" t="str">
        <f aca="false">IF(B781="","",IF(MONTH(B781)=8,"X",""))</f>
        <v/>
      </c>
      <c r="R781" s="34" t="str">
        <f aca="false">IF(B781="","",IF(MONTH(B781)=9,"X",""))</f>
        <v/>
      </c>
      <c r="S781" s="34" t="str">
        <f aca="false">IF(B781="","",IF(MONTH(B781)=10,"X",""))</f>
        <v/>
      </c>
      <c r="T781" s="34" t="str">
        <f aca="false">IF(B781="","",IF(MONTH(B781)=11,"X",""))</f>
        <v/>
      </c>
      <c r="U781" s="34" t="str">
        <f aca="false">IF(B781="","",IF(MONTH(B781)=12,"X",""))</f>
        <v/>
      </c>
      <c r="V781" s="24" t="str">
        <f aca="false">IF(E781="","",COUNTIF($E$5:$E$1000,E781))</f>
        <v/>
      </c>
      <c r="W781" s="35" t="str">
        <f aca="false">IF(E781="","",_xlfn.TEXTJOIN(" + ",TRUE(),IF(COUNTIFS($E$5:$E$1000,E781,$C$5:$C$1000,"Auditoría Interna")&gt;0,"Interna",""),IF(COUNTIFS($E$5:$E$1000,E781,$C$5:$C$1000,"Auditoría Externa")&gt;0,"Externa",""),IF(COUNTIFS($E$5:$E$1000,E781,$C$5:$C$1000,"SSF")&gt;0,"SSF",""),IF(COUNTIFS($E$5:$E$1000,E781,$C$5:$C$1000,"Comité de Supervisión")&gt;0,"Comité Sup.",""),IF(COUNTIFS($E$5:$E$1000,E781,$C$5:$C$1000,"Consejo de Administración")&gt;0,"Consejo",""),IF(COUNTIFS($E$5:$E$1000,E781,$C$5:$C$1000,"Otros")&gt;0,"Otros","")))</f>
        <v/>
      </c>
      <c r="X781" s="24" t="str">
        <f aca="false">IF(E781="","",COUNTIFS($E$5:$E$1000,E781,$AB$5:$AB$1000,AB781,$C$5:$C$1000,"&lt;&gt;"&amp;C781))</f>
        <v/>
      </c>
      <c r="Y781" s="33"/>
      <c r="Z781" s="31"/>
      <c r="AA781" s="33"/>
      <c r="AB781" s="37" t="str">
        <f aca="false">IF(B781="","",YEAR(B781)*100+MONTH(B781))</f>
        <v/>
      </c>
      <c r="AC781" s="37" t="str">
        <f aca="false">IF(AND(E781&lt;&gt;"",E781=Cruce!$C$5),COUNTIF($E$5:E781,E781),"")</f>
        <v/>
      </c>
      <c r="AD781" s="37" t="str">
        <f aca="false">IF(E781="","",C781&amp;"|"&amp;Y781&amp;"|"&amp;IF(B781="","s/f",TEXT(B781,"yyyymmdd")))</f>
        <v/>
      </c>
      <c r="AE781" s="37" t="n">
        <f aca="false">IF(E781="",0,IF(COUNTIFS($E$5:E781,E781,$AD$5:AD781,AD781)=1,1,0))</f>
        <v>0</v>
      </c>
    </row>
    <row r="782" customFormat="false" ht="15" hidden="false" customHeight="true" outlineLevel="0" collapsed="false">
      <c r="A782" s="31"/>
      <c r="B782" s="30"/>
      <c r="C782" s="31"/>
      <c r="D782" s="31"/>
      <c r="E782" s="32"/>
      <c r="F782" s="32"/>
      <c r="G782" s="33"/>
      <c r="H782" s="31"/>
      <c r="I782" s="24" t="str">
        <f aca="false">IF(B782="","",YEAR(B782))</f>
        <v/>
      </c>
      <c r="J782" s="34" t="str">
        <f aca="false">IF(B782="","",IF(MONTH(B782)=1,"X",""))</f>
        <v/>
      </c>
      <c r="K782" s="34" t="str">
        <f aca="false">IF(B782="","",IF(MONTH(B782)=2,"X",""))</f>
        <v/>
      </c>
      <c r="L782" s="34" t="str">
        <f aca="false">IF(B782="","",IF(MONTH(B782)=3,"X",""))</f>
        <v/>
      </c>
      <c r="M782" s="34" t="str">
        <f aca="false">IF(B782="","",IF(MONTH(B782)=4,"X",""))</f>
        <v/>
      </c>
      <c r="N782" s="34" t="str">
        <f aca="false">IF(B782="","",IF(MONTH(B782)=5,"X",""))</f>
        <v/>
      </c>
      <c r="O782" s="34" t="str">
        <f aca="false">IF(B782="","",IF(MONTH(B782)=6,"X",""))</f>
        <v/>
      </c>
      <c r="P782" s="34" t="str">
        <f aca="false">IF(B782="","",IF(MONTH(B782)=7,"X",""))</f>
        <v/>
      </c>
      <c r="Q782" s="34" t="str">
        <f aca="false">IF(B782="","",IF(MONTH(B782)=8,"X",""))</f>
        <v/>
      </c>
      <c r="R782" s="34" t="str">
        <f aca="false">IF(B782="","",IF(MONTH(B782)=9,"X",""))</f>
        <v/>
      </c>
      <c r="S782" s="34" t="str">
        <f aca="false">IF(B782="","",IF(MONTH(B782)=10,"X",""))</f>
        <v/>
      </c>
      <c r="T782" s="34" t="str">
        <f aca="false">IF(B782="","",IF(MONTH(B782)=11,"X",""))</f>
        <v/>
      </c>
      <c r="U782" s="34" t="str">
        <f aca="false">IF(B782="","",IF(MONTH(B782)=12,"X",""))</f>
        <v/>
      </c>
      <c r="V782" s="24" t="str">
        <f aca="false">IF(E782="","",COUNTIF($E$5:$E$1000,E782))</f>
        <v/>
      </c>
      <c r="W782" s="35" t="str">
        <f aca="false">IF(E782="","",_xlfn.TEXTJOIN(" + ",TRUE(),IF(COUNTIFS($E$5:$E$1000,E782,$C$5:$C$1000,"Auditoría Interna")&gt;0,"Interna",""),IF(COUNTIFS($E$5:$E$1000,E782,$C$5:$C$1000,"Auditoría Externa")&gt;0,"Externa",""),IF(COUNTIFS($E$5:$E$1000,E782,$C$5:$C$1000,"SSF")&gt;0,"SSF",""),IF(COUNTIFS($E$5:$E$1000,E782,$C$5:$C$1000,"Comité de Supervisión")&gt;0,"Comité Sup.",""),IF(COUNTIFS($E$5:$E$1000,E782,$C$5:$C$1000,"Consejo de Administración")&gt;0,"Consejo",""),IF(COUNTIFS($E$5:$E$1000,E782,$C$5:$C$1000,"Otros")&gt;0,"Otros","")))</f>
        <v/>
      </c>
      <c r="X782" s="24" t="str">
        <f aca="false">IF(E782="","",COUNTIFS($E$5:$E$1000,E782,$AB$5:$AB$1000,AB782,$C$5:$C$1000,"&lt;&gt;"&amp;C782))</f>
        <v/>
      </c>
      <c r="Y782" s="33"/>
      <c r="Z782" s="31"/>
      <c r="AA782" s="33"/>
      <c r="AB782" s="37" t="str">
        <f aca="false">IF(B782="","",YEAR(B782)*100+MONTH(B782))</f>
        <v/>
      </c>
      <c r="AC782" s="37" t="str">
        <f aca="false">IF(AND(E782&lt;&gt;"",E782=Cruce!$C$5),COUNTIF($E$5:E782,E782),"")</f>
        <v/>
      </c>
      <c r="AD782" s="37" t="str">
        <f aca="false">IF(E782="","",C782&amp;"|"&amp;Y782&amp;"|"&amp;IF(B782="","s/f",TEXT(B782,"yyyymmdd")))</f>
        <v/>
      </c>
      <c r="AE782" s="37" t="n">
        <f aca="false">IF(E782="",0,IF(COUNTIFS($E$5:E782,E782,$AD$5:AD782,AD782)=1,1,0))</f>
        <v>0</v>
      </c>
    </row>
    <row r="783" customFormat="false" ht="15" hidden="false" customHeight="true" outlineLevel="0" collapsed="false">
      <c r="A783" s="31"/>
      <c r="B783" s="30"/>
      <c r="C783" s="31"/>
      <c r="D783" s="31"/>
      <c r="E783" s="32"/>
      <c r="F783" s="32"/>
      <c r="G783" s="33"/>
      <c r="H783" s="31"/>
      <c r="I783" s="24" t="str">
        <f aca="false">IF(B783="","",YEAR(B783))</f>
        <v/>
      </c>
      <c r="J783" s="34" t="str">
        <f aca="false">IF(B783="","",IF(MONTH(B783)=1,"X",""))</f>
        <v/>
      </c>
      <c r="K783" s="34" t="str">
        <f aca="false">IF(B783="","",IF(MONTH(B783)=2,"X",""))</f>
        <v/>
      </c>
      <c r="L783" s="34" t="str">
        <f aca="false">IF(B783="","",IF(MONTH(B783)=3,"X",""))</f>
        <v/>
      </c>
      <c r="M783" s="34" t="str">
        <f aca="false">IF(B783="","",IF(MONTH(B783)=4,"X",""))</f>
        <v/>
      </c>
      <c r="N783" s="34" t="str">
        <f aca="false">IF(B783="","",IF(MONTH(B783)=5,"X",""))</f>
        <v/>
      </c>
      <c r="O783" s="34" t="str">
        <f aca="false">IF(B783="","",IF(MONTH(B783)=6,"X",""))</f>
        <v/>
      </c>
      <c r="P783" s="34" t="str">
        <f aca="false">IF(B783="","",IF(MONTH(B783)=7,"X",""))</f>
        <v/>
      </c>
      <c r="Q783" s="34" t="str">
        <f aca="false">IF(B783="","",IF(MONTH(B783)=8,"X",""))</f>
        <v/>
      </c>
      <c r="R783" s="34" t="str">
        <f aca="false">IF(B783="","",IF(MONTH(B783)=9,"X",""))</f>
        <v/>
      </c>
      <c r="S783" s="34" t="str">
        <f aca="false">IF(B783="","",IF(MONTH(B783)=10,"X",""))</f>
        <v/>
      </c>
      <c r="T783" s="34" t="str">
        <f aca="false">IF(B783="","",IF(MONTH(B783)=11,"X",""))</f>
        <v/>
      </c>
      <c r="U783" s="34" t="str">
        <f aca="false">IF(B783="","",IF(MONTH(B783)=12,"X",""))</f>
        <v/>
      </c>
      <c r="V783" s="24" t="str">
        <f aca="false">IF(E783="","",COUNTIF($E$5:$E$1000,E783))</f>
        <v/>
      </c>
      <c r="W783" s="35" t="str">
        <f aca="false">IF(E783="","",_xlfn.TEXTJOIN(" + ",TRUE(),IF(COUNTIFS($E$5:$E$1000,E783,$C$5:$C$1000,"Auditoría Interna")&gt;0,"Interna",""),IF(COUNTIFS($E$5:$E$1000,E783,$C$5:$C$1000,"Auditoría Externa")&gt;0,"Externa",""),IF(COUNTIFS($E$5:$E$1000,E783,$C$5:$C$1000,"SSF")&gt;0,"SSF",""),IF(COUNTIFS($E$5:$E$1000,E783,$C$5:$C$1000,"Comité de Supervisión")&gt;0,"Comité Sup.",""),IF(COUNTIFS($E$5:$E$1000,E783,$C$5:$C$1000,"Consejo de Administración")&gt;0,"Consejo",""),IF(COUNTIFS($E$5:$E$1000,E783,$C$5:$C$1000,"Otros")&gt;0,"Otros","")))</f>
        <v/>
      </c>
      <c r="X783" s="24" t="str">
        <f aca="false">IF(E783="","",COUNTIFS($E$5:$E$1000,E783,$AB$5:$AB$1000,AB783,$C$5:$C$1000,"&lt;&gt;"&amp;C783))</f>
        <v/>
      </c>
      <c r="Y783" s="33"/>
      <c r="Z783" s="31"/>
      <c r="AA783" s="33"/>
      <c r="AB783" s="37" t="str">
        <f aca="false">IF(B783="","",YEAR(B783)*100+MONTH(B783))</f>
        <v/>
      </c>
      <c r="AC783" s="37" t="str">
        <f aca="false">IF(AND(E783&lt;&gt;"",E783=Cruce!$C$5),COUNTIF($E$5:E783,E783),"")</f>
        <v/>
      </c>
      <c r="AD783" s="37" t="str">
        <f aca="false">IF(E783="","",C783&amp;"|"&amp;Y783&amp;"|"&amp;IF(B783="","s/f",TEXT(B783,"yyyymmdd")))</f>
        <v/>
      </c>
      <c r="AE783" s="37" t="n">
        <f aca="false">IF(E783="",0,IF(COUNTIFS($E$5:E783,E783,$AD$5:AD783,AD783)=1,1,0))</f>
        <v>0</v>
      </c>
    </row>
    <row r="784" customFormat="false" ht="15" hidden="false" customHeight="true" outlineLevel="0" collapsed="false">
      <c r="A784" s="31"/>
      <c r="B784" s="30"/>
      <c r="C784" s="31"/>
      <c r="D784" s="31"/>
      <c r="E784" s="32"/>
      <c r="F784" s="32"/>
      <c r="G784" s="33"/>
      <c r="H784" s="31"/>
      <c r="I784" s="24" t="str">
        <f aca="false">IF(B784="","",YEAR(B784))</f>
        <v/>
      </c>
      <c r="J784" s="34" t="str">
        <f aca="false">IF(B784="","",IF(MONTH(B784)=1,"X",""))</f>
        <v/>
      </c>
      <c r="K784" s="34" t="str">
        <f aca="false">IF(B784="","",IF(MONTH(B784)=2,"X",""))</f>
        <v/>
      </c>
      <c r="L784" s="34" t="str">
        <f aca="false">IF(B784="","",IF(MONTH(B784)=3,"X",""))</f>
        <v/>
      </c>
      <c r="M784" s="34" t="str">
        <f aca="false">IF(B784="","",IF(MONTH(B784)=4,"X",""))</f>
        <v/>
      </c>
      <c r="N784" s="34" t="str">
        <f aca="false">IF(B784="","",IF(MONTH(B784)=5,"X",""))</f>
        <v/>
      </c>
      <c r="O784" s="34" t="str">
        <f aca="false">IF(B784="","",IF(MONTH(B784)=6,"X",""))</f>
        <v/>
      </c>
      <c r="P784" s="34" t="str">
        <f aca="false">IF(B784="","",IF(MONTH(B784)=7,"X",""))</f>
        <v/>
      </c>
      <c r="Q784" s="34" t="str">
        <f aca="false">IF(B784="","",IF(MONTH(B784)=8,"X",""))</f>
        <v/>
      </c>
      <c r="R784" s="34" t="str">
        <f aca="false">IF(B784="","",IF(MONTH(B784)=9,"X",""))</f>
        <v/>
      </c>
      <c r="S784" s="34" t="str">
        <f aca="false">IF(B784="","",IF(MONTH(B784)=10,"X",""))</f>
        <v/>
      </c>
      <c r="T784" s="34" t="str">
        <f aca="false">IF(B784="","",IF(MONTH(B784)=11,"X",""))</f>
        <v/>
      </c>
      <c r="U784" s="34" t="str">
        <f aca="false">IF(B784="","",IF(MONTH(B784)=12,"X",""))</f>
        <v/>
      </c>
      <c r="V784" s="24" t="str">
        <f aca="false">IF(E784="","",COUNTIF($E$5:$E$1000,E784))</f>
        <v/>
      </c>
      <c r="W784" s="35" t="str">
        <f aca="false">IF(E784="","",_xlfn.TEXTJOIN(" + ",TRUE(),IF(COUNTIFS($E$5:$E$1000,E784,$C$5:$C$1000,"Auditoría Interna")&gt;0,"Interna",""),IF(COUNTIFS($E$5:$E$1000,E784,$C$5:$C$1000,"Auditoría Externa")&gt;0,"Externa",""),IF(COUNTIFS($E$5:$E$1000,E784,$C$5:$C$1000,"SSF")&gt;0,"SSF",""),IF(COUNTIFS($E$5:$E$1000,E784,$C$5:$C$1000,"Comité de Supervisión")&gt;0,"Comité Sup.",""),IF(COUNTIFS($E$5:$E$1000,E784,$C$5:$C$1000,"Consejo de Administración")&gt;0,"Consejo",""),IF(COUNTIFS($E$5:$E$1000,E784,$C$5:$C$1000,"Otros")&gt;0,"Otros","")))</f>
        <v/>
      </c>
      <c r="X784" s="24" t="str">
        <f aca="false">IF(E784="","",COUNTIFS($E$5:$E$1000,E784,$AB$5:$AB$1000,AB784,$C$5:$C$1000,"&lt;&gt;"&amp;C784))</f>
        <v/>
      </c>
      <c r="Y784" s="33"/>
      <c r="Z784" s="31"/>
      <c r="AA784" s="33"/>
      <c r="AB784" s="37" t="str">
        <f aca="false">IF(B784="","",YEAR(B784)*100+MONTH(B784))</f>
        <v/>
      </c>
      <c r="AC784" s="37" t="str">
        <f aca="false">IF(AND(E784&lt;&gt;"",E784=Cruce!$C$5),COUNTIF($E$5:E784,E784),"")</f>
        <v/>
      </c>
      <c r="AD784" s="37" t="str">
        <f aca="false">IF(E784="","",C784&amp;"|"&amp;Y784&amp;"|"&amp;IF(B784="","s/f",TEXT(B784,"yyyymmdd")))</f>
        <v/>
      </c>
      <c r="AE784" s="37" t="n">
        <f aca="false">IF(E784="",0,IF(COUNTIFS($E$5:E784,E784,$AD$5:AD784,AD784)=1,1,0))</f>
        <v>0</v>
      </c>
    </row>
    <row r="785" customFormat="false" ht="15" hidden="false" customHeight="true" outlineLevel="0" collapsed="false">
      <c r="A785" s="31"/>
      <c r="B785" s="30"/>
      <c r="C785" s="31"/>
      <c r="D785" s="31"/>
      <c r="E785" s="32"/>
      <c r="F785" s="32"/>
      <c r="G785" s="33"/>
      <c r="H785" s="31"/>
      <c r="I785" s="24" t="str">
        <f aca="false">IF(B785="","",YEAR(B785))</f>
        <v/>
      </c>
      <c r="J785" s="34" t="str">
        <f aca="false">IF(B785="","",IF(MONTH(B785)=1,"X",""))</f>
        <v/>
      </c>
      <c r="K785" s="34" t="str">
        <f aca="false">IF(B785="","",IF(MONTH(B785)=2,"X",""))</f>
        <v/>
      </c>
      <c r="L785" s="34" t="str">
        <f aca="false">IF(B785="","",IF(MONTH(B785)=3,"X",""))</f>
        <v/>
      </c>
      <c r="M785" s="34" t="str">
        <f aca="false">IF(B785="","",IF(MONTH(B785)=4,"X",""))</f>
        <v/>
      </c>
      <c r="N785" s="34" t="str">
        <f aca="false">IF(B785="","",IF(MONTH(B785)=5,"X",""))</f>
        <v/>
      </c>
      <c r="O785" s="34" t="str">
        <f aca="false">IF(B785="","",IF(MONTH(B785)=6,"X",""))</f>
        <v/>
      </c>
      <c r="P785" s="34" t="str">
        <f aca="false">IF(B785="","",IF(MONTH(B785)=7,"X",""))</f>
        <v/>
      </c>
      <c r="Q785" s="34" t="str">
        <f aca="false">IF(B785="","",IF(MONTH(B785)=8,"X",""))</f>
        <v/>
      </c>
      <c r="R785" s="34" t="str">
        <f aca="false">IF(B785="","",IF(MONTH(B785)=9,"X",""))</f>
        <v/>
      </c>
      <c r="S785" s="34" t="str">
        <f aca="false">IF(B785="","",IF(MONTH(B785)=10,"X",""))</f>
        <v/>
      </c>
      <c r="T785" s="34" t="str">
        <f aca="false">IF(B785="","",IF(MONTH(B785)=11,"X",""))</f>
        <v/>
      </c>
      <c r="U785" s="34" t="str">
        <f aca="false">IF(B785="","",IF(MONTH(B785)=12,"X",""))</f>
        <v/>
      </c>
      <c r="V785" s="24" t="str">
        <f aca="false">IF(E785="","",COUNTIF($E$5:$E$1000,E785))</f>
        <v/>
      </c>
      <c r="W785" s="35" t="str">
        <f aca="false">IF(E785="","",_xlfn.TEXTJOIN(" + ",TRUE(),IF(COUNTIFS($E$5:$E$1000,E785,$C$5:$C$1000,"Auditoría Interna")&gt;0,"Interna",""),IF(COUNTIFS($E$5:$E$1000,E785,$C$5:$C$1000,"Auditoría Externa")&gt;0,"Externa",""),IF(COUNTIFS($E$5:$E$1000,E785,$C$5:$C$1000,"SSF")&gt;0,"SSF",""),IF(COUNTIFS($E$5:$E$1000,E785,$C$5:$C$1000,"Comité de Supervisión")&gt;0,"Comité Sup.",""),IF(COUNTIFS($E$5:$E$1000,E785,$C$5:$C$1000,"Consejo de Administración")&gt;0,"Consejo",""),IF(COUNTIFS($E$5:$E$1000,E785,$C$5:$C$1000,"Otros")&gt;0,"Otros","")))</f>
        <v/>
      </c>
      <c r="X785" s="24" t="str">
        <f aca="false">IF(E785="","",COUNTIFS($E$5:$E$1000,E785,$AB$5:$AB$1000,AB785,$C$5:$C$1000,"&lt;&gt;"&amp;C785))</f>
        <v/>
      </c>
      <c r="Y785" s="33"/>
      <c r="Z785" s="31"/>
      <c r="AA785" s="33"/>
      <c r="AB785" s="37" t="str">
        <f aca="false">IF(B785="","",YEAR(B785)*100+MONTH(B785))</f>
        <v/>
      </c>
      <c r="AC785" s="37" t="str">
        <f aca="false">IF(AND(E785&lt;&gt;"",E785=Cruce!$C$5),COUNTIF($E$5:E785,E785),"")</f>
        <v/>
      </c>
      <c r="AD785" s="37" t="str">
        <f aca="false">IF(E785="","",C785&amp;"|"&amp;Y785&amp;"|"&amp;IF(B785="","s/f",TEXT(B785,"yyyymmdd")))</f>
        <v/>
      </c>
      <c r="AE785" s="37" t="n">
        <f aca="false">IF(E785="",0,IF(COUNTIFS($E$5:E785,E785,$AD$5:AD785,AD785)=1,1,0))</f>
        <v>0</v>
      </c>
    </row>
    <row r="786" customFormat="false" ht="15" hidden="false" customHeight="true" outlineLevel="0" collapsed="false">
      <c r="A786" s="31"/>
      <c r="B786" s="30"/>
      <c r="C786" s="31"/>
      <c r="D786" s="31"/>
      <c r="E786" s="32"/>
      <c r="F786" s="32"/>
      <c r="G786" s="33"/>
      <c r="H786" s="31"/>
      <c r="I786" s="24" t="str">
        <f aca="false">IF(B786="","",YEAR(B786))</f>
        <v/>
      </c>
      <c r="J786" s="34" t="str">
        <f aca="false">IF(B786="","",IF(MONTH(B786)=1,"X",""))</f>
        <v/>
      </c>
      <c r="K786" s="34" t="str">
        <f aca="false">IF(B786="","",IF(MONTH(B786)=2,"X",""))</f>
        <v/>
      </c>
      <c r="L786" s="34" t="str">
        <f aca="false">IF(B786="","",IF(MONTH(B786)=3,"X",""))</f>
        <v/>
      </c>
      <c r="M786" s="34" t="str">
        <f aca="false">IF(B786="","",IF(MONTH(B786)=4,"X",""))</f>
        <v/>
      </c>
      <c r="N786" s="34" t="str">
        <f aca="false">IF(B786="","",IF(MONTH(B786)=5,"X",""))</f>
        <v/>
      </c>
      <c r="O786" s="34" t="str">
        <f aca="false">IF(B786="","",IF(MONTH(B786)=6,"X",""))</f>
        <v/>
      </c>
      <c r="P786" s="34" t="str">
        <f aca="false">IF(B786="","",IF(MONTH(B786)=7,"X",""))</f>
        <v/>
      </c>
      <c r="Q786" s="34" t="str">
        <f aca="false">IF(B786="","",IF(MONTH(B786)=8,"X",""))</f>
        <v/>
      </c>
      <c r="R786" s="34" t="str">
        <f aca="false">IF(B786="","",IF(MONTH(B786)=9,"X",""))</f>
        <v/>
      </c>
      <c r="S786" s="34" t="str">
        <f aca="false">IF(B786="","",IF(MONTH(B786)=10,"X",""))</f>
        <v/>
      </c>
      <c r="T786" s="34" t="str">
        <f aca="false">IF(B786="","",IF(MONTH(B786)=11,"X",""))</f>
        <v/>
      </c>
      <c r="U786" s="34" t="str">
        <f aca="false">IF(B786="","",IF(MONTH(B786)=12,"X",""))</f>
        <v/>
      </c>
      <c r="V786" s="24" t="str">
        <f aca="false">IF(E786="","",COUNTIF($E$5:$E$1000,E786))</f>
        <v/>
      </c>
      <c r="W786" s="35" t="str">
        <f aca="false">IF(E786="","",_xlfn.TEXTJOIN(" + ",TRUE(),IF(COUNTIFS($E$5:$E$1000,E786,$C$5:$C$1000,"Auditoría Interna")&gt;0,"Interna",""),IF(COUNTIFS($E$5:$E$1000,E786,$C$5:$C$1000,"Auditoría Externa")&gt;0,"Externa",""),IF(COUNTIFS($E$5:$E$1000,E786,$C$5:$C$1000,"SSF")&gt;0,"SSF",""),IF(COUNTIFS($E$5:$E$1000,E786,$C$5:$C$1000,"Comité de Supervisión")&gt;0,"Comité Sup.",""),IF(COUNTIFS($E$5:$E$1000,E786,$C$5:$C$1000,"Consejo de Administración")&gt;0,"Consejo",""),IF(COUNTIFS($E$5:$E$1000,E786,$C$5:$C$1000,"Otros")&gt;0,"Otros","")))</f>
        <v/>
      </c>
      <c r="X786" s="24" t="str">
        <f aca="false">IF(E786="","",COUNTIFS($E$5:$E$1000,E786,$AB$5:$AB$1000,AB786,$C$5:$C$1000,"&lt;&gt;"&amp;C786))</f>
        <v/>
      </c>
      <c r="Y786" s="33"/>
      <c r="Z786" s="31"/>
      <c r="AA786" s="33"/>
      <c r="AB786" s="37" t="str">
        <f aca="false">IF(B786="","",YEAR(B786)*100+MONTH(B786))</f>
        <v/>
      </c>
      <c r="AC786" s="37" t="str">
        <f aca="false">IF(AND(E786&lt;&gt;"",E786=Cruce!$C$5),COUNTIF($E$5:E786,E786),"")</f>
        <v/>
      </c>
      <c r="AD786" s="37" t="str">
        <f aca="false">IF(E786="","",C786&amp;"|"&amp;Y786&amp;"|"&amp;IF(B786="","s/f",TEXT(B786,"yyyymmdd")))</f>
        <v/>
      </c>
      <c r="AE786" s="37" t="n">
        <f aca="false">IF(E786="",0,IF(COUNTIFS($E$5:E786,E786,$AD$5:AD786,AD786)=1,1,0))</f>
        <v>0</v>
      </c>
    </row>
    <row r="787" customFormat="false" ht="15" hidden="false" customHeight="true" outlineLevel="0" collapsed="false">
      <c r="A787" s="31"/>
      <c r="B787" s="30"/>
      <c r="C787" s="31"/>
      <c r="D787" s="31"/>
      <c r="E787" s="32"/>
      <c r="F787" s="32"/>
      <c r="G787" s="33"/>
      <c r="H787" s="31"/>
      <c r="I787" s="24" t="str">
        <f aca="false">IF(B787="","",YEAR(B787))</f>
        <v/>
      </c>
      <c r="J787" s="34" t="str">
        <f aca="false">IF(B787="","",IF(MONTH(B787)=1,"X",""))</f>
        <v/>
      </c>
      <c r="K787" s="34" t="str">
        <f aca="false">IF(B787="","",IF(MONTH(B787)=2,"X",""))</f>
        <v/>
      </c>
      <c r="L787" s="34" t="str">
        <f aca="false">IF(B787="","",IF(MONTH(B787)=3,"X",""))</f>
        <v/>
      </c>
      <c r="M787" s="34" t="str">
        <f aca="false">IF(B787="","",IF(MONTH(B787)=4,"X",""))</f>
        <v/>
      </c>
      <c r="N787" s="34" t="str">
        <f aca="false">IF(B787="","",IF(MONTH(B787)=5,"X",""))</f>
        <v/>
      </c>
      <c r="O787" s="34" t="str">
        <f aca="false">IF(B787="","",IF(MONTH(B787)=6,"X",""))</f>
        <v/>
      </c>
      <c r="P787" s="34" t="str">
        <f aca="false">IF(B787="","",IF(MONTH(B787)=7,"X",""))</f>
        <v/>
      </c>
      <c r="Q787" s="34" t="str">
        <f aca="false">IF(B787="","",IF(MONTH(B787)=8,"X",""))</f>
        <v/>
      </c>
      <c r="R787" s="34" t="str">
        <f aca="false">IF(B787="","",IF(MONTH(B787)=9,"X",""))</f>
        <v/>
      </c>
      <c r="S787" s="34" t="str">
        <f aca="false">IF(B787="","",IF(MONTH(B787)=10,"X",""))</f>
        <v/>
      </c>
      <c r="T787" s="34" t="str">
        <f aca="false">IF(B787="","",IF(MONTH(B787)=11,"X",""))</f>
        <v/>
      </c>
      <c r="U787" s="34" t="str">
        <f aca="false">IF(B787="","",IF(MONTH(B787)=12,"X",""))</f>
        <v/>
      </c>
      <c r="V787" s="24" t="str">
        <f aca="false">IF(E787="","",COUNTIF($E$5:$E$1000,E787))</f>
        <v/>
      </c>
      <c r="W787" s="35" t="str">
        <f aca="false">IF(E787="","",_xlfn.TEXTJOIN(" + ",TRUE(),IF(COUNTIFS($E$5:$E$1000,E787,$C$5:$C$1000,"Auditoría Interna")&gt;0,"Interna",""),IF(COUNTIFS($E$5:$E$1000,E787,$C$5:$C$1000,"Auditoría Externa")&gt;0,"Externa",""),IF(COUNTIFS($E$5:$E$1000,E787,$C$5:$C$1000,"SSF")&gt;0,"SSF",""),IF(COUNTIFS($E$5:$E$1000,E787,$C$5:$C$1000,"Comité de Supervisión")&gt;0,"Comité Sup.",""),IF(COUNTIFS($E$5:$E$1000,E787,$C$5:$C$1000,"Consejo de Administración")&gt;0,"Consejo",""),IF(COUNTIFS($E$5:$E$1000,E787,$C$5:$C$1000,"Otros")&gt;0,"Otros","")))</f>
        <v/>
      </c>
      <c r="X787" s="24" t="str">
        <f aca="false">IF(E787="","",COUNTIFS($E$5:$E$1000,E787,$AB$5:$AB$1000,AB787,$C$5:$C$1000,"&lt;&gt;"&amp;C787))</f>
        <v/>
      </c>
      <c r="Y787" s="33"/>
      <c r="Z787" s="31"/>
      <c r="AA787" s="33"/>
      <c r="AB787" s="37" t="str">
        <f aca="false">IF(B787="","",YEAR(B787)*100+MONTH(B787))</f>
        <v/>
      </c>
      <c r="AC787" s="37" t="str">
        <f aca="false">IF(AND(E787&lt;&gt;"",E787=Cruce!$C$5),COUNTIF($E$5:E787,E787),"")</f>
        <v/>
      </c>
      <c r="AD787" s="37" t="str">
        <f aca="false">IF(E787="","",C787&amp;"|"&amp;Y787&amp;"|"&amp;IF(B787="","s/f",TEXT(B787,"yyyymmdd")))</f>
        <v/>
      </c>
      <c r="AE787" s="37" t="n">
        <f aca="false">IF(E787="",0,IF(COUNTIFS($E$5:E787,E787,$AD$5:AD787,AD787)=1,1,0))</f>
        <v>0</v>
      </c>
    </row>
    <row r="788" customFormat="false" ht="15" hidden="false" customHeight="true" outlineLevel="0" collapsed="false">
      <c r="A788" s="31"/>
      <c r="B788" s="30"/>
      <c r="C788" s="31"/>
      <c r="D788" s="31"/>
      <c r="E788" s="32"/>
      <c r="F788" s="32"/>
      <c r="G788" s="33"/>
      <c r="H788" s="31"/>
      <c r="I788" s="24" t="str">
        <f aca="false">IF(B788="","",YEAR(B788))</f>
        <v/>
      </c>
      <c r="J788" s="34" t="str">
        <f aca="false">IF(B788="","",IF(MONTH(B788)=1,"X",""))</f>
        <v/>
      </c>
      <c r="K788" s="34" t="str">
        <f aca="false">IF(B788="","",IF(MONTH(B788)=2,"X",""))</f>
        <v/>
      </c>
      <c r="L788" s="34" t="str">
        <f aca="false">IF(B788="","",IF(MONTH(B788)=3,"X",""))</f>
        <v/>
      </c>
      <c r="M788" s="34" t="str">
        <f aca="false">IF(B788="","",IF(MONTH(B788)=4,"X",""))</f>
        <v/>
      </c>
      <c r="N788" s="34" t="str">
        <f aca="false">IF(B788="","",IF(MONTH(B788)=5,"X",""))</f>
        <v/>
      </c>
      <c r="O788" s="34" t="str">
        <f aca="false">IF(B788="","",IF(MONTH(B788)=6,"X",""))</f>
        <v/>
      </c>
      <c r="P788" s="34" t="str">
        <f aca="false">IF(B788="","",IF(MONTH(B788)=7,"X",""))</f>
        <v/>
      </c>
      <c r="Q788" s="34" t="str">
        <f aca="false">IF(B788="","",IF(MONTH(B788)=8,"X",""))</f>
        <v/>
      </c>
      <c r="R788" s="34" t="str">
        <f aca="false">IF(B788="","",IF(MONTH(B788)=9,"X",""))</f>
        <v/>
      </c>
      <c r="S788" s="34" t="str">
        <f aca="false">IF(B788="","",IF(MONTH(B788)=10,"X",""))</f>
        <v/>
      </c>
      <c r="T788" s="34" t="str">
        <f aca="false">IF(B788="","",IF(MONTH(B788)=11,"X",""))</f>
        <v/>
      </c>
      <c r="U788" s="34" t="str">
        <f aca="false">IF(B788="","",IF(MONTH(B788)=12,"X",""))</f>
        <v/>
      </c>
      <c r="V788" s="24" t="str">
        <f aca="false">IF(E788="","",COUNTIF($E$5:$E$1000,E788))</f>
        <v/>
      </c>
      <c r="W788" s="35" t="str">
        <f aca="false">IF(E788="","",_xlfn.TEXTJOIN(" + ",TRUE(),IF(COUNTIFS($E$5:$E$1000,E788,$C$5:$C$1000,"Auditoría Interna")&gt;0,"Interna",""),IF(COUNTIFS($E$5:$E$1000,E788,$C$5:$C$1000,"Auditoría Externa")&gt;0,"Externa",""),IF(COUNTIFS($E$5:$E$1000,E788,$C$5:$C$1000,"SSF")&gt;0,"SSF",""),IF(COUNTIFS($E$5:$E$1000,E788,$C$5:$C$1000,"Comité de Supervisión")&gt;0,"Comité Sup.",""),IF(COUNTIFS($E$5:$E$1000,E788,$C$5:$C$1000,"Consejo de Administración")&gt;0,"Consejo",""),IF(COUNTIFS($E$5:$E$1000,E788,$C$5:$C$1000,"Otros")&gt;0,"Otros","")))</f>
        <v/>
      </c>
      <c r="X788" s="24" t="str">
        <f aca="false">IF(E788="","",COUNTIFS($E$5:$E$1000,E788,$AB$5:$AB$1000,AB788,$C$5:$C$1000,"&lt;&gt;"&amp;C788))</f>
        <v/>
      </c>
      <c r="Y788" s="33"/>
      <c r="Z788" s="31"/>
      <c r="AA788" s="33"/>
      <c r="AB788" s="37" t="str">
        <f aca="false">IF(B788="","",YEAR(B788)*100+MONTH(B788))</f>
        <v/>
      </c>
      <c r="AC788" s="37" t="str">
        <f aca="false">IF(AND(E788&lt;&gt;"",E788=Cruce!$C$5),COUNTIF($E$5:E788,E788),"")</f>
        <v/>
      </c>
      <c r="AD788" s="37" t="str">
        <f aca="false">IF(E788="","",C788&amp;"|"&amp;Y788&amp;"|"&amp;IF(B788="","s/f",TEXT(B788,"yyyymmdd")))</f>
        <v/>
      </c>
      <c r="AE788" s="37" t="n">
        <f aca="false">IF(E788="",0,IF(COUNTIFS($E$5:E788,E788,$AD$5:AD788,AD788)=1,1,0))</f>
        <v>0</v>
      </c>
    </row>
    <row r="789" customFormat="false" ht="15" hidden="false" customHeight="true" outlineLevel="0" collapsed="false">
      <c r="A789" s="31"/>
      <c r="B789" s="30"/>
      <c r="C789" s="31"/>
      <c r="D789" s="31"/>
      <c r="E789" s="32"/>
      <c r="F789" s="32"/>
      <c r="G789" s="33"/>
      <c r="H789" s="31"/>
      <c r="I789" s="24" t="str">
        <f aca="false">IF(B789="","",YEAR(B789))</f>
        <v/>
      </c>
      <c r="J789" s="34" t="str">
        <f aca="false">IF(B789="","",IF(MONTH(B789)=1,"X",""))</f>
        <v/>
      </c>
      <c r="K789" s="34" t="str">
        <f aca="false">IF(B789="","",IF(MONTH(B789)=2,"X",""))</f>
        <v/>
      </c>
      <c r="L789" s="34" t="str">
        <f aca="false">IF(B789="","",IF(MONTH(B789)=3,"X",""))</f>
        <v/>
      </c>
      <c r="M789" s="34" t="str">
        <f aca="false">IF(B789="","",IF(MONTH(B789)=4,"X",""))</f>
        <v/>
      </c>
      <c r="N789" s="34" t="str">
        <f aca="false">IF(B789="","",IF(MONTH(B789)=5,"X",""))</f>
        <v/>
      </c>
      <c r="O789" s="34" t="str">
        <f aca="false">IF(B789="","",IF(MONTH(B789)=6,"X",""))</f>
        <v/>
      </c>
      <c r="P789" s="34" t="str">
        <f aca="false">IF(B789="","",IF(MONTH(B789)=7,"X",""))</f>
        <v/>
      </c>
      <c r="Q789" s="34" t="str">
        <f aca="false">IF(B789="","",IF(MONTH(B789)=8,"X",""))</f>
        <v/>
      </c>
      <c r="R789" s="34" t="str">
        <f aca="false">IF(B789="","",IF(MONTH(B789)=9,"X",""))</f>
        <v/>
      </c>
      <c r="S789" s="34" t="str">
        <f aca="false">IF(B789="","",IF(MONTH(B789)=10,"X",""))</f>
        <v/>
      </c>
      <c r="T789" s="34" t="str">
        <f aca="false">IF(B789="","",IF(MONTH(B789)=11,"X",""))</f>
        <v/>
      </c>
      <c r="U789" s="34" t="str">
        <f aca="false">IF(B789="","",IF(MONTH(B789)=12,"X",""))</f>
        <v/>
      </c>
      <c r="V789" s="24" t="str">
        <f aca="false">IF(E789="","",COUNTIF($E$5:$E$1000,E789))</f>
        <v/>
      </c>
      <c r="W789" s="35" t="str">
        <f aca="false">IF(E789="","",_xlfn.TEXTJOIN(" + ",TRUE(),IF(COUNTIFS($E$5:$E$1000,E789,$C$5:$C$1000,"Auditoría Interna")&gt;0,"Interna",""),IF(COUNTIFS($E$5:$E$1000,E789,$C$5:$C$1000,"Auditoría Externa")&gt;0,"Externa",""),IF(COUNTIFS($E$5:$E$1000,E789,$C$5:$C$1000,"SSF")&gt;0,"SSF",""),IF(COUNTIFS($E$5:$E$1000,E789,$C$5:$C$1000,"Comité de Supervisión")&gt;0,"Comité Sup.",""),IF(COUNTIFS($E$5:$E$1000,E789,$C$5:$C$1000,"Consejo de Administración")&gt;0,"Consejo",""),IF(COUNTIFS($E$5:$E$1000,E789,$C$5:$C$1000,"Otros")&gt;0,"Otros","")))</f>
        <v/>
      </c>
      <c r="X789" s="24" t="str">
        <f aca="false">IF(E789="","",COUNTIFS($E$5:$E$1000,E789,$AB$5:$AB$1000,AB789,$C$5:$C$1000,"&lt;&gt;"&amp;C789))</f>
        <v/>
      </c>
      <c r="Y789" s="33"/>
      <c r="Z789" s="31"/>
      <c r="AA789" s="33"/>
      <c r="AB789" s="37" t="str">
        <f aca="false">IF(B789="","",YEAR(B789)*100+MONTH(B789))</f>
        <v/>
      </c>
      <c r="AC789" s="37" t="str">
        <f aca="false">IF(AND(E789&lt;&gt;"",E789=Cruce!$C$5),COUNTIF($E$5:E789,E789),"")</f>
        <v/>
      </c>
      <c r="AD789" s="37" t="str">
        <f aca="false">IF(E789="","",C789&amp;"|"&amp;Y789&amp;"|"&amp;IF(B789="","s/f",TEXT(B789,"yyyymmdd")))</f>
        <v/>
      </c>
      <c r="AE789" s="37" t="n">
        <f aca="false">IF(E789="",0,IF(COUNTIFS($E$5:E789,E789,$AD$5:AD789,AD789)=1,1,0))</f>
        <v>0</v>
      </c>
    </row>
    <row r="790" customFormat="false" ht="15" hidden="false" customHeight="true" outlineLevel="0" collapsed="false">
      <c r="A790" s="31"/>
      <c r="B790" s="30"/>
      <c r="C790" s="31"/>
      <c r="D790" s="31"/>
      <c r="E790" s="32"/>
      <c r="F790" s="32"/>
      <c r="G790" s="33"/>
      <c r="H790" s="31"/>
      <c r="I790" s="24" t="str">
        <f aca="false">IF(B790="","",YEAR(B790))</f>
        <v/>
      </c>
      <c r="J790" s="34" t="str">
        <f aca="false">IF(B790="","",IF(MONTH(B790)=1,"X",""))</f>
        <v/>
      </c>
      <c r="K790" s="34" t="str">
        <f aca="false">IF(B790="","",IF(MONTH(B790)=2,"X",""))</f>
        <v/>
      </c>
      <c r="L790" s="34" t="str">
        <f aca="false">IF(B790="","",IF(MONTH(B790)=3,"X",""))</f>
        <v/>
      </c>
      <c r="M790" s="34" t="str">
        <f aca="false">IF(B790="","",IF(MONTH(B790)=4,"X",""))</f>
        <v/>
      </c>
      <c r="N790" s="34" t="str">
        <f aca="false">IF(B790="","",IF(MONTH(B790)=5,"X",""))</f>
        <v/>
      </c>
      <c r="O790" s="34" t="str">
        <f aca="false">IF(B790="","",IF(MONTH(B790)=6,"X",""))</f>
        <v/>
      </c>
      <c r="P790" s="34" t="str">
        <f aca="false">IF(B790="","",IF(MONTH(B790)=7,"X",""))</f>
        <v/>
      </c>
      <c r="Q790" s="34" t="str">
        <f aca="false">IF(B790="","",IF(MONTH(B790)=8,"X",""))</f>
        <v/>
      </c>
      <c r="R790" s="34" t="str">
        <f aca="false">IF(B790="","",IF(MONTH(B790)=9,"X",""))</f>
        <v/>
      </c>
      <c r="S790" s="34" t="str">
        <f aca="false">IF(B790="","",IF(MONTH(B790)=10,"X",""))</f>
        <v/>
      </c>
      <c r="T790" s="34" t="str">
        <f aca="false">IF(B790="","",IF(MONTH(B790)=11,"X",""))</f>
        <v/>
      </c>
      <c r="U790" s="34" t="str">
        <f aca="false">IF(B790="","",IF(MONTH(B790)=12,"X",""))</f>
        <v/>
      </c>
      <c r="V790" s="24" t="str">
        <f aca="false">IF(E790="","",COUNTIF($E$5:$E$1000,E790))</f>
        <v/>
      </c>
      <c r="W790" s="35" t="str">
        <f aca="false">IF(E790="","",_xlfn.TEXTJOIN(" + ",TRUE(),IF(COUNTIFS($E$5:$E$1000,E790,$C$5:$C$1000,"Auditoría Interna")&gt;0,"Interna",""),IF(COUNTIFS($E$5:$E$1000,E790,$C$5:$C$1000,"Auditoría Externa")&gt;0,"Externa",""),IF(COUNTIFS($E$5:$E$1000,E790,$C$5:$C$1000,"SSF")&gt;0,"SSF",""),IF(COUNTIFS($E$5:$E$1000,E790,$C$5:$C$1000,"Comité de Supervisión")&gt;0,"Comité Sup.",""),IF(COUNTIFS($E$5:$E$1000,E790,$C$5:$C$1000,"Consejo de Administración")&gt;0,"Consejo",""),IF(COUNTIFS($E$5:$E$1000,E790,$C$5:$C$1000,"Otros")&gt;0,"Otros","")))</f>
        <v/>
      </c>
      <c r="X790" s="24" t="str">
        <f aca="false">IF(E790="","",COUNTIFS($E$5:$E$1000,E790,$AB$5:$AB$1000,AB790,$C$5:$C$1000,"&lt;&gt;"&amp;C790))</f>
        <v/>
      </c>
      <c r="Y790" s="33"/>
      <c r="Z790" s="31"/>
      <c r="AA790" s="33"/>
      <c r="AB790" s="37" t="str">
        <f aca="false">IF(B790="","",YEAR(B790)*100+MONTH(B790))</f>
        <v/>
      </c>
      <c r="AC790" s="37" t="str">
        <f aca="false">IF(AND(E790&lt;&gt;"",E790=Cruce!$C$5),COUNTIF($E$5:E790,E790),"")</f>
        <v/>
      </c>
      <c r="AD790" s="37" t="str">
        <f aca="false">IF(E790="","",C790&amp;"|"&amp;Y790&amp;"|"&amp;IF(B790="","s/f",TEXT(B790,"yyyymmdd")))</f>
        <v/>
      </c>
      <c r="AE790" s="37" t="n">
        <f aca="false">IF(E790="",0,IF(COUNTIFS($E$5:E790,E790,$AD$5:AD790,AD790)=1,1,0))</f>
        <v>0</v>
      </c>
    </row>
    <row r="791" customFormat="false" ht="15" hidden="false" customHeight="true" outlineLevel="0" collapsed="false">
      <c r="A791" s="31"/>
      <c r="B791" s="30"/>
      <c r="C791" s="31"/>
      <c r="D791" s="31"/>
      <c r="E791" s="32"/>
      <c r="F791" s="32"/>
      <c r="G791" s="33"/>
      <c r="H791" s="31"/>
      <c r="I791" s="24" t="str">
        <f aca="false">IF(B791="","",YEAR(B791))</f>
        <v/>
      </c>
      <c r="J791" s="34" t="str">
        <f aca="false">IF(B791="","",IF(MONTH(B791)=1,"X",""))</f>
        <v/>
      </c>
      <c r="K791" s="34" t="str">
        <f aca="false">IF(B791="","",IF(MONTH(B791)=2,"X",""))</f>
        <v/>
      </c>
      <c r="L791" s="34" t="str">
        <f aca="false">IF(B791="","",IF(MONTH(B791)=3,"X",""))</f>
        <v/>
      </c>
      <c r="M791" s="34" t="str">
        <f aca="false">IF(B791="","",IF(MONTH(B791)=4,"X",""))</f>
        <v/>
      </c>
      <c r="N791" s="34" t="str">
        <f aca="false">IF(B791="","",IF(MONTH(B791)=5,"X",""))</f>
        <v/>
      </c>
      <c r="O791" s="34" t="str">
        <f aca="false">IF(B791="","",IF(MONTH(B791)=6,"X",""))</f>
        <v/>
      </c>
      <c r="P791" s="34" t="str">
        <f aca="false">IF(B791="","",IF(MONTH(B791)=7,"X",""))</f>
        <v/>
      </c>
      <c r="Q791" s="34" t="str">
        <f aca="false">IF(B791="","",IF(MONTH(B791)=8,"X",""))</f>
        <v/>
      </c>
      <c r="R791" s="34" t="str">
        <f aca="false">IF(B791="","",IF(MONTH(B791)=9,"X",""))</f>
        <v/>
      </c>
      <c r="S791" s="34" t="str">
        <f aca="false">IF(B791="","",IF(MONTH(B791)=10,"X",""))</f>
        <v/>
      </c>
      <c r="T791" s="34" t="str">
        <f aca="false">IF(B791="","",IF(MONTH(B791)=11,"X",""))</f>
        <v/>
      </c>
      <c r="U791" s="34" t="str">
        <f aca="false">IF(B791="","",IF(MONTH(B791)=12,"X",""))</f>
        <v/>
      </c>
      <c r="V791" s="24" t="str">
        <f aca="false">IF(E791="","",COUNTIF($E$5:$E$1000,E791))</f>
        <v/>
      </c>
      <c r="W791" s="35" t="str">
        <f aca="false">IF(E791="","",_xlfn.TEXTJOIN(" + ",TRUE(),IF(COUNTIFS($E$5:$E$1000,E791,$C$5:$C$1000,"Auditoría Interna")&gt;0,"Interna",""),IF(COUNTIFS($E$5:$E$1000,E791,$C$5:$C$1000,"Auditoría Externa")&gt;0,"Externa",""),IF(COUNTIFS($E$5:$E$1000,E791,$C$5:$C$1000,"SSF")&gt;0,"SSF",""),IF(COUNTIFS($E$5:$E$1000,E791,$C$5:$C$1000,"Comité de Supervisión")&gt;0,"Comité Sup.",""),IF(COUNTIFS($E$5:$E$1000,E791,$C$5:$C$1000,"Consejo de Administración")&gt;0,"Consejo",""),IF(COUNTIFS($E$5:$E$1000,E791,$C$5:$C$1000,"Otros")&gt;0,"Otros","")))</f>
        <v/>
      </c>
      <c r="X791" s="24" t="str">
        <f aca="false">IF(E791="","",COUNTIFS($E$5:$E$1000,E791,$AB$5:$AB$1000,AB791,$C$5:$C$1000,"&lt;&gt;"&amp;C791))</f>
        <v/>
      </c>
      <c r="Y791" s="33"/>
      <c r="Z791" s="31"/>
      <c r="AA791" s="33"/>
      <c r="AB791" s="37" t="str">
        <f aca="false">IF(B791="","",YEAR(B791)*100+MONTH(B791))</f>
        <v/>
      </c>
      <c r="AC791" s="37" t="str">
        <f aca="false">IF(AND(E791&lt;&gt;"",E791=Cruce!$C$5),COUNTIF($E$5:E791,E791),"")</f>
        <v/>
      </c>
      <c r="AD791" s="37" t="str">
        <f aca="false">IF(E791="","",C791&amp;"|"&amp;Y791&amp;"|"&amp;IF(B791="","s/f",TEXT(B791,"yyyymmdd")))</f>
        <v/>
      </c>
      <c r="AE791" s="37" t="n">
        <f aca="false">IF(E791="",0,IF(COUNTIFS($E$5:E791,E791,$AD$5:AD791,AD791)=1,1,0))</f>
        <v>0</v>
      </c>
    </row>
    <row r="792" customFormat="false" ht="15" hidden="false" customHeight="true" outlineLevel="0" collapsed="false">
      <c r="A792" s="31"/>
      <c r="B792" s="30"/>
      <c r="C792" s="31"/>
      <c r="D792" s="31"/>
      <c r="E792" s="32"/>
      <c r="F792" s="32"/>
      <c r="G792" s="33"/>
      <c r="H792" s="31"/>
      <c r="I792" s="24" t="str">
        <f aca="false">IF(B792="","",YEAR(B792))</f>
        <v/>
      </c>
      <c r="J792" s="34" t="str">
        <f aca="false">IF(B792="","",IF(MONTH(B792)=1,"X",""))</f>
        <v/>
      </c>
      <c r="K792" s="34" t="str">
        <f aca="false">IF(B792="","",IF(MONTH(B792)=2,"X",""))</f>
        <v/>
      </c>
      <c r="L792" s="34" t="str">
        <f aca="false">IF(B792="","",IF(MONTH(B792)=3,"X",""))</f>
        <v/>
      </c>
      <c r="M792" s="34" t="str">
        <f aca="false">IF(B792="","",IF(MONTH(B792)=4,"X",""))</f>
        <v/>
      </c>
      <c r="N792" s="34" t="str">
        <f aca="false">IF(B792="","",IF(MONTH(B792)=5,"X",""))</f>
        <v/>
      </c>
      <c r="O792" s="34" t="str">
        <f aca="false">IF(B792="","",IF(MONTH(B792)=6,"X",""))</f>
        <v/>
      </c>
      <c r="P792" s="34" t="str">
        <f aca="false">IF(B792="","",IF(MONTH(B792)=7,"X",""))</f>
        <v/>
      </c>
      <c r="Q792" s="34" t="str">
        <f aca="false">IF(B792="","",IF(MONTH(B792)=8,"X",""))</f>
        <v/>
      </c>
      <c r="R792" s="34" t="str">
        <f aca="false">IF(B792="","",IF(MONTH(B792)=9,"X",""))</f>
        <v/>
      </c>
      <c r="S792" s="34" t="str">
        <f aca="false">IF(B792="","",IF(MONTH(B792)=10,"X",""))</f>
        <v/>
      </c>
      <c r="T792" s="34" t="str">
        <f aca="false">IF(B792="","",IF(MONTH(B792)=11,"X",""))</f>
        <v/>
      </c>
      <c r="U792" s="34" t="str">
        <f aca="false">IF(B792="","",IF(MONTH(B792)=12,"X",""))</f>
        <v/>
      </c>
      <c r="V792" s="24" t="str">
        <f aca="false">IF(E792="","",COUNTIF($E$5:$E$1000,E792))</f>
        <v/>
      </c>
      <c r="W792" s="35" t="str">
        <f aca="false">IF(E792="","",_xlfn.TEXTJOIN(" + ",TRUE(),IF(COUNTIFS($E$5:$E$1000,E792,$C$5:$C$1000,"Auditoría Interna")&gt;0,"Interna",""),IF(COUNTIFS($E$5:$E$1000,E792,$C$5:$C$1000,"Auditoría Externa")&gt;0,"Externa",""),IF(COUNTIFS($E$5:$E$1000,E792,$C$5:$C$1000,"SSF")&gt;0,"SSF",""),IF(COUNTIFS($E$5:$E$1000,E792,$C$5:$C$1000,"Comité de Supervisión")&gt;0,"Comité Sup.",""),IF(COUNTIFS($E$5:$E$1000,E792,$C$5:$C$1000,"Consejo de Administración")&gt;0,"Consejo",""),IF(COUNTIFS($E$5:$E$1000,E792,$C$5:$C$1000,"Otros")&gt;0,"Otros","")))</f>
        <v/>
      </c>
      <c r="X792" s="24" t="str">
        <f aca="false">IF(E792="","",COUNTIFS($E$5:$E$1000,E792,$AB$5:$AB$1000,AB792,$C$5:$C$1000,"&lt;&gt;"&amp;C792))</f>
        <v/>
      </c>
      <c r="Y792" s="33"/>
      <c r="Z792" s="31"/>
      <c r="AA792" s="33"/>
      <c r="AB792" s="37" t="str">
        <f aca="false">IF(B792="","",YEAR(B792)*100+MONTH(B792))</f>
        <v/>
      </c>
      <c r="AC792" s="37" t="str">
        <f aca="false">IF(AND(E792&lt;&gt;"",E792=Cruce!$C$5),COUNTIF($E$5:E792,E792),"")</f>
        <v/>
      </c>
      <c r="AD792" s="37" t="str">
        <f aca="false">IF(E792="","",C792&amp;"|"&amp;Y792&amp;"|"&amp;IF(B792="","s/f",TEXT(B792,"yyyymmdd")))</f>
        <v/>
      </c>
      <c r="AE792" s="37" t="n">
        <f aca="false">IF(E792="",0,IF(COUNTIFS($E$5:E792,E792,$AD$5:AD792,AD792)=1,1,0))</f>
        <v>0</v>
      </c>
    </row>
    <row r="793" customFormat="false" ht="15" hidden="false" customHeight="true" outlineLevel="0" collapsed="false">
      <c r="A793" s="31"/>
      <c r="B793" s="30"/>
      <c r="C793" s="31"/>
      <c r="D793" s="31"/>
      <c r="E793" s="32"/>
      <c r="F793" s="32"/>
      <c r="G793" s="33"/>
      <c r="H793" s="31"/>
      <c r="I793" s="24" t="str">
        <f aca="false">IF(B793="","",YEAR(B793))</f>
        <v/>
      </c>
      <c r="J793" s="34" t="str">
        <f aca="false">IF(B793="","",IF(MONTH(B793)=1,"X",""))</f>
        <v/>
      </c>
      <c r="K793" s="34" t="str">
        <f aca="false">IF(B793="","",IF(MONTH(B793)=2,"X",""))</f>
        <v/>
      </c>
      <c r="L793" s="34" t="str">
        <f aca="false">IF(B793="","",IF(MONTH(B793)=3,"X",""))</f>
        <v/>
      </c>
      <c r="M793" s="34" t="str">
        <f aca="false">IF(B793="","",IF(MONTH(B793)=4,"X",""))</f>
        <v/>
      </c>
      <c r="N793" s="34" t="str">
        <f aca="false">IF(B793="","",IF(MONTH(B793)=5,"X",""))</f>
        <v/>
      </c>
      <c r="O793" s="34" t="str">
        <f aca="false">IF(B793="","",IF(MONTH(B793)=6,"X",""))</f>
        <v/>
      </c>
      <c r="P793" s="34" t="str">
        <f aca="false">IF(B793="","",IF(MONTH(B793)=7,"X",""))</f>
        <v/>
      </c>
      <c r="Q793" s="34" t="str">
        <f aca="false">IF(B793="","",IF(MONTH(B793)=8,"X",""))</f>
        <v/>
      </c>
      <c r="R793" s="34" t="str">
        <f aca="false">IF(B793="","",IF(MONTH(B793)=9,"X",""))</f>
        <v/>
      </c>
      <c r="S793" s="34" t="str">
        <f aca="false">IF(B793="","",IF(MONTH(B793)=10,"X",""))</f>
        <v/>
      </c>
      <c r="T793" s="34" t="str">
        <f aca="false">IF(B793="","",IF(MONTH(B793)=11,"X",""))</f>
        <v/>
      </c>
      <c r="U793" s="34" t="str">
        <f aca="false">IF(B793="","",IF(MONTH(B793)=12,"X",""))</f>
        <v/>
      </c>
      <c r="V793" s="24" t="str">
        <f aca="false">IF(E793="","",COUNTIF($E$5:$E$1000,E793))</f>
        <v/>
      </c>
      <c r="W793" s="35" t="str">
        <f aca="false">IF(E793="","",_xlfn.TEXTJOIN(" + ",TRUE(),IF(COUNTIFS($E$5:$E$1000,E793,$C$5:$C$1000,"Auditoría Interna")&gt;0,"Interna",""),IF(COUNTIFS($E$5:$E$1000,E793,$C$5:$C$1000,"Auditoría Externa")&gt;0,"Externa",""),IF(COUNTIFS($E$5:$E$1000,E793,$C$5:$C$1000,"SSF")&gt;0,"SSF",""),IF(COUNTIFS($E$5:$E$1000,E793,$C$5:$C$1000,"Comité de Supervisión")&gt;0,"Comité Sup.",""),IF(COUNTIFS($E$5:$E$1000,E793,$C$5:$C$1000,"Consejo de Administración")&gt;0,"Consejo",""),IF(COUNTIFS($E$5:$E$1000,E793,$C$5:$C$1000,"Otros")&gt;0,"Otros","")))</f>
        <v/>
      </c>
      <c r="X793" s="24" t="str">
        <f aca="false">IF(E793="","",COUNTIFS($E$5:$E$1000,E793,$AB$5:$AB$1000,AB793,$C$5:$C$1000,"&lt;&gt;"&amp;C793))</f>
        <v/>
      </c>
      <c r="Y793" s="33"/>
      <c r="Z793" s="31"/>
      <c r="AA793" s="33"/>
      <c r="AB793" s="37" t="str">
        <f aca="false">IF(B793="","",YEAR(B793)*100+MONTH(B793))</f>
        <v/>
      </c>
      <c r="AC793" s="37" t="str">
        <f aca="false">IF(AND(E793&lt;&gt;"",E793=Cruce!$C$5),COUNTIF($E$5:E793,E793),"")</f>
        <v/>
      </c>
      <c r="AD793" s="37" t="str">
        <f aca="false">IF(E793="","",C793&amp;"|"&amp;Y793&amp;"|"&amp;IF(B793="","s/f",TEXT(B793,"yyyymmdd")))</f>
        <v/>
      </c>
      <c r="AE793" s="37" t="n">
        <f aca="false">IF(E793="",0,IF(COUNTIFS($E$5:E793,E793,$AD$5:AD793,AD793)=1,1,0))</f>
        <v>0</v>
      </c>
    </row>
    <row r="794" customFormat="false" ht="15" hidden="false" customHeight="true" outlineLevel="0" collapsed="false">
      <c r="A794" s="31"/>
      <c r="B794" s="30"/>
      <c r="C794" s="31"/>
      <c r="D794" s="31"/>
      <c r="E794" s="32"/>
      <c r="F794" s="32"/>
      <c r="G794" s="33"/>
      <c r="H794" s="31"/>
      <c r="I794" s="24" t="str">
        <f aca="false">IF(B794="","",YEAR(B794))</f>
        <v/>
      </c>
      <c r="J794" s="34" t="str">
        <f aca="false">IF(B794="","",IF(MONTH(B794)=1,"X",""))</f>
        <v/>
      </c>
      <c r="K794" s="34" t="str">
        <f aca="false">IF(B794="","",IF(MONTH(B794)=2,"X",""))</f>
        <v/>
      </c>
      <c r="L794" s="34" t="str">
        <f aca="false">IF(B794="","",IF(MONTH(B794)=3,"X",""))</f>
        <v/>
      </c>
      <c r="M794" s="34" t="str">
        <f aca="false">IF(B794="","",IF(MONTH(B794)=4,"X",""))</f>
        <v/>
      </c>
      <c r="N794" s="34" t="str">
        <f aca="false">IF(B794="","",IF(MONTH(B794)=5,"X",""))</f>
        <v/>
      </c>
      <c r="O794" s="34" t="str">
        <f aca="false">IF(B794="","",IF(MONTH(B794)=6,"X",""))</f>
        <v/>
      </c>
      <c r="P794" s="34" t="str">
        <f aca="false">IF(B794="","",IF(MONTH(B794)=7,"X",""))</f>
        <v/>
      </c>
      <c r="Q794" s="34" t="str">
        <f aca="false">IF(B794="","",IF(MONTH(B794)=8,"X",""))</f>
        <v/>
      </c>
      <c r="R794" s="34" t="str">
        <f aca="false">IF(B794="","",IF(MONTH(B794)=9,"X",""))</f>
        <v/>
      </c>
      <c r="S794" s="34" t="str">
        <f aca="false">IF(B794="","",IF(MONTH(B794)=10,"X",""))</f>
        <v/>
      </c>
      <c r="T794" s="34" t="str">
        <f aca="false">IF(B794="","",IF(MONTH(B794)=11,"X",""))</f>
        <v/>
      </c>
      <c r="U794" s="34" t="str">
        <f aca="false">IF(B794="","",IF(MONTH(B794)=12,"X",""))</f>
        <v/>
      </c>
      <c r="V794" s="24" t="str">
        <f aca="false">IF(E794="","",COUNTIF($E$5:$E$1000,E794))</f>
        <v/>
      </c>
      <c r="W794" s="35" t="str">
        <f aca="false">IF(E794="","",_xlfn.TEXTJOIN(" + ",TRUE(),IF(COUNTIFS($E$5:$E$1000,E794,$C$5:$C$1000,"Auditoría Interna")&gt;0,"Interna",""),IF(COUNTIFS($E$5:$E$1000,E794,$C$5:$C$1000,"Auditoría Externa")&gt;0,"Externa",""),IF(COUNTIFS($E$5:$E$1000,E794,$C$5:$C$1000,"SSF")&gt;0,"SSF",""),IF(COUNTIFS($E$5:$E$1000,E794,$C$5:$C$1000,"Comité de Supervisión")&gt;0,"Comité Sup.",""),IF(COUNTIFS($E$5:$E$1000,E794,$C$5:$C$1000,"Consejo de Administración")&gt;0,"Consejo",""),IF(COUNTIFS($E$5:$E$1000,E794,$C$5:$C$1000,"Otros")&gt;0,"Otros","")))</f>
        <v/>
      </c>
      <c r="X794" s="24" t="str">
        <f aca="false">IF(E794="","",COUNTIFS($E$5:$E$1000,E794,$AB$5:$AB$1000,AB794,$C$5:$C$1000,"&lt;&gt;"&amp;C794))</f>
        <v/>
      </c>
      <c r="Y794" s="33"/>
      <c r="Z794" s="31"/>
      <c r="AA794" s="33"/>
      <c r="AB794" s="37" t="str">
        <f aca="false">IF(B794="","",YEAR(B794)*100+MONTH(B794))</f>
        <v/>
      </c>
      <c r="AC794" s="37" t="str">
        <f aca="false">IF(AND(E794&lt;&gt;"",E794=Cruce!$C$5),COUNTIF($E$5:E794,E794),"")</f>
        <v/>
      </c>
      <c r="AD794" s="37" t="str">
        <f aca="false">IF(E794="","",C794&amp;"|"&amp;Y794&amp;"|"&amp;IF(B794="","s/f",TEXT(B794,"yyyymmdd")))</f>
        <v/>
      </c>
      <c r="AE794" s="37" t="n">
        <f aca="false">IF(E794="",0,IF(COUNTIFS($E$5:E794,E794,$AD$5:AD794,AD794)=1,1,0))</f>
        <v>0</v>
      </c>
    </row>
    <row r="795" customFormat="false" ht="15" hidden="false" customHeight="true" outlineLevel="0" collapsed="false">
      <c r="A795" s="31"/>
      <c r="B795" s="30"/>
      <c r="C795" s="31"/>
      <c r="D795" s="31"/>
      <c r="E795" s="32"/>
      <c r="F795" s="32"/>
      <c r="G795" s="33"/>
      <c r="H795" s="31"/>
      <c r="I795" s="24" t="str">
        <f aca="false">IF(B795="","",YEAR(B795))</f>
        <v/>
      </c>
      <c r="J795" s="34" t="str">
        <f aca="false">IF(B795="","",IF(MONTH(B795)=1,"X",""))</f>
        <v/>
      </c>
      <c r="K795" s="34" t="str">
        <f aca="false">IF(B795="","",IF(MONTH(B795)=2,"X",""))</f>
        <v/>
      </c>
      <c r="L795" s="34" t="str">
        <f aca="false">IF(B795="","",IF(MONTH(B795)=3,"X",""))</f>
        <v/>
      </c>
      <c r="M795" s="34" t="str">
        <f aca="false">IF(B795="","",IF(MONTH(B795)=4,"X",""))</f>
        <v/>
      </c>
      <c r="N795" s="34" t="str">
        <f aca="false">IF(B795="","",IF(MONTH(B795)=5,"X",""))</f>
        <v/>
      </c>
      <c r="O795" s="34" t="str">
        <f aca="false">IF(B795="","",IF(MONTH(B795)=6,"X",""))</f>
        <v/>
      </c>
      <c r="P795" s="34" t="str">
        <f aca="false">IF(B795="","",IF(MONTH(B795)=7,"X",""))</f>
        <v/>
      </c>
      <c r="Q795" s="34" t="str">
        <f aca="false">IF(B795="","",IF(MONTH(B795)=8,"X",""))</f>
        <v/>
      </c>
      <c r="R795" s="34" t="str">
        <f aca="false">IF(B795="","",IF(MONTH(B795)=9,"X",""))</f>
        <v/>
      </c>
      <c r="S795" s="34" t="str">
        <f aca="false">IF(B795="","",IF(MONTH(B795)=10,"X",""))</f>
        <v/>
      </c>
      <c r="T795" s="34" t="str">
        <f aca="false">IF(B795="","",IF(MONTH(B795)=11,"X",""))</f>
        <v/>
      </c>
      <c r="U795" s="34" t="str">
        <f aca="false">IF(B795="","",IF(MONTH(B795)=12,"X",""))</f>
        <v/>
      </c>
      <c r="V795" s="24" t="str">
        <f aca="false">IF(E795="","",COUNTIF($E$5:$E$1000,E795))</f>
        <v/>
      </c>
      <c r="W795" s="35" t="str">
        <f aca="false">IF(E795="","",_xlfn.TEXTJOIN(" + ",TRUE(),IF(COUNTIFS($E$5:$E$1000,E795,$C$5:$C$1000,"Auditoría Interna")&gt;0,"Interna",""),IF(COUNTIFS($E$5:$E$1000,E795,$C$5:$C$1000,"Auditoría Externa")&gt;0,"Externa",""),IF(COUNTIFS($E$5:$E$1000,E795,$C$5:$C$1000,"SSF")&gt;0,"SSF",""),IF(COUNTIFS($E$5:$E$1000,E795,$C$5:$C$1000,"Comité de Supervisión")&gt;0,"Comité Sup.",""),IF(COUNTIFS($E$5:$E$1000,E795,$C$5:$C$1000,"Consejo de Administración")&gt;0,"Consejo",""),IF(COUNTIFS($E$5:$E$1000,E795,$C$5:$C$1000,"Otros")&gt;0,"Otros","")))</f>
        <v/>
      </c>
      <c r="X795" s="24" t="str">
        <f aca="false">IF(E795="","",COUNTIFS($E$5:$E$1000,E795,$AB$5:$AB$1000,AB795,$C$5:$C$1000,"&lt;&gt;"&amp;C795))</f>
        <v/>
      </c>
      <c r="Y795" s="33"/>
      <c r="Z795" s="31"/>
      <c r="AA795" s="33"/>
      <c r="AB795" s="37" t="str">
        <f aca="false">IF(B795="","",YEAR(B795)*100+MONTH(B795))</f>
        <v/>
      </c>
      <c r="AC795" s="37" t="str">
        <f aca="false">IF(AND(E795&lt;&gt;"",E795=Cruce!$C$5),COUNTIF($E$5:E795,E795),"")</f>
        <v/>
      </c>
      <c r="AD795" s="37" t="str">
        <f aca="false">IF(E795="","",C795&amp;"|"&amp;Y795&amp;"|"&amp;IF(B795="","s/f",TEXT(B795,"yyyymmdd")))</f>
        <v/>
      </c>
      <c r="AE795" s="37" t="n">
        <f aca="false">IF(E795="",0,IF(COUNTIFS($E$5:E795,E795,$AD$5:AD795,AD795)=1,1,0))</f>
        <v>0</v>
      </c>
    </row>
    <row r="796" customFormat="false" ht="15" hidden="false" customHeight="true" outlineLevel="0" collapsed="false">
      <c r="A796" s="31"/>
      <c r="B796" s="30"/>
      <c r="C796" s="31"/>
      <c r="D796" s="31"/>
      <c r="E796" s="32"/>
      <c r="F796" s="32"/>
      <c r="G796" s="33"/>
      <c r="H796" s="31"/>
      <c r="I796" s="24" t="str">
        <f aca="false">IF(B796="","",YEAR(B796))</f>
        <v/>
      </c>
      <c r="J796" s="34" t="str">
        <f aca="false">IF(B796="","",IF(MONTH(B796)=1,"X",""))</f>
        <v/>
      </c>
      <c r="K796" s="34" t="str">
        <f aca="false">IF(B796="","",IF(MONTH(B796)=2,"X",""))</f>
        <v/>
      </c>
      <c r="L796" s="34" t="str">
        <f aca="false">IF(B796="","",IF(MONTH(B796)=3,"X",""))</f>
        <v/>
      </c>
      <c r="M796" s="34" t="str">
        <f aca="false">IF(B796="","",IF(MONTH(B796)=4,"X",""))</f>
        <v/>
      </c>
      <c r="N796" s="34" t="str">
        <f aca="false">IF(B796="","",IF(MONTH(B796)=5,"X",""))</f>
        <v/>
      </c>
      <c r="O796" s="34" t="str">
        <f aca="false">IF(B796="","",IF(MONTH(B796)=6,"X",""))</f>
        <v/>
      </c>
      <c r="P796" s="34" t="str">
        <f aca="false">IF(B796="","",IF(MONTH(B796)=7,"X",""))</f>
        <v/>
      </c>
      <c r="Q796" s="34" t="str">
        <f aca="false">IF(B796="","",IF(MONTH(B796)=8,"X",""))</f>
        <v/>
      </c>
      <c r="R796" s="34" t="str">
        <f aca="false">IF(B796="","",IF(MONTH(B796)=9,"X",""))</f>
        <v/>
      </c>
      <c r="S796" s="34" t="str">
        <f aca="false">IF(B796="","",IF(MONTH(B796)=10,"X",""))</f>
        <v/>
      </c>
      <c r="T796" s="34" t="str">
        <f aca="false">IF(B796="","",IF(MONTH(B796)=11,"X",""))</f>
        <v/>
      </c>
      <c r="U796" s="34" t="str">
        <f aca="false">IF(B796="","",IF(MONTH(B796)=12,"X",""))</f>
        <v/>
      </c>
      <c r="V796" s="24" t="str">
        <f aca="false">IF(E796="","",COUNTIF($E$5:$E$1000,E796))</f>
        <v/>
      </c>
      <c r="W796" s="35" t="str">
        <f aca="false">IF(E796="","",_xlfn.TEXTJOIN(" + ",TRUE(),IF(COUNTIFS($E$5:$E$1000,E796,$C$5:$C$1000,"Auditoría Interna")&gt;0,"Interna",""),IF(COUNTIFS($E$5:$E$1000,E796,$C$5:$C$1000,"Auditoría Externa")&gt;0,"Externa",""),IF(COUNTIFS($E$5:$E$1000,E796,$C$5:$C$1000,"SSF")&gt;0,"SSF",""),IF(COUNTIFS($E$5:$E$1000,E796,$C$5:$C$1000,"Comité de Supervisión")&gt;0,"Comité Sup.",""),IF(COUNTIFS($E$5:$E$1000,E796,$C$5:$C$1000,"Consejo de Administración")&gt;0,"Consejo",""),IF(COUNTIFS($E$5:$E$1000,E796,$C$5:$C$1000,"Otros")&gt;0,"Otros","")))</f>
        <v/>
      </c>
      <c r="X796" s="24" t="str">
        <f aca="false">IF(E796="","",COUNTIFS($E$5:$E$1000,E796,$AB$5:$AB$1000,AB796,$C$5:$C$1000,"&lt;&gt;"&amp;C796))</f>
        <v/>
      </c>
      <c r="Y796" s="33"/>
      <c r="Z796" s="31"/>
      <c r="AA796" s="33"/>
      <c r="AB796" s="37" t="str">
        <f aca="false">IF(B796="","",YEAR(B796)*100+MONTH(B796))</f>
        <v/>
      </c>
      <c r="AC796" s="37" t="str">
        <f aca="false">IF(AND(E796&lt;&gt;"",E796=Cruce!$C$5),COUNTIF($E$5:E796,E796),"")</f>
        <v/>
      </c>
      <c r="AD796" s="37" t="str">
        <f aca="false">IF(E796="","",C796&amp;"|"&amp;Y796&amp;"|"&amp;IF(B796="","s/f",TEXT(B796,"yyyymmdd")))</f>
        <v/>
      </c>
      <c r="AE796" s="37" t="n">
        <f aca="false">IF(E796="",0,IF(COUNTIFS($E$5:E796,E796,$AD$5:AD796,AD796)=1,1,0))</f>
        <v>0</v>
      </c>
    </row>
    <row r="797" customFormat="false" ht="15" hidden="false" customHeight="true" outlineLevel="0" collapsed="false">
      <c r="A797" s="31"/>
      <c r="B797" s="30"/>
      <c r="C797" s="31"/>
      <c r="D797" s="31"/>
      <c r="E797" s="32"/>
      <c r="F797" s="32"/>
      <c r="G797" s="33"/>
      <c r="H797" s="31"/>
      <c r="I797" s="24" t="str">
        <f aca="false">IF(B797="","",YEAR(B797))</f>
        <v/>
      </c>
      <c r="J797" s="34" t="str">
        <f aca="false">IF(B797="","",IF(MONTH(B797)=1,"X",""))</f>
        <v/>
      </c>
      <c r="K797" s="34" t="str">
        <f aca="false">IF(B797="","",IF(MONTH(B797)=2,"X",""))</f>
        <v/>
      </c>
      <c r="L797" s="34" t="str">
        <f aca="false">IF(B797="","",IF(MONTH(B797)=3,"X",""))</f>
        <v/>
      </c>
      <c r="M797" s="34" t="str">
        <f aca="false">IF(B797="","",IF(MONTH(B797)=4,"X",""))</f>
        <v/>
      </c>
      <c r="N797" s="34" t="str">
        <f aca="false">IF(B797="","",IF(MONTH(B797)=5,"X",""))</f>
        <v/>
      </c>
      <c r="O797" s="34" t="str">
        <f aca="false">IF(B797="","",IF(MONTH(B797)=6,"X",""))</f>
        <v/>
      </c>
      <c r="P797" s="34" t="str">
        <f aca="false">IF(B797="","",IF(MONTH(B797)=7,"X",""))</f>
        <v/>
      </c>
      <c r="Q797" s="34" t="str">
        <f aca="false">IF(B797="","",IF(MONTH(B797)=8,"X",""))</f>
        <v/>
      </c>
      <c r="R797" s="34" t="str">
        <f aca="false">IF(B797="","",IF(MONTH(B797)=9,"X",""))</f>
        <v/>
      </c>
      <c r="S797" s="34" t="str">
        <f aca="false">IF(B797="","",IF(MONTH(B797)=10,"X",""))</f>
        <v/>
      </c>
      <c r="T797" s="34" t="str">
        <f aca="false">IF(B797="","",IF(MONTH(B797)=11,"X",""))</f>
        <v/>
      </c>
      <c r="U797" s="34" t="str">
        <f aca="false">IF(B797="","",IF(MONTH(B797)=12,"X",""))</f>
        <v/>
      </c>
      <c r="V797" s="24" t="str">
        <f aca="false">IF(E797="","",COUNTIF($E$5:$E$1000,E797))</f>
        <v/>
      </c>
      <c r="W797" s="35" t="str">
        <f aca="false">IF(E797="","",_xlfn.TEXTJOIN(" + ",TRUE(),IF(COUNTIFS($E$5:$E$1000,E797,$C$5:$C$1000,"Auditoría Interna")&gt;0,"Interna",""),IF(COUNTIFS($E$5:$E$1000,E797,$C$5:$C$1000,"Auditoría Externa")&gt;0,"Externa",""),IF(COUNTIFS($E$5:$E$1000,E797,$C$5:$C$1000,"SSF")&gt;0,"SSF",""),IF(COUNTIFS($E$5:$E$1000,E797,$C$5:$C$1000,"Comité de Supervisión")&gt;0,"Comité Sup.",""),IF(COUNTIFS($E$5:$E$1000,E797,$C$5:$C$1000,"Consejo de Administración")&gt;0,"Consejo",""),IF(COUNTIFS($E$5:$E$1000,E797,$C$5:$C$1000,"Otros")&gt;0,"Otros","")))</f>
        <v/>
      </c>
      <c r="X797" s="24" t="str">
        <f aca="false">IF(E797="","",COUNTIFS($E$5:$E$1000,E797,$AB$5:$AB$1000,AB797,$C$5:$C$1000,"&lt;&gt;"&amp;C797))</f>
        <v/>
      </c>
      <c r="Y797" s="33"/>
      <c r="Z797" s="31"/>
      <c r="AA797" s="33"/>
      <c r="AB797" s="37" t="str">
        <f aca="false">IF(B797="","",YEAR(B797)*100+MONTH(B797))</f>
        <v/>
      </c>
      <c r="AC797" s="37" t="str">
        <f aca="false">IF(AND(E797&lt;&gt;"",E797=Cruce!$C$5),COUNTIF($E$5:E797,E797),"")</f>
        <v/>
      </c>
      <c r="AD797" s="37" t="str">
        <f aca="false">IF(E797="","",C797&amp;"|"&amp;Y797&amp;"|"&amp;IF(B797="","s/f",TEXT(B797,"yyyymmdd")))</f>
        <v/>
      </c>
      <c r="AE797" s="37" t="n">
        <f aca="false">IF(E797="",0,IF(COUNTIFS($E$5:E797,E797,$AD$5:AD797,AD797)=1,1,0))</f>
        <v>0</v>
      </c>
    </row>
    <row r="798" customFormat="false" ht="15" hidden="false" customHeight="true" outlineLevel="0" collapsed="false">
      <c r="A798" s="31"/>
      <c r="B798" s="30"/>
      <c r="C798" s="31"/>
      <c r="D798" s="31"/>
      <c r="E798" s="32"/>
      <c r="F798" s="32"/>
      <c r="G798" s="33"/>
      <c r="H798" s="31"/>
      <c r="I798" s="24" t="str">
        <f aca="false">IF(B798="","",YEAR(B798))</f>
        <v/>
      </c>
      <c r="J798" s="34" t="str">
        <f aca="false">IF(B798="","",IF(MONTH(B798)=1,"X",""))</f>
        <v/>
      </c>
      <c r="K798" s="34" t="str">
        <f aca="false">IF(B798="","",IF(MONTH(B798)=2,"X",""))</f>
        <v/>
      </c>
      <c r="L798" s="34" t="str">
        <f aca="false">IF(B798="","",IF(MONTH(B798)=3,"X",""))</f>
        <v/>
      </c>
      <c r="M798" s="34" t="str">
        <f aca="false">IF(B798="","",IF(MONTH(B798)=4,"X",""))</f>
        <v/>
      </c>
      <c r="N798" s="34" t="str">
        <f aca="false">IF(B798="","",IF(MONTH(B798)=5,"X",""))</f>
        <v/>
      </c>
      <c r="O798" s="34" t="str">
        <f aca="false">IF(B798="","",IF(MONTH(B798)=6,"X",""))</f>
        <v/>
      </c>
      <c r="P798" s="34" t="str">
        <f aca="false">IF(B798="","",IF(MONTH(B798)=7,"X",""))</f>
        <v/>
      </c>
      <c r="Q798" s="34" t="str">
        <f aca="false">IF(B798="","",IF(MONTH(B798)=8,"X",""))</f>
        <v/>
      </c>
      <c r="R798" s="34" t="str">
        <f aca="false">IF(B798="","",IF(MONTH(B798)=9,"X",""))</f>
        <v/>
      </c>
      <c r="S798" s="34" t="str">
        <f aca="false">IF(B798="","",IF(MONTH(B798)=10,"X",""))</f>
        <v/>
      </c>
      <c r="T798" s="34" t="str">
        <f aca="false">IF(B798="","",IF(MONTH(B798)=11,"X",""))</f>
        <v/>
      </c>
      <c r="U798" s="34" t="str">
        <f aca="false">IF(B798="","",IF(MONTH(B798)=12,"X",""))</f>
        <v/>
      </c>
      <c r="V798" s="24" t="str">
        <f aca="false">IF(E798="","",COUNTIF($E$5:$E$1000,E798))</f>
        <v/>
      </c>
      <c r="W798" s="35" t="str">
        <f aca="false">IF(E798="","",_xlfn.TEXTJOIN(" + ",TRUE(),IF(COUNTIFS($E$5:$E$1000,E798,$C$5:$C$1000,"Auditoría Interna")&gt;0,"Interna",""),IF(COUNTIFS($E$5:$E$1000,E798,$C$5:$C$1000,"Auditoría Externa")&gt;0,"Externa",""),IF(COUNTIFS($E$5:$E$1000,E798,$C$5:$C$1000,"SSF")&gt;0,"SSF",""),IF(COUNTIFS($E$5:$E$1000,E798,$C$5:$C$1000,"Comité de Supervisión")&gt;0,"Comité Sup.",""),IF(COUNTIFS($E$5:$E$1000,E798,$C$5:$C$1000,"Consejo de Administración")&gt;0,"Consejo",""),IF(COUNTIFS($E$5:$E$1000,E798,$C$5:$C$1000,"Otros")&gt;0,"Otros","")))</f>
        <v/>
      </c>
      <c r="X798" s="24" t="str">
        <f aca="false">IF(E798="","",COUNTIFS($E$5:$E$1000,E798,$AB$5:$AB$1000,AB798,$C$5:$C$1000,"&lt;&gt;"&amp;C798))</f>
        <v/>
      </c>
      <c r="Y798" s="33"/>
      <c r="Z798" s="31"/>
      <c r="AA798" s="33"/>
      <c r="AB798" s="37" t="str">
        <f aca="false">IF(B798="","",YEAR(B798)*100+MONTH(B798))</f>
        <v/>
      </c>
      <c r="AC798" s="37" t="str">
        <f aca="false">IF(AND(E798&lt;&gt;"",E798=Cruce!$C$5),COUNTIF($E$5:E798,E798),"")</f>
        <v/>
      </c>
      <c r="AD798" s="37" t="str">
        <f aca="false">IF(E798="","",C798&amp;"|"&amp;Y798&amp;"|"&amp;IF(B798="","s/f",TEXT(B798,"yyyymmdd")))</f>
        <v/>
      </c>
      <c r="AE798" s="37" t="n">
        <f aca="false">IF(E798="",0,IF(COUNTIFS($E$5:E798,E798,$AD$5:AD798,AD798)=1,1,0))</f>
        <v>0</v>
      </c>
    </row>
    <row r="799" customFormat="false" ht="15" hidden="false" customHeight="true" outlineLevel="0" collapsed="false">
      <c r="A799" s="31"/>
      <c r="B799" s="30"/>
      <c r="C799" s="31"/>
      <c r="D799" s="31"/>
      <c r="E799" s="32"/>
      <c r="F799" s="32"/>
      <c r="G799" s="33"/>
      <c r="H799" s="31"/>
      <c r="I799" s="24" t="str">
        <f aca="false">IF(B799="","",YEAR(B799))</f>
        <v/>
      </c>
      <c r="J799" s="34" t="str">
        <f aca="false">IF(B799="","",IF(MONTH(B799)=1,"X",""))</f>
        <v/>
      </c>
      <c r="K799" s="34" t="str">
        <f aca="false">IF(B799="","",IF(MONTH(B799)=2,"X",""))</f>
        <v/>
      </c>
      <c r="L799" s="34" t="str">
        <f aca="false">IF(B799="","",IF(MONTH(B799)=3,"X",""))</f>
        <v/>
      </c>
      <c r="M799" s="34" t="str">
        <f aca="false">IF(B799="","",IF(MONTH(B799)=4,"X",""))</f>
        <v/>
      </c>
      <c r="N799" s="34" t="str">
        <f aca="false">IF(B799="","",IF(MONTH(B799)=5,"X",""))</f>
        <v/>
      </c>
      <c r="O799" s="34" t="str">
        <f aca="false">IF(B799="","",IF(MONTH(B799)=6,"X",""))</f>
        <v/>
      </c>
      <c r="P799" s="34" t="str">
        <f aca="false">IF(B799="","",IF(MONTH(B799)=7,"X",""))</f>
        <v/>
      </c>
      <c r="Q799" s="34" t="str">
        <f aca="false">IF(B799="","",IF(MONTH(B799)=8,"X",""))</f>
        <v/>
      </c>
      <c r="R799" s="34" t="str">
        <f aca="false">IF(B799="","",IF(MONTH(B799)=9,"X",""))</f>
        <v/>
      </c>
      <c r="S799" s="34" t="str">
        <f aca="false">IF(B799="","",IF(MONTH(B799)=10,"X",""))</f>
        <v/>
      </c>
      <c r="T799" s="34" t="str">
        <f aca="false">IF(B799="","",IF(MONTH(B799)=11,"X",""))</f>
        <v/>
      </c>
      <c r="U799" s="34" t="str">
        <f aca="false">IF(B799="","",IF(MONTH(B799)=12,"X",""))</f>
        <v/>
      </c>
      <c r="V799" s="24" t="str">
        <f aca="false">IF(E799="","",COUNTIF($E$5:$E$1000,E799))</f>
        <v/>
      </c>
      <c r="W799" s="35" t="str">
        <f aca="false">IF(E799="","",_xlfn.TEXTJOIN(" + ",TRUE(),IF(COUNTIFS($E$5:$E$1000,E799,$C$5:$C$1000,"Auditoría Interna")&gt;0,"Interna",""),IF(COUNTIFS($E$5:$E$1000,E799,$C$5:$C$1000,"Auditoría Externa")&gt;0,"Externa",""),IF(COUNTIFS($E$5:$E$1000,E799,$C$5:$C$1000,"SSF")&gt;0,"SSF",""),IF(COUNTIFS($E$5:$E$1000,E799,$C$5:$C$1000,"Comité de Supervisión")&gt;0,"Comité Sup.",""),IF(COUNTIFS($E$5:$E$1000,E799,$C$5:$C$1000,"Consejo de Administración")&gt;0,"Consejo",""),IF(COUNTIFS($E$5:$E$1000,E799,$C$5:$C$1000,"Otros")&gt;0,"Otros","")))</f>
        <v/>
      </c>
      <c r="X799" s="24" t="str">
        <f aca="false">IF(E799="","",COUNTIFS($E$5:$E$1000,E799,$AB$5:$AB$1000,AB799,$C$5:$C$1000,"&lt;&gt;"&amp;C799))</f>
        <v/>
      </c>
      <c r="Y799" s="33"/>
      <c r="Z799" s="31"/>
      <c r="AA799" s="33"/>
      <c r="AB799" s="37" t="str">
        <f aca="false">IF(B799="","",YEAR(B799)*100+MONTH(B799))</f>
        <v/>
      </c>
      <c r="AC799" s="37" t="str">
        <f aca="false">IF(AND(E799&lt;&gt;"",E799=Cruce!$C$5),COUNTIF($E$5:E799,E799),"")</f>
        <v/>
      </c>
      <c r="AD799" s="37" t="str">
        <f aca="false">IF(E799="","",C799&amp;"|"&amp;Y799&amp;"|"&amp;IF(B799="","s/f",TEXT(B799,"yyyymmdd")))</f>
        <v/>
      </c>
      <c r="AE799" s="37" t="n">
        <f aca="false">IF(E799="",0,IF(COUNTIFS($E$5:E799,E799,$AD$5:AD799,AD799)=1,1,0))</f>
        <v>0</v>
      </c>
    </row>
    <row r="800" customFormat="false" ht="15" hidden="false" customHeight="true" outlineLevel="0" collapsed="false">
      <c r="A800" s="31"/>
      <c r="B800" s="30"/>
      <c r="C800" s="31"/>
      <c r="D800" s="31"/>
      <c r="E800" s="32"/>
      <c r="F800" s="32"/>
      <c r="G800" s="33"/>
      <c r="H800" s="31"/>
      <c r="I800" s="24" t="str">
        <f aca="false">IF(B800="","",YEAR(B800))</f>
        <v/>
      </c>
      <c r="J800" s="34" t="str">
        <f aca="false">IF(B800="","",IF(MONTH(B800)=1,"X",""))</f>
        <v/>
      </c>
      <c r="K800" s="34" t="str">
        <f aca="false">IF(B800="","",IF(MONTH(B800)=2,"X",""))</f>
        <v/>
      </c>
      <c r="L800" s="34" t="str">
        <f aca="false">IF(B800="","",IF(MONTH(B800)=3,"X",""))</f>
        <v/>
      </c>
      <c r="M800" s="34" t="str">
        <f aca="false">IF(B800="","",IF(MONTH(B800)=4,"X",""))</f>
        <v/>
      </c>
      <c r="N800" s="34" t="str">
        <f aca="false">IF(B800="","",IF(MONTH(B800)=5,"X",""))</f>
        <v/>
      </c>
      <c r="O800" s="34" t="str">
        <f aca="false">IF(B800="","",IF(MONTH(B800)=6,"X",""))</f>
        <v/>
      </c>
      <c r="P800" s="34" t="str">
        <f aca="false">IF(B800="","",IF(MONTH(B800)=7,"X",""))</f>
        <v/>
      </c>
      <c r="Q800" s="34" t="str">
        <f aca="false">IF(B800="","",IF(MONTH(B800)=8,"X",""))</f>
        <v/>
      </c>
      <c r="R800" s="34" t="str">
        <f aca="false">IF(B800="","",IF(MONTH(B800)=9,"X",""))</f>
        <v/>
      </c>
      <c r="S800" s="34" t="str">
        <f aca="false">IF(B800="","",IF(MONTH(B800)=10,"X",""))</f>
        <v/>
      </c>
      <c r="T800" s="34" t="str">
        <f aca="false">IF(B800="","",IF(MONTH(B800)=11,"X",""))</f>
        <v/>
      </c>
      <c r="U800" s="34" t="str">
        <f aca="false">IF(B800="","",IF(MONTH(B800)=12,"X",""))</f>
        <v/>
      </c>
      <c r="V800" s="24" t="str">
        <f aca="false">IF(E800="","",COUNTIF($E$5:$E$1000,E800))</f>
        <v/>
      </c>
      <c r="W800" s="35" t="str">
        <f aca="false">IF(E800="","",_xlfn.TEXTJOIN(" + ",TRUE(),IF(COUNTIFS($E$5:$E$1000,E800,$C$5:$C$1000,"Auditoría Interna")&gt;0,"Interna",""),IF(COUNTIFS($E$5:$E$1000,E800,$C$5:$C$1000,"Auditoría Externa")&gt;0,"Externa",""),IF(COUNTIFS($E$5:$E$1000,E800,$C$5:$C$1000,"SSF")&gt;0,"SSF",""),IF(COUNTIFS($E$5:$E$1000,E800,$C$5:$C$1000,"Comité de Supervisión")&gt;0,"Comité Sup.",""),IF(COUNTIFS($E$5:$E$1000,E800,$C$5:$C$1000,"Consejo de Administración")&gt;0,"Consejo",""),IF(COUNTIFS($E$5:$E$1000,E800,$C$5:$C$1000,"Otros")&gt;0,"Otros","")))</f>
        <v/>
      </c>
      <c r="X800" s="24" t="str">
        <f aca="false">IF(E800="","",COUNTIFS($E$5:$E$1000,E800,$AB$5:$AB$1000,AB800,$C$5:$C$1000,"&lt;&gt;"&amp;C800))</f>
        <v/>
      </c>
      <c r="Y800" s="33"/>
      <c r="Z800" s="31"/>
      <c r="AA800" s="33"/>
      <c r="AB800" s="37" t="str">
        <f aca="false">IF(B800="","",YEAR(B800)*100+MONTH(B800))</f>
        <v/>
      </c>
      <c r="AC800" s="37" t="str">
        <f aca="false">IF(AND(E800&lt;&gt;"",E800=Cruce!$C$5),COUNTIF($E$5:E800,E800),"")</f>
        <v/>
      </c>
      <c r="AD800" s="37" t="str">
        <f aca="false">IF(E800="","",C800&amp;"|"&amp;Y800&amp;"|"&amp;IF(B800="","s/f",TEXT(B800,"yyyymmdd")))</f>
        <v/>
      </c>
      <c r="AE800" s="37" t="n">
        <f aca="false">IF(E800="",0,IF(COUNTIFS($E$5:E800,E800,$AD$5:AD800,AD800)=1,1,0))</f>
        <v>0</v>
      </c>
    </row>
    <row r="801" customFormat="false" ht="15" hidden="false" customHeight="true" outlineLevel="0" collapsed="false">
      <c r="A801" s="31"/>
      <c r="B801" s="30"/>
      <c r="C801" s="31"/>
      <c r="D801" s="31"/>
      <c r="E801" s="32"/>
      <c r="F801" s="32"/>
      <c r="G801" s="33"/>
      <c r="H801" s="31"/>
      <c r="I801" s="24" t="str">
        <f aca="false">IF(B801="","",YEAR(B801))</f>
        <v/>
      </c>
      <c r="J801" s="34" t="str">
        <f aca="false">IF(B801="","",IF(MONTH(B801)=1,"X",""))</f>
        <v/>
      </c>
      <c r="K801" s="34" t="str">
        <f aca="false">IF(B801="","",IF(MONTH(B801)=2,"X",""))</f>
        <v/>
      </c>
      <c r="L801" s="34" t="str">
        <f aca="false">IF(B801="","",IF(MONTH(B801)=3,"X",""))</f>
        <v/>
      </c>
      <c r="M801" s="34" t="str">
        <f aca="false">IF(B801="","",IF(MONTH(B801)=4,"X",""))</f>
        <v/>
      </c>
      <c r="N801" s="34" t="str">
        <f aca="false">IF(B801="","",IF(MONTH(B801)=5,"X",""))</f>
        <v/>
      </c>
      <c r="O801" s="34" t="str">
        <f aca="false">IF(B801="","",IF(MONTH(B801)=6,"X",""))</f>
        <v/>
      </c>
      <c r="P801" s="34" t="str">
        <f aca="false">IF(B801="","",IF(MONTH(B801)=7,"X",""))</f>
        <v/>
      </c>
      <c r="Q801" s="34" t="str">
        <f aca="false">IF(B801="","",IF(MONTH(B801)=8,"X",""))</f>
        <v/>
      </c>
      <c r="R801" s="34" t="str">
        <f aca="false">IF(B801="","",IF(MONTH(B801)=9,"X",""))</f>
        <v/>
      </c>
      <c r="S801" s="34" t="str">
        <f aca="false">IF(B801="","",IF(MONTH(B801)=10,"X",""))</f>
        <v/>
      </c>
      <c r="T801" s="34" t="str">
        <f aca="false">IF(B801="","",IF(MONTH(B801)=11,"X",""))</f>
        <v/>
      </c>
      <c r="U801" s="34" t="str">
        <f aca="false">IF(B801="","",IF(MONTH(B801)=12,"X",""))</f>
        <v/>
      </c>
      <c r="V801" s="24" t="str">
        <f aca="false">IF(E801="","",COUNTIF($E$5:$E$1000,E801))</f>
        <v/>
      </c>
      <c r="W801" s="35" t="str">
        <f aca="false">IF(E801="","",_xlfn.TEXTJOIN(" + ",TRUE(),IF(COUNTIFS($E$5:$E$1000,E801,$C$5:$C$1000,"Auditoría Interna")&gt;0,"Interna",""),IF(COUNTIFS($E$5:$E$1000,E801,$C$5:$C$1000,"Auditoría Externa")&gt;0,"Externa",""),IF(COUNTIFS($E$5:$E$1000,E801,$C$5:$C$1000,"SSF")&gt;0,"SSF",""),IF(COUNTIFS($E$5:$E$1000,E801,$C$5:$C$1000,"Comité de Supervisión")&gt;0,"Comité Sup.",""),IF(COUNTIFS($E$5:$E$1000,E801,$C$5:$C$1000,"Consejo de Administración")&gt;0,"Consejo",""),IF(COUNTIFS($E$5:$E$1000,E801,$C$5:$C$1000,"Otros")&gt;0,"Otros","")))</f>
        <v/>
      </c>
      <c r="X801" s="24" t="str">
        <f aca="false">IF(E801="","",COUNTIFS($E$5:$E$1000,E801,$AB$5:$AB$1000,AB801,$C$5:$C$1000,"&lt;&gt;"&amp;C801))</f>
        <v/>
      </c>
      <c r="Y801" s="33"/>
      <c r="Z801" s="31"/>
      <c r="AA801" s="33"/>
      <c r="AB801" s="37" t="str">
        <f aca="false">IF(B801="","",YEAR(B801)*100+MONTH(B801))</f>
        <v/>
      </c>
      <c r="AC801" s="37" t="str">
        <f aca="false">IF(AND(E801&lt;&gt;"",E801=Cruce!$C$5),COUNTIF($E$5:E801,E801),"")</f>
        <v/>
      </c>
      <c r="AD801" s="37" t="str">
        <f aca="false">IF(E801="","",C801&amp;"|"&amp;Y801&amp;"|"&amp;IF(B801="","s/f",TEXT(B801,"yyyymmdd")))</f>
        <v/>
      </c>
      <c r="AE801" s="37" t="n">
        <f aca="false">IF(E801="",0,IF(COUNTIFS($E$5:E801,E801,$AD$5:AD801,AD801)=1,1,0))</f>
        <v>0</v>
      </c>
    </row>
    <row r="802" customFormat="false" ht="15" hidden="false" customHeight="true" outlineLevel="0" collapsed="false">
      <c r="A802" s="31"/>
      <c r="B802" s="30"/>
      <c r="C802" s="31"/>
      <c r="D802" s="31"/>
      <c r="E802" s="32"/>
      <c r="F802" s="32"/>
      <c r="G802" s="33"/>
      <c r="H802" s="31"/>
      <c r="I802" s="24" t="str">
        <f aca="false">IF(B802="","",YEAR(B802))</f>
        <v/>
      </c>
      <c r="J802" s="34" t="str">
        <f aca="false">IF(B802="","",IF(MONTH(B802)=1,"X",""))</f>
        <v/>
      </c>
      <c r="K802" s="34" t="str">
        <f aca="false">IF(B802="","",IF(MONTH(B802)=2,"X",""))</f>
        <v/>
      </c>
      <c r="L802" s="34" t="str">
        <f aca="false">IF(B802="","",IF(MONTH(B802)=3,"X",""))</f>
        <v/>
      </c>
      <c r="M802" s="34" t="str">
        <f aca="false">IF(B802="","",IF(MONTH(B802)=4,"X",""))</f>
        <v/>
      </c>
      <c r="N802" s="34" t="str">
        <f aca="false">IF(B802="","",IF(MONTH(B802)=5,"X",""))</f>
        <v/>
      </c>
      <c r="O802" s="34" t="str">
        <f aca="false">IF(B802="","",IF(MONTH(B802)=6,"X",""))</f>
        <v/>
      </c>
      <c r="P802" s="34" t="str">
        <f aca="false">IF(B802="","",IF(MONTH(B802)=7,"X",""))</f>
        <v/>
      </c>
      <c r="Q802" s="34" t="str">
        <f aca="false">IF(B802="","",IF(MONTH(B802)=8,"X",""))</f>
        <v/>
      </c>
      <c r="R802" s="34" t="str">
        <f aca="false">IF(B802="","",IF(MONTH(B802)=9,"X",""))</f>
        <v/>
      </c>
      <c r="S802" s="34" t="str">
        <f aca="false">IF(B802="","",IF(MONTH(B802)=10,"X",""))</f>
        <v/>
      </c>
      <c r="T802" s="34" t="str">
        <f aca="false">IF(B802="","",IF(MONTH(B802)=11,"X",""))</f>
        <v/>
      </c>
      <c r="U802" s="34" t="str">
        <f aca="false">IF(B802="","",IF(MONTH(B802)=12,"X",""))</f>
        <v/>
      </c>
      <c r="V802" s="24" t="str">
        <f aca="false">IF(E802="","",COUNTIF($E$5:$E$1000,E802))</f>
        <v/>
      </c>
      <c r="W802" s="35" t="str">
        <f aca="false">IF(E802="","",_xlfn.TEXTJOIN(" + ",TRUE(),IF(COUNTIFS($E$5:$E$1000,E802,$C$5:$C$1000,"Auditoría Interna")&gt;0,"Interna",""),IF(COUNTIFS($E$5:$E$1000,E802,$C$5:$C$1000,"Auditoría Externa")&gt;0,"Externa",""),IF(COUNTIFS($E$5:$E$1000,E802,$C$5:$C$1000,"SSF")&gt;0,"SSF",""),IF(COUNTIFS($E$5:$E$1000,E802,$C$5:$C$1000,"Comité de Supervisión")&gt;0,"Comité Sup.",""),IF(COUNTIFS($E$5:$E$1000,E802,$C$5:$C$1000,"Consejo de Administración")&gt;0,"Consejo",""),IF(COUNTIFS($E$5:$E$1000,E802,$C$5:$C$1000,"Otros")&gt;0,"Otros","")))</f>
        <v/>
      </c>
      <c r="X802" s="24" t="str">
        <f aca="false">IF(E802="","",COUNTIFS($E$5:$E$1000,E802,$AB$5:$AB$1000,AB802,$C$5:$C$1000,"&lt;&gt;"&amp;C802))</f>
        <v/>
      </c>
      <c r="Y802" s="33"/>
      <c r="Z802" s="31"/>
      <c r="AA802" s="33"/>
      <c r="AB802" s="37" t="str">
        <f aca="false">IF(B802="","",YEAR(B802)*100+MONTH(B802))</f>
        <v/>
      </c>
      <c r="AC802" s="37" t="str">
        <f aca="false">IF(AND(E802&lt;&gt;"",E802=Cruce!$C$5),COUNTIF($E$5:E802,E802),"")</f>
        <v/>
      </c>
      <c r="AD802" s="37" t="str">
        <f aca="false">IF(E802="","",C802&amp;"|"&amp;Y802&amp;"|"&amp;IF(B802="","s/f",TEXT(B802,"yyyymmdd")))</f>
        <v/>
      </c>
      <c r="AE802" s="37" t="n">
        <f aca="false">IF(E802="",0,IF(COUNTIFS($E$5:E802,E802,$AD$5:AD802,AD802)=1,1,0))</f>
        <v>0</v>
      </c>
    </row>
    <row r="803" customFormat="false" ht="15" hidden="false" customHeight="true" outlineLevel="0" collapsed="false">
      <c r="A803" s="31"/>
      <c r="B803" s="30"/>
      <c r="C803" s="31"/>
      <c r="D803" s="31"/>
      <c r="E803" s="32"/>
      <c r="F803" s="32"/>
      <c r="G803" s="33"/>
      <c r="H803" s="31"/>
      <c r="I803" s="24" t="str">
        <f aca="false">IF(B803="","",YEAR(B803))</f>
        <v/>
      </c>
      <c r="J803" s="34" t="str">
        <f aca="false">IF(B803="","",IF(MONTH(B803)=1,"X",""))</f>
        <v/>
      </c>
      <c r="K803" s="34" t="str">
        <f aca="false">IF(B803="","",IF(MONTH(B803)=2,"X",""))</f>
        <v/>
      </c>
      <c r="L803" s="34" t="str">
        <f aca="false">IF(B803="","",IF(MONTH(B803)=3,"X",""))</f>
        <v/>
      </c>
      <c r="M803" s="34" t="str">
        <f aca="false">IF(B803="","",IF(MONTH(B803)=4,"X",""))</f>
        <v/>
      </c>
      <c r="N803" s="34" t="str">
        <f aca="false">IF(B803="","",IF(MONTH(B803)=5,"X",""))</f>
        <v/>
      </c>
      <c r="O803" s="34" t="str">
        <f aca="false">IF(B803="","",IF(MONTH(B803)=6,"X",""))</f>
        <v/>
      </c>
      <c r="P803" s="34" t="str">
        <f aca="false">IF(B803="","",IF(MONTH(B803)=7,"X",""))</f>
        <v/>
      </c>
      <c r="Q803" s="34" t="str">
        <f aca="false">IF(B803="","",IF(MONTH(B803)=8,"X",""))</f>
        <v/>
      </c>
      <c r="R803" s="34" t="str">
        <f aca="false">IF(B803="","",IF(MONTH(B803)=9,"X",""))</f>
        <v/>
      </c>
      <c r="S803" s="34" t="str">
        <f aca="false">IF(B803="","",IF(MONTH(B803)=10,"X",""))</f>
        <v/>
      </c>
      <c r="T803" s="34" t="str">
        <f aca="false">IF(B803="","",IF(MONTH(B803)=11,"X",""))</f>
        <v/>
      </c>
      <c r="U803" s="34" t="str">
        <f aca="false">IF(B803="","",IF(MONTH(B803)=12,"X",""))</f>
        <v/>
      </c>
      <c r="V803" s="24" t="str">
        <f aca="false">IF(E803="","",COUNTIF($E$5:$E$1000,E803))</f>
        <v/>
      </c>
      <c r="W803" s="35" t="str">
        <f aca="false">IF(E803="","",_xlfn.TEXTJOIN(" + ",TRUE(),IF(COUNTIFS($E$5:$E$1000,E803,$C$5:$C$1000,"Auditoría Interna")&gt;0,"Interna",""),IF(COUNTIFS($E$5:$E$1000,E803,$C$5:$C$1000,"Auditoría Externa")&gt;0,"Externa",""),IF(COUNTIFS($E$5:$E$1000,E803,$C$5:$C$1000,"SSF")&gt;0,"SSF",""),IF(COUNTIFS($E$5:$E$1000,E803,$C$5:$C$1000,"Comité de Supervisión")&gt;0,"Comité Sup.",""),IF(COUNTIFS($E$5:$E$1000,E803,$C$5:$C$1000,"Consejo de Administración")&gt;0,"Consejo",""),IF(COUNTIFS($E$5:$E$1000,E803,$C$5:$C$1000,"Otros")&gt;0,"Otros","")))</f>
        <v/>
      </c>
      <c r="X803" s="24" t="str">
        <f aca="false">IF(E803="","",COUNTIFS($E$5:$E$1000,E803,$AB$5:$AB$1000,AB803,$C$5:$C$1000,"&lt;&gt;"&amp;C803))</f>
        <v/>
      </c>
      <c r="Y803" s="33"/>
      <c r="Z803" s="31"/>
      <c r="AA803" s="33"/>
      <c r="AB803" s="37" t="str">
        <f aca="false">IF(B803="","",YEAR(B803)*100+MONTH(B803))</f>
        <v/>
      </c>
      <c r="AC803" s="37" t="str">
        <f aca="false">IF(AND(E803&lt;&gt;"",E803=Cruce!$C$5),COUNTIF($E$5:E803,E803),"")</f>
        <v/>
      </c>
      <c r="AD803" s="37" t="str">
        <f aca="false">IF(E803="","",C803&amp;"|"&amp;Y803&amp;"|"&amp;IF(B803="","s/f",TEXT(B803,"yyyymmdd")))</f>
        <v/>
      </c>
      <c r="AE803" s="37" t="n">
        <f aca="false">IF(E803="",0,IF(COUNTIFS($E$5:E803,E803,$AD$5:AD803,AD803)=1,1,0))</f>
        <v>0</v>
      </c>
    </row>
    <row r="804" customFormat="false" ht="15" hidden="false" customHeight="true" outlineLevel="0" collapsed="false">
      <c r="A804" s="31"/>
      <c r="B804" s="30"/>
      <c r="C804" s="31"/>
      <c r="D804" s="31"/>
      <c r="E804" s="32"/>
      <c r="F804" s="32"/>
      <c r="G804" s="33"/>
      <c r="H804" s="31"/>
      <c r="I804" s="24" t="str">
        <f aca="false">IF(B804="","",YEAR(B804))</f>
        <v/>
      </c>
      <c r="J804" s="34" t="str">
        <f aca="false">IF(B804="","",IF(MONTH(B804)=1,"X",""))</f>
        <v/>
      </c>
      <c r="K804" s="34" t="str">
        <f aca="false">IF(B804="","",IF(MONTH(B804)=2,"X",""))</f>
        <v/>
      </c>
      <c r="L804" s="34" t="str">
        <f aca="false">IF(B804="","",IF(MONTH(B804)=3,"X",""))</f>
        <v/>
      </c>
      <c r="M804" s="34" t="str">
        <f aca="false">IF(B804="","",IF(MONTH(B804)=4,"X",""))</f>
        <v/>
      </c>
      <c r="N804" s="34" t="str">
        <f aca="false">IF(B804="","",IF(MONTH(B804)=5,"X",""))</f>
        <v/>
      </c>
      <c r="O804" s="34" t="str">
        <f aca="false">IF(B804="","",IF(MONTH(B804)=6,"X",""))</f>
        <v/>
      </c>
      <c r="P804" s="34" t="str">
        <f aca="false">IF(B804="","",IF(MONTH(B804)=7,"X",""))</f>
        <v/>
      </c>
      <c r="Q804" s="34" t="str">
        <f aca="false">IF(B804="","",IF(MONTH(B804)=8,"X",""))</f>
        <v/>
      </c>
      <c r="R804" s="34" t="str">
        <f aca="false">IF(B804="","",IF(MONTH(B804)=9,"X",""))</f>
        <v/>
      </c>
      <c r="S804" s="34" t="str">
        <f aca="false">IF(B804="","",IF(MONTH(B804)=10,"X",""))</f>
        <v/>
      </c>
      <c r="T804" s="34" t="str">
        <f aca="false">IF(B804="","",IF(MONTH(B804)=11,"X",""))</f>
        <v/>
      </c>
      <c r="U804" s="34" t="str">
        <f aca="false">IF(B804="","",IF(MONTH(B804)=12,"X",""))</f>
        <v/>
      </c>
      <c r="V804" s="24" t="str">
        <f aca="false">IF(E804="","",COUNTIF($E$5:$E$1000,E804))</f>
        <v/>
      </c>
      <c r="W804" s="35" t="str">
        <f aca="false">IF(E804="","",_xlfn.TEXTJOIN(" + ",TRUE(),IF(COUNTIFS($E$5:$E$1000,E804,$C$5:$C$1000,"Auditoría Interna")&gt;0,"Interna",""),IF(COUNTIFS($E$5:$E$1000,E804,$C$5:$C$1000,"Auditoría Externa")&gt;0,"Externa",""),IF(COUNTIFS($E$5:$E$1000,E804,$C$5:$C$1000,"SSF")&gt;0,"SSF",""),IF(COUNTIFS($E$5:$E$1000,E804,$C$5:$C$1000,"Comité de Supervisión")&gt;0,"Comité Sup.",""),IF(COUNTIFS($E$5:$E$1000,E804,$C$5:$C$1000,"Consejo de Administración")&gt;0,"Consejo",""),IF(COUNTIFS($E$5:$E$1000,E804,$C$5:$C$1000,"Otros")&gt;0,"Otros","")))</f>
        <v/>
      </c>
      <c r="X804" s="24" t="str">
        <f aca="false">IF(E804="","",COUNTIFS($E$5:$E$1000,E804,$AB$5:$AB$1000,AB804,$C$5:$C$1000,"&lt;&gt;"&amp;C804))</f>
        <v/>
      </c>
      <c r="Y804" s="33"/>
      <c r="Z804" s="31"/>
      <c r="AA804" s="33"/>
      <c r="AB804" s="37" t="str">
        <f aca="false">IF(B804="","",YEAR(B804)*100+MONTH(B804))</f>
        <v/>
      </c>
      <c r="AC804" s="37" t="str">
        <f aca="false">IF(AND(E804&lt;&gt;"",E804=Cruce!$C$5),COUNTIF($E$5:E804,E804),"")</f>
        <v/>
      </c>
      <c r="AD804" s="37" t="str">
        <f aca="false">IF(E804="","",C804&amp;"|"&amp;Y804&amp;"|"&amp;IF(B804="","s/f",TEXT(B804,"yyyymmdd")))</f>
        <v/>
      </c>
      <c r="AE804" s="37" t="n">
        <f aca="false">IF(E804="",0,IF(COUNTIFS($E$5:E804,E804,$AD$5:AD804,AD804)=1,1,0))</f>
        <v>0</v>
      </c>
    </row>
    <row r="805" customFormat="false" ht="15" hidden="false" customHeight="true" outlineLevel="0" collapsed="false">
      <c r="A805" s="31"/>
      <c r="B805" s="30"/>
      <c r="C805" s="31"/>
      <c r="D805" s="31"/>
      <c r="E805" s="32"/>
      <c r="F805" s="32"/>
      <c r="G805" s="33"/>
      <c r="H805" s="31"/>
      <c r="I805" s="24" t="str">
        <f aca="false">IF(B805="","",YEAR(B805))</f>
        <v/>
      </c>
      <c r="J805" s="34" t="str">
        <f aca="false">IF(B805="","",IF(MONTH(B805)=1,"X",""))</f>
        <v/>
      </c>
      <c r="K805" s="34" t="str">
        <f aca="false">IF(B805="","",IF(MONTH(B805)=2,"X",""))</f>
        <v/>
      </c>
      <c r="L805" s="34" t="str">
        <f aca="false">IF(B805="","",IF(MONTH(B805)=3,"X",""))</f>
        <v/>
      </c>
      <c r="M805" s="34" t="str">
        <f aca="false">IF(B805="","",IF(MONTH(B805)=4,"X",""))</f>
        <v/>
      </c>
      <c r="N805" s="34" t="str">
        <f aca="false">IF(B805="","",IF(MONTH(B805)=5,"X",""))</f>
        <v/>
      </c>
      <c r="O805" s="34" t="str">
        <f aca="false">IF(B805="","",IF(MONTH(B805)=6,"X",""))</f>
        <v/>
      </c>
      <c r="P805" s="34" t="str">
        <f aca="false">IF(B805="","",IF(MONTH(B805)=7,"X",""))</f>
        <v/>
      </c>
      <c r="Q805" s="34" t="str">
        <f aca="false">IF(B805="","",IF(MONTH(B805)=8,"X",""))</f>
        <v/>
      </c>
      <c r="R805" s="34" t="str">
        <f aca="false">IF(B805="","",IF(MONTH(B805)=9,"X",""))</f>
        <v/>
      </c>
      <c r="S805" s="34" t="str">
        <f aca="false">IF(B805="","",IF(MONTH(B805)=10,"X",""))</f>
        <v/>
      </c>
      <c r="T805" s="34" t="str">
        <f aca="false">IF(B805="","",IF(MONTH(B805)=11,"X",""))</f>
        <v/>
      </c>
      <c r="U805" s="34" t="str">
        <f aca="false">IF(B805="","",IF(MONTH(B805)=12,"X",""))</f>
        <v/>
      </c>
      <c r="V805" s="24" t="str">
        <f aca="false">IF(E805="","",COUNTIF($E$5:$E$1000,E805))</f>
        <v/>
      </c>
      <c r="W805" s="35" t="str">
        <f aca="false">IF(E805="","",_xlfn.TEXTJOIN(" + ",TRUE(),IF(COUNTIFS($E$5:$E$1000,E805,$C$5:$C$1000,"Auditoría Interna")&gt;0,"Interna",""),IF(COUNTIFS($E$5:$E$1000,E805,$C$5:$C$1000,"Auditoría Externa")&gt;0,"Externa",""),IF(COUNTIFS($E$5:$E$1000,E805,$C$5:$C$1000,"SSF")&gt;0,"SSF",""),IF(COUNTIFS($E$5:$E$1000,E805,$C$5:$C$1000,"Comité de Supervisión")&gt;0,"Comité Sup.",""),IF(COUNTIFS($E$5:$E$1000,E805,$C$5:$C$1000,"Consejo de Administración")&gt;0,"Consejo",""),IF(COUNTIFS($E$5:$E$1000,E805,$C$5:$C$1000,"Otros")&gt;0,"Otros","")))</f>
        <v/>
      </c>
      <c r="X805" s="24" t="str">
        <f aca="false">IF(E805="","",COUNTIFS($E$5:$E$1000,E805,$AB$5:$AB$1000,AB805,$C$5:$C$1000,"&lt;&gt;"&amp;C805))</f>
        <v/>
      </c>
      <c r="Y805" s="33"/>
      <c r="Z805" s="31"/>
      <c r="AA805" s="33"/>
      <c r="AB805" s="37" t="str">
        <f aca="false">IF(B805="","",YEAR(B805)*100+MONTH(B805))</f>
        <v/>
      </c>
      <c r="AC805" s="37" t="str">
        <f aca="false">IF(AND(E805&lt;&gt;"",E805=Cruce!$C$5),COUNTIF($E$5:E805,E805),"")</f>
        <v/>
      </c>
      <c r="AD805" s="37" t="str">
        <f aca="false">IF(E805="","",C805&amp;"|"&amp;Y805&amp;"|"&amp;IF(B805="","s/f",TEXT(B805,"yyyymmdd")))</f>
        <v/>
      </c>
      <c r="AE805" s="37" t="n">
        <f aca="false">IF(E805="",0,IF(COUNTIFS($E$5:E805,E805,$AD$5:AD805,AD805)=1,1,0))</f>
        <v>0</v>
      </c>
    </row>
    <row r="806" customFormat="false" ht="15" hidden="false" customHeight="true" outlineLevel="0" collapsed="false">
      <c r="A806" s="31"/>
      <c r="B806" s="30"/>
      <c r="C806" s="31"/>
      <c r="D806" s="31"/>
      <c r="E806" s="32"/>
      <c r="F806" s="32"/>
      <c r="G806" s="33"/>
      <c r="H806" s="31"/>
      <c r="I806" s="24" t="str">
        <f aca="false">IF(B806="","",YEAR(B806))</f>
        <v/>
      </c>
      <c r="J806" s="34" t="str">
        <f aca="false">IF(B806="","",IF(MONTH(B806)=1,"X",""))</f>
        <v/>
      </c>
      <c r="K806" s="34" t="str">
        <f aca="false">IF(B806="","",IF(MONTH(B806)=2,"X",""))</f>
        <v/>
      </c>
      <c r="L806" s="34" t="str">
        <f aca="false">IF(B806="","",IF(MONTH(B806)=3,"X",""))</f>
        <v/>
      </c>
      <c r="M806" s="34" t="str">
        <f aca="false">IF(B806="","",IF(MONTH(B806)=4,"X",""))</f>
        <v/>
      </c>
      <c r="N806" s="34" t="str">
        <f aca="false">IF(B806="","",IF(MONTH(B806)=5,"X",""))</f>
        <v/>
      </c>
      <c r="O806" s="34" t="str">
        <f aca="false">IF(B806="","",IF(MONTH(B806)=6,"X",""))</f>
        <v/>
      </c>
      <c r="P806" s="34" t="str">
        <f aca="false">IF(B806="","",IF(MONTH(B806)=7,"X",""))</f>
        <v/>
      </c>
      <c r="Q806" s="34" t="str">
        <f aca="false">IF(B806="","",IF(MONTH(B806)=8,"X",""))</f>
        <v/>
      </c>
      <c r="R806" s="34" t="str">
        <f aca="false">IF(B806="","",IF(MONTH(B806)=9,"X",""))</f>
        <v/>
      </c>
      <c r="S806" s="34" t="str">
        <f aca="false">IF(B806="","",IF(MONTH(B806)=10,"X",""))</f>
        <v/>
      </c>
      <c r="T806" s="34" t="str">
        <f aca="false">IF(B806="","",IF(MONTH(B806)=11,"X",""))</f>
        <v/>
      </c>
      <c r="U806" s="34" t="str">
        <f aca="false">IF(B806="","",IF(MONTH(B806)=12,"X",""))</f>
        <v/>
      </c>
      <c r="V806" s="24" t="str">
        <f aca="false">IF(E806="","",COUNTIF($E$5:$E$1000,E806))</f>
        <v/>
      </c>
      <c r="W806" s="35" t="str">
        <f aca="false">IF(E806="","",_xlfn.TEXTJOIN(" + ",TRUE(),IF(COUNTIFS($E$5:$E$1000,E806,$C$5:$C$1000,"Auditoría Interna")&gt;0,"Interna",""),IF(COUNTIFS($E$5:$E$1000,E806,$C$5:$C$1000,"Auditoría Externa")&gt;0,"Externa",""),IF(COUNTIFS($E$5:$E$1000,E806,$C$5:$C$1000,"SSF")&gt;0,"SSF",""),IF(COUNTIFS($E$5:$E$1000,E806,$C$5:$C$1000,"Comité de Supervisión")&gt;0,"Comité Sup.",""),IF(COUNTIFS($E$5:$E$1000,E806,$C$5:$C$1000,"Consejo de Administración")&gt;0,"Consejo",""),IF(COUNTIFS($E$5:$E$1000,E806,$C$5:$C$1000,"Otros")&gt;0,"Otros","")))</f>
        <v/>
      </c>
      <c r="X806" s="24" t="str">
        <f aca="false">IF(E806="","",COUNTIFS($E$5:$E$1000,E806,$AB$5:$AB$1000,AB806,$C$5:$C$1000,"&lt;&gt;"&amp;C806))</f>
        <v/>
      </c>
      <c r="Y806" s="33"/>
      <c r="Z806" s="31"/>
      <c r="AA806" s="33"/>
      <c r="AB806" s="37" t="str">
        <f aca="false">IF(B806="","",YEAR(B806)*100+MONTH(B806))</f>
        <v/>
      </c>
      <c r="AC806" s="37" t="str">
        <f aca="false">IF(AND(E806&lt;&gt;"",E806=Cruce!$C$5),COUNTIF($E$5:E806,E806),"")</f>
        <v/>
      </c>
      <c r="AD806" s="37" t="str">
        <f aca="false">IF(E806="","",C806&amp;"|"&amp;Y806&amp;"|"&amp;IF(B806="","s/f",TEXT(B806,"yyyymmdd")))</f>
        <v/>
      </c>
      <c r="AE806" s="37" t="n">
        <f aca="false">IF(E806="",0,IF(COUNTIFS($E$5:E806,E806,$AD$5:AD806,AD806)=1,1,0))</f>
        <v>0</v>
      </c>
    </row>
    <row r="807" customFormat="false" ht="15" hidden="false" customHeight="true" outlineLevel="0" collapsed="false">
      <c r="A807" s="31"/>
      <c r="B807" s="30"/>
      <c r="C807" s="31"/>
      <c r="D807" s="31"/>
      <c r="E807" s="32"/>
      <c r="F807" s="32"/>
      <c r="G807" s="33"/>
      <c r="H807" s="31"/>
      <c r="I807" s="24" t="str">
        <f aca="false">IF(B807="","",YEAR(B807))</f>
        <v/>
      </c>
      <c r="J807" s="34" t="str">
        <f aca="false">IF(B807="","",IF(MONTH(B807)=1,"X",""))</f>
        <v/>
      </c>
      <c r="K807" s="34" t="str">
        <f aca="false">IF(B807="","",IF(MONTH(B807)=2,"X",""))</f>
        <v/>
      </c>
      <c r="L807" s="34" t="str">
        <f aca="false">IF(B807="","",IF(MONTH(B807)=3,"X",""))</f>
        <v/>
      </c>
      <c r="M807" s="34" t="str">
        <f aca="false">IF(B807="","",IF(MONTH(B807)=4,"X",""))</f>
        <v/>
      </c>
      <c r="N807" s="34" t="str">
        <f aca="false">IF(B807="","",IF(MONTH(B807)=5,"X",""))</f>
        <v/>
      </c>
      <c r="O807" s="34" t="str">
        <f aca="false">IF(B807="","",IF(MONTH(B807)=6,"X",""))</f>
        <v/>
      </c>
      <c r="P807" s="34" t="str">
        <f aca="false">IF(B807="","",IF(MONTH(B807)=7,"X",""))</f>
        <v/>
      </c>
      <c r="Q807" s="34" t="str">
        <f aca="false">IF(B807="","",IF(MONTH(B807)=8,"X",""))</f>
        <v/>
      </c>
      <c r="R807" s="34" t="str">
        <f aca="false">IF(B807="","",IF(MONTH(B807)=9,"X",""))</f>
        <v/>
      </c>
      <c r="S807" s="34" t="str">
        <f aca="false">IF(B807="","",IF(MONTH(B807)=10,"X",""))</f>
        <v/>
      </c>
      <c r="T807" s="34" t="str">
        <f aca="false">IF(B807="","",IF(MONTH(B807)=11,"X",""))</f>
        <v/>
      </c>
      <c r="U807" s="34" t="str">
        <f aca="false">IF(B807="","",IF(MONTH(B807)=12,"X",""))</f>
        <v/>
      </c>
      <c r="V807" s="24" t="str">
        <f aca="false">IF(E807="","",COUNTIF($E$5:$E$1000,E807))</f>
        <v/>
      </c>
      <c r="W807" s="35" t="str">
        <f aca="false">IF(E807="","",_xlfn.TEXTJOIN(" + ",TRUE(),IF(COUNTIFS($E$5:$E$1000,E807,$C$5:$C$1000,"Auditoría Interna")&gt;0,"Interna",""),IF(COUNTIFS($E$5:$E$1000,E807,$C$5:$C$1000,"Auditoría Externa")&gt;0,"Externa",""),IF(COUNTIFS($E$5:$E$1000,E807,$C$5:$C$1000,"SSF")&gt;0,"SSF",""),IF(COUNTIFS($E$5:$E$1000,E807,$C$5:$C$1000,"Comité de Supervisión")&gt;0,"Comité Sup.",""),IF(COUNTIFS($E$5:$E$1000,E807,$C$5:$C$1000,"Consejo de Administración")&gt;0,"Consejo",""),IF(COUNTIFS($E$5:$E$1000,E807,$C$5:$C$1000,"Otros")&gt;0,"Otros","")))</f>
        <v/>
      </c>
      <c r="X807" s="24" t="str">
        <f aca="false">IF(E807="","",COUNTIFS($E$5:$E$1000,E807,$AB$5:$AB$1000,AB807,$C$5:$C$1000,"&lt;&gt;"&amp;C807))</f>
        <v/>
      </c>
      <c r="Y807" s="33"/>
      <c r="Z807" s="31"/>
      <c r="AA807" s="33"/>
      <c r="AB807" s="37" t="str">
        <f aca="false">IF(B807="","",YEAR(B807)*100+MONTH(B807))</f>
        <v/>
      </c>
      <c r="AC807" s="37" t="str">
        <f aca="false">IF(AND(E807&lt;&gt;"",E807=Cruce!$C$5),COUNTIF($E$5:E807,E807),"")</f>
        <v/>
      </c>
      <c r="AD807" s="37" t="str">
        <f aca="false">IF(E807="","",C807&amp;"|"&amp;Y807&amp;"|"&amp;IF(B807="","s/f",TEXT(B807,"yyyymmdd")))</f>
        <v/>
      </c>
      <c r="AE807" s="37" t="n">
        <f aca="false">IF(E807="",0,IF(COUNTIFS($E$5:E807,E807,$AD$5:AD807,AD807)=1,1,0))</f>
        <v>0</v>
      </c>
    </row>
    <row r="808" customFormat="false" ht="15" hidden="false" customHeight="true" outlineLevel="0" collapsed="false">
      <c r="A808" s="31"/>
      <c r="B808" s="30"/>
      <c r="C808" s="31"/>
      <c r="D808" s="31"/>
      <c r="E808" s="32"/>
      <c r="F808" s="32"/>
      <c r="G808" s="33"/>
      <c r="H808" s="31"/>
      <c r="I808" s="24" t="str">
        <f aca="false">IF(B808="","",YEAR(B808))</f>
        <v/>
      </c>
      <c r="J808" s="34" t="str">
        <f aca="false">IF(B808="","",IF(MONTH(B808)=1,"X",""))</f>
        <v/>
      </c>
      <c r="K808" s="34" t="str">
        <f aca="false">IF(B808="","",IF(MONTH(B808)=2,"X",""))</f>
        <v/>
      </c>
      <c r="L808" s="34" t="str">
        <f aca="false">IF(B808="","",IF(MONTH(B808)=3,"X",""))</f>
        <v/>
      </c>
      <c r="M808" s="34" t="str">
        <f aca="false">IF(B808="","",IF(MONTH(B808)=4,"X",""))</f>
        <v/>
      </c>
      <c r="N808" s="34" t="str">
        <f aca="false">IF(B808="","",IF(MONTH(B808)=5,"X",""))</f>
        <v/>
      </c>
      <c r="O808" s="34" t="str">
        <f aca="false">IF(B808="","",IF(MONTH(B808)=6,"X",""))</f>
        <v/>
      </c>
      <c r="P808" s="34" t="str">
        <f aca="false">IF(B808="","",IF(MONTH(B808)=7,"X",""))</f>
        <v/>
      </c>
      <c r="Q808" s="34" t="str">
        <f aca="false">IF(B808="","",IF(MONTH(B808)=8,"X",""))</f>
        <v/>
      </c>
      <c r="R808" s="34" t="str">
        <f aca="false">IF(B808="","",IF(MONTH(B808)=9,"X",""))</f>
        <v/>
      </c>
      <c r="S808" s="34" t="str">
        <f aca="false">IF(B808="","",IF(MONTH(B808)=10,"X",""))</f>
        <v/>
      </c>
      <c r="T808" s="34" t="str">
        <f aca="false">IF(B808="","",IF(MONTH(B808)=11,"X",""))</f>
        <v/>
      </c>
      <c r="U808" s="34" t="str">
        <f aca="false">IF(B808="","",IF(MONTH(B808)=12,"X",""))</f>
        <v/>
      </c>
      <c r="V808" s="24" t="str">
        <f aca="false">IF(E808="","",COUNTIF($E$5:$E$1000,E808))</f>
        <v/>
      </c>
      <c r="W808" s="35" t="str">
        <f aca="false">IF(E808="","",_xlfn.TEXTJOIN(" + ",TRUE(),IF(COUNTIFS($E$5:$E$1000,E808,$C$5:$C$1000,"Auditoría Interna")&gt;0,"Interna",""),IF(COUNTIFS($E$5:$E$1000,E808,$C$5:$C$1000,"Auditoría Externa")&gt;0,"Externa",""),IF(COUNTIFS($E$5:$E$1000,E808,$C$5:$C$1000,"SSF")&gt;0,"SSF",""),IF(COUNTIFS($E$5:$E$1000,E808,$C$5:$C$1000,"Comité de Supervisión")&gt;0,"Comité Sup.",""),IF(COUNTIFS($E$5:$E$1000,E808,$C$5:$C$1000,"Consejo de Administración")&gt;0,"Consejo",""),IF(COUNTIFS($E$5:$E$1000,E808,$C$5:$C$1000,"Otros")&gt;0,"Otros","")))</f>
        <v/>
      </c>
      <c r="X808" s="24" t="str">
        <f aca="false">IF(E808="","",COUNTIFS($E$5:$E$1000,E808,$AB$5:$AB$1000,AB808,$C$5:$C$1000,"&lt;&gt;"&amp;C808))</f>
        <v/>
      </c>
      <c r="Y808" s="33"/>
      <c r="Z808" s="31"/>
      <c r="AA808" s="33"/>
      <c r="AB808" s="37" t="str">
        <f aca="false">IF(B808="","",YEAR(B808)*100+MONTH(B808))</f>
        <v/>
      </c>
      <c r="AC808" s="37" t="str">
        <f aca="false">IF(AND(E808&lt;&gt;"",E808=Cruce!$C$5),COUNTIF($E$5:E808,E808),"")</f>
        <v/>
      </c>
      <c r="AD808" s="37" t="str">
        <f aca="false">IF(E808="","",C808&amp;"|"&amp;Y808&amp;"|"&amp;IF(B808="","s/f",TEXT(B808,"yyyymmdd")))</f>
        <v/>
      </c>
      <c r="AE808" s="37" t="n">
        <f aca="false">IF(E808="",0,IF(COUNTIFS($E$5:E808,E808,$AD$5:AD808,AD808)=1,1,0))</f>
        <v>0</v>
      </c>
    </row>
    <row r="809" customFormat="false" ht="15" hidden="false" customHeight="true" outlineLevel="0" collapsed="false">
      <c r="A809" s="31"/>
      <c r="B809" s="30"/>
      <c r="C809" s="31"/>
      <c r="D809" s="31"/>
      <c r="E809" s="32"/>
      <c r="F809" s="32"/>
      <c r="G809" s="33"/>
      <c r="H809" s="31"/>
      <c r="I809" s="24" t="str">
        <f aca="false">IF(B809="","",YEAR(B809))</f>
        <v/>
      </c>
      <c r="J809" s="34" t="str">
        <f aca="false">IF(B809="","",IF(MONTH(B809)=1,"X",""))</f>
        <v/>
      </c>
      <c r="K809" s="34" t="str">
        <f aca="false">IF(B809="","",IF(MONTH(B809)=2,"X",""))</f>
        <v/>
      </c>
      <c r="L809" s="34" t="str">
        <f aca="false">IF(B809="","",IF(MONTH(B809)=3,"X",""))</f>
        <v/>
      </c>
      <c r="M809" s="34" t="str">
        <f aca="false">IF(B809="","",IF(MONTH(B809)=4,"X",""))</f>
        <v/>
      </c>
      <c r="N809" s="34" t="str">
        <f aca="false">IF(B809="","",IF(MONTH(B809)=5,"X",""))</f>
        <v/>
      </c>
      <c r="O809" s="34" t="str">
        <f aca="false">IF(B809="","",IF(MONTH(B809)=6,"X",""))</f>
        <v/>
      </c>
      <c r="P809" s="34" t="str">
        <f aca="false">IF(B809="","",IF(MONTH(B809)=7,"X",""))</f>
        <v/>
      </c>
      <c r="Q809" s="34" t="str">
        <f aca="false">IF(B809="","",IF(MONTH(B809)=8,"X",""))</f>
        <v/>
      </c>
      <c r="R809" s="34" t="str">
        <f aca="false">IF(B809="","",IF(MONTH(B809)=9,"X",""))</f>
        <v/>
      </c>
      <c r="S809" s="34" t="str">
        <f aca="false">IF(B809="","",IF(MONTH(B809)=10,"X",""))</f>
        <v/>
      </c>
      <c r="T809" s="34" t="str">
        <f aca="false">IF(B809="","",IF(MONTH(B809)=11,"X",""))</f>
        <v/>
      </c>
      <c r="U809" s="34" t="str">
        <f aca="false">IF(B809="","",IF(MONTH(B809)=12,"X",""))</f>
        <v/>
      </c>
      <c r="V809" s="24" t="str">
        <f aca="false">IF(E809="","",COUNTIF($E$5:$E$1000,E809))</f>
        <v/>
      </c>
      <c r="W809" s="35" t="str">
        <f aca="false">IF(E809="","",_xlfn.TEXTJOIN(" + ",TRUE(),IF(COUNTIFS($E$5:$E$1000,E809,$C$5:$C$1000,"Auditoría Interna")&gt;0,"Interna",""),IF(COUNTIFS($E$5:$E$1000,E809,$C$5:$C$1000,"Auditoría Externa")&gt;0,"Externa",""),IF(COUNTIFS($E$5:$E$1000,E809,$C$5:$C$1000,"SSF")&gt;0,"SSF",""),IF(COUNTIFS($E$5:$E$1000,E809,$C$5:$C$1000,"Comité de Supervisión")&gt;0,"Comité Sup.",""),IF(COUNTIFS($E$5:$E$1000,E809,$C$5:$C$1000,"Consejo de Administración")&gt;0,"Consejo",""),IF(COUNTIFS($E$5:$E$1000,E809,$C$5:$C$1000,"Otros")&gt;0,"Otros","")))</f>
        <v/>
      </c>
      <c r="X809" s="24" t="str">
        <f aca="false">IF(E809="","",COUNTIFS($E$5:$E$1000,E809,$AB$5:$AB$1000,AB809,$C$5:$C$1000,"&lt;&gt;"&amp;C809))</f>
        <v/>
      </c>
      <c r="Y809" s="33"/>
      <c r="Z809" s="31"/>
      <c r="AA809" s="33"/>
      <c r="AB809" s="37" t="str">
        <f aca="false">IF(B809="","",YEAR(B809)*100+MONTH(B809))</f>
        <v/>
      </c>
      <c r="AC809" s="37" t="str">
        <f aca="false">IF(AND(E809&lt;&gt;"",E809=Cruce!$C$5),COUNTIF($E$5:E809,E809),"")</f>
        <v/>
      </c>
      <c r="AD809" s="37" t="str">
        <f aca="false">IF(E809="","",C809&amp;"|"&amp;Y809&amp;"|"&amp;IF(B809="","s/f",TEXT(B809,"yyyymmdd")))</f>
        <v/>
      </c>
      <c r="AE809" s="37" t="n">
        <f aca="false">IF(E809="",0,IF(COUNTIFS($E$5:E809,E809,$AD$5:AD809,AD809)=1,1,0))</f>
        <v>0</v>
      </c>
    </row>
    <row r="810" customFormat="false" ht="15" hidden="false" customHeight="true" outlineLevel="0" collapsed="false">
      <c r="A810" s="31"/>
      <c r="B810" s="30"/>
      <c r="C810" s="31"/>
      <c r="D810" s="31"/>
      <c r="E810" s="32"/>
      <c r="F810" s="32"/>
      <c r="G810" s="33"/>
      <c r="H810" s="31"/>
      <c r="I810" s="24" t="str">
        <f aca="false">IF(B810="","",YEAR(B810))</f>
        <v/>
      </c>
      <c r="J810" s="34" t="str">
        <f aca="false">IF(B810="","",IF(MONTH(B810)=1,"X",""))</f>
        <v/>
      </c>
      <c r="K810" s="34" t="str">
        <f aca="false">IF(B810="","",IF(MONTH(B810)=2,"X",""))</f>
        <v/>
      </c>
      <c r="L810" s="34" t="str">
        <f aca="false">IF(B810="","",IF(MONTH(B810)=3,"X",""))</f>
        <v/>
      </c>
      <c r="M810" s="34" t="str">
        <f aca="false">IF(B810="","",IF(MONTH(B810)=4,"X",""))</f>
        <v/>
      </c>
      <c r="N810" s="34" t="str">
        <f aca="false">IF(B810="","",IF(MONTH(B810)=5,"X",""))</f>
        <v/>
      </c>
      <c r="O810" s="34" t="str">
        <f aca="false">IF(B810="","",IF(MONTH(B810)=6,"X",""))</f>
        <v/>
      </c>
      <c r="P810" s="34" t="str">
        <f aca="false">IF(B810="","",IF(MONTH(B810)=7,"X",""))</f>
        <v/>
      </c>
      <c r="Q810" s="34" t="str">
        <f aca="false">IF(B810="","",IF(MONTH(B810)=8,"X",""))</f>
        <v/>
      </c>
      <c r="R810" s="34" t="str">
        <f aca="false">IF(B810="","",IF(MONTH(B810)=9,"X",""))</f>
        <v/>
      </c>
      <c r="S810" s="34" t="str">
        <f aca="false">IF(B810="","",IF(MONTH(B810)=10,"X",""))</f>
        <v/>
      </c>
      <c r="T810" s="34" t="str">
        <f aca="false">IF(B810="","",IF(MONTH(B810)=11,"X",""))</f>
        <v/>
      </c>
      <c r="U810" s="34" t="str">
        <f aca="false">IF(B810="","",IF(MONTH(B810)=12,"X",""))</f>
        <v/>
      </c>
      <c r="V810" s="24" t="str">
        <f aca="false">IF(E810="","",COUNTIF($E$5:$E$1000,E810))</f>
        <v/>
      </c>
      <c r="W810" s="35" t="str">
        <f aca="false">IF(E810="","",_xlfn.TEXTJOIN(" + ",TRUE(),IF(COUNTIFS($E$5:$E$1000,E810,$C$5:$C$1000,"Auditoría Interna")&gt;0,"Interna",""),IF(COUNTIFS($E$5:$E$1000,E810,$C$5:$C$1000,"Auditoría Externa")&gt;0,"Externa",""),IF(COUNTIFS($E$5:$E$1000,E810,$C$5:$C$1000,"SSF")&gt;0,"SSF",""),IF(COUNTIFS($E$5:$E$1000,E810,$C$5:$C$1000,"Comité de Supervisión")&gt;0,"Comité Sup.",""),IF(COUNTIFS($E$5:$E$1000,E810,$C$5:$C$1000,"Consejo de Administración")&gt;0,"Consejo",""),IF(COUNTIFS($E$5:$E$1000,E810,$C$5:$C$1000,"Otros")&gt;0,"Otros","")))</f>
        <v/>
      </c>
      <c r="X810" s="24" t="str">
        <f aca="false">IF(E810="","",COUNTIFS($E$5:$E$1000,E810,$AB$5:$AB$1000,AB810,$C$5:$C$1000,"&lt;&gt;"&amp;C810))</f>
        <v/>
      </c>
      <c r="Y810" s="33"/>
      <c r="Z810" s="31"/>
      <c r="AA810" s="33"/>
      <c r="AB810" s="37" t="str">
        <f aca="false">IF(B810="","",YEAR(B810)*100+MONTH(B810))</f>
        <v/>
      </c>
      <c r="AC810" s="37" t="str">
        <f aca="false">IF(AND(E810&lt;&gt;"",E810=Cruce!$C$5),COUNTIF($E$5:E810,E810),"")</f>
        <v/>
      </c>
      <c r="AD810" s="37" t="str">
        <f aca="false">IF(E810="","",C810&amp;"|"&amp;Y810&amp;"|"&amp;IF(B810="","s/f",TEXT(B810,"yyyymmdd")))</f>
        <v/>
      </c>
      <c r="AE810" s="37" t="n">
        <f aca="false">IF(E810="",0,IF(COUNTIFS($E$5:E810,E810,$AD$5:AD810,AD810)=1,1,0))</f>
        <v>0</v>
      </c>
    </row>
    <row r="811" customFormat="false" ht="15" hidden="false" customHeight="true" outlineLevel="0" collapsed="false">
      <c r="A811" s="31"/>
      <c r="B811" s="30"/>
      <c r="C811" s="31"/>
      <c r="D811" s="31"/>
      <c r="E811" s="32"/>
      <c r="F811" s="32"/>
      <c r="G811" s="33"/>
      <c r="H811" s="31"/>
      <c r="I811" s="24" t="str">
        <f aca="false">IF(B811="","",YEAR(B811))</f>
        <v/>
      </c>
      <c r="J811" s="34" t="str">
        <f aca="false">IF(B811="","",IF(MONTH(B811)=1,"X",""))</f>
        <v/>
      </c>
      <c r="K811" s="34" t="str">
        <f aca="false">IF(B811="","",IF(MONTH(B811)=2,"X",""))</f>
        <v/>
      </c>
      <c r="L811" s="34" t="str">
        <f aca="false">IF(B811="","",IF(MONTH(B811)=3,"X",""))</f>
        <v/>
      </c>
      <c r="M811" s="34" t="str">
        <f aca="false">IF(B811="","",IF(MONTH(B811)=4,"X",""))</f>
        <v/>
      </c>
      <c r="N811" s="34" t="str">
        <f aca="false">IF(B811="","",IF(MONTH(B811)=5,"X",""))</f>
        <v/>
      </c>
      <c r="O811" s="34" t="str">
        <f aca="false">IF(B811="","",IF(MONTH(B811)=6,"X",""))</f>
        <v/>
      </c>
      <c r="P811" s="34" t="str">
        <f aca="false">IF(B811="","",IF(MONTH(B811)=7,"X",""))</f>
        <v/>
      </c>
      <c r="Q811" s="34" t="str">
        <f aca="false">IF(B811="","",IF(MONTH(B811)=8,"X",""))</f>
        <v/>
      </c>
      <c r="R811" s="34" t="str">
        <f aca="false">IF(B811="","",IF(MONTH(B811)=9,"X",""))</f>
        <v/>
      </c>
      <c r="S811" s="34" t="str">
        <f aca="false">IF(B811="","",IF(MONTH(B811)=10,"X",""))</f>
        <v/>
      </c>
      <c r="T811" s="34" t="str">
        <f aca="false">IF(B811="","",IF(MONTH(B811)=11,"X",""))</f>
        <v/>
      </c>
      <c r="U811" s="34" t="str">
        <f aca="false">IF(B811="","",IF(MONTH(B811)=12,"X",""))</f>
        <v/>
      </c>
      <c r="V811" s="24" t="str">
        <f aca="false">IF(E811="","",COUNTIF($E$5:$E$1000,E811))</f>
        <v/>
      </c>
      <c r="W811" s="35" t="str">
        <f aca="false">IF(E811="","",_xlfn.TEXTJOIN(" + ",TRUE(),IF(COUNTIFS($E$5:$E$1000,E811,$C$5:$C$1000,"Auditoría Interna")&gt;0,"Interna",""),IF(COUNTIFS($E$5:$E$1000,E811,$C$5:$C$1000,"Auditoría Externa")&gt;0,"Externa",""),IF(COUNTIFS($E$5:$E$1000,E811,$C$5:$C$1000,"SSF")&gt;0,"SSF",""),IF(COUNTIFS($E$5:$E$1000,E811,$C$5:$C$1000,"Comité de Supervisión")&gt;0,"Comité Sup.",""),IF(COUNTIFS($E$5:$E$1000,E811,$C$5:$C$1000,"Consejo de Administración")&gt;0,"Consejo",""),IF(COUNTIFS($E$5:$E$1000,E811,$C$5:$C$1000,"Otros")&gt;0,"Otros","")))</f>
        <v/>
      </c>
      <c r="X811" s="24" t="str">
        <f aca="false">IF(E811="","",COUNTIFS($E$5:$E$1000,E811,$AB$5:$AB$1000,AB811,$C$5:$C$1000,"&lt;&gt;"&amp;C811))</f>
        <v/>
      </c>
      <c r="Y811" s="33"/>
      <c r="Z811" s="31"/>
      <c r="AA811" s="33"/>
      <c r="AB811" s="37" t="str">
        <f aca="false">IF(B811="","",YEAR(B811)*100+MONTH(B811))</f>
        <v/>
      </c>
      <c r="AC811" s="37" t="str">
        <f aca="false">IF(AND(E811&lt;&gt;"",E811=Cruce!$C$5),COUNTIF($E$5:E811,E811),"")</f>
        <v/>
      </c>
      <c r="AD811" s="37" t="str">
        <f aca="false">IF(E811="","",C811&amp;"|"&amp;Y811&amp;"|"&amp;IF(B811="","s/f",TEXT(B811,"yyyymmdd")))</f>
        <v/>
      </c>
      <c r="AE811" s="37" t="n">
        <f aca="false">IF(E811="",0,IF(COUNTIFS($E$5:E811,E811,$AD$5:AD811,AD811)=1,1,0))</f>
        <v>0</v>
      </c>
    </row>
    <row r="812" customFormat="false" ht="15" hidden="false" customHeight="true" outlineLevel="0" collapsed="false">
      <c r="A812" s="31"/>
      <c r="B812" s="30"/>
      <c r="C812" s="31"/>
      <c r="D812" s="31"/>
      <c r="E812" s="32"/>
      <c r="F812" s="32"/>
      <c r="G812" s="33"/>
      <c r="H812" s="31"/>
      <c r="I812" s="24" t="str">
        <f aca="false">IF(B812="","",YEAR(B812))</f>
        <v/>
      </c>
      <c r="J812" s="34" t="str">
        <f aca="false">IF(B812="","",IF(MONTH(B812)=1,"X",""))</f>
        <v/>
      </c>
      <c r="K812" s="34" t="str">
        <f aca="false">IF(B812="","",IF(MONTH(B812)=2,"X",""))</f>
        <v/>
      </c>
      <c r="L812" s="34" t="str">
        <f aca="false">IF(B812="","",IF(MONTH(B812)=3,"X",""))</f>
        <v/>
      </c>
      <c r="M812" s="34" t="str">
        <f aca="false">IF(B812="","",IF(MONTH(B812)=4,"X",""))</f>
        <v/>
      </c>
      <c r="N812" s="34" t="str">
        <f aca="false">IF(B812="","",IF(MONTH(B812)=5,"X",""))</f>
        <v/>
      </c>
      <c r="O812" s="34" t="str">
        <f aca="false">IF(B812="","",IF(MONTH(B812)=6,"X",""))</f>
        <v/>
      </c>
      <c r="P812" s="34" t="str">
        <f aca="false">IF(B812="","",IF(MONTH(B812)=7,"X",""))</f>
        <v/>
      </c>
      <c r="Q812" s="34" t="str">
        <f aca="false">IF(B812="","",IF(MONTH(B812)=8,"X",""))</f>
        <v/>
      </c>
      <c r="R812" s="34" t="str">
        <f aca="false">IF(B812="","",IF(MONTH(B812)=9,"X",""))</f>
        <v/>
      </c>
      <c r="S812" s="34" t="str">
        <f aca="false">IF(B812="","",IF(MONTH(B812)=10,"X",""))</f>
        <v/>
      </c>
      <c r="T812" s="34" t="str">
        <f aca="false">IF(B812="","",IF(MONTH(B812)=11,"X",""))</f>
        <v/>
      </c>
      <c r="U812" s="34" t="str">
        <f aca="false">IF(B812="","",IF(MONTH(B812)=12,"X",""))</f>
        <v/>
      </c>
      <c r="V812" s="24" t="str">
        <f aca="false">IF(E812="","",COUNTIF($E$5:$E$1000,E812))</f>
        <v/>
      </c>
      <c r="W812" s="35" t="str">
        <f aca="false">IF(E812="","",_xlfn.TEXTJOIN(" + ",TRUE(),IF(COUNTIFS($E$5:$E$1000,E812,$C$5:$C$1000,"Auditoría Interna")&gt;0,"Interna",""),IF(COUNTIFS($E$5:$E$1000,E812,$C$5:$C$1000,"Auditoría Externa")&gt;0,"Externa",""),IF(COUNTIFS($E$5:$E$1000,E812,$C$5:$C$1000,"SSF")&gt;0,"SSF",""),IF(COUNTIFS($E$5:$E$1000,E812,$C$5:$C$1000,"Comité de Supervisión")&gt;0,"Comité Sup.",""),IF(COUNTIFS($E$5:$E$1000,E812,$C$5:$C$1000,"Consejo de Administración")&gt;0,"Consejo",""),IF(COUNTIFS($E$5:$E$1000,E812,$C$5:$C$1000,"Otros")&gt;0,"Otros","")))</f>
        <v/>
      </c>
      <c r="X812" s="24" t="str">
        <f aca="false">IF(E812="","",COUNTIFS($E$5:$E$1000,E812,$AB$5:$AB$1000,AB812,$C$5:$C$1000,"&lt;&gt;"&amp;C812))</f>
        <v/>
      </c>
      <c r="Y812" s="33"/>
      <c r="Z812" s="31"/>
      <c r="AA812" s="33"/>
      <c r="AB812" s="37" t="str">
        <f aca="false">IF(B812="","",YEAR(B812)*100+MONTH(B812))</f>
        <v/>
      </c>
      <c r="AC812" s="37" t="str">
        <f aca="false">IF(AND(E812&lt;&gt;"",E812=Cruce!$C$5),COUNTIF($E$5:E812,E812),"")</f>
        <v/>
      </c>
      <c r="AD812" s="37" t="str">
        <f aca="false">IF(E812="","",C812&amp;"|"&amp;Y812&amp;"|"&amp;IF(B812="","s/f",TEXT(B812,"yyyymmdd")))</f>
        <v/>
      </c>
      <c r="AE812" s="37" t="n">
        <f aca="false">IF(E812="",0,IF(COUNTIFS($E$5:E812,E812,$AD$5:AD812,AD812)=1,1,0))</f>
        <v>0</v>
      </c>
    </row>
    <row r="813" customFormat="false" ht="15" hidden="false" customHeight="true" outlineLevel="0" collapsed="false">
      <c r="A813" s="31"/>
      <c r="B813" s="30"/>
      <c r="C813" s="31"/>
      <c r="D813" s="31"/>
      <c r="E813" s="32"/>
      <c r="F813" s="32"/>
      <c r="G813" s="33"/>
      <c r="H813" s="31"/>
      <c r="I813" s="24" t="str">
        <f aca="false">IF(B813="","",YEAR(B813))</f>
        <v/>
      </c>
      <c r="J813" s="34" t="str">
        <f aca="false">IF(B813="","",IF(MONTH(B813)=1,"X",""))</f>
        <v/>
      </c>
      <c r="K813" s="34" t="str">
        <f aca="false">IF(B813="","",IF(MONTH(B813)=2,"X",""))</f>
        <v/>
      </c>
      <c r="L813" s="34" t="str">
        <f aca="false">IF(B813="","",IF(MONTH(B813)=3,"X",""))</f>
        <v/>
      </c>
      <c r="M813" s="34" t="str">
        <f aca="false">IF(B813="","",IF(MONTH(B813)=4,"X",""))</f>
        <v/>
      </c>
      <c r="N813" s="34" t="str">
        <f aca="false">IF(B813="","",IF(MONTH(B813)=5,"X",""))</f>
        <v/>
      </c>
      <c r="O813" s="34" t="str">
        <f aca="false">IF(B813="","",IF(MONTH(B813)=6,"X",""))</f>
        <v/>
      </c>
      <c r="P813" s="34" t="str">
        <f aca="false">IF(B813="","",IF(MONTH(B813)=7,"X",""))</f>
        <v/>
      </c>
      <c r="Q813" s="34" t="str">
        <f aca="false">IF(B813="","",IF(MONTH(B813)=8,"X",""))</f>
        <v/>
      </c>
      <c r="R813" s="34" t="str">
        <f aca="false">IF(B813="","",IF(MONTH(B813)=9,"X",""))</f>
        <v/>
      </c>
      <c r="S813" s="34" t="str">
        <f aca="false">IF(B813="","",IF(MONTH(B813)=10,"X",""))</f>
        <v/>
      </c>
      <c r="T813" s="34" t="str">
        <f aca="false">IF(B813="","",IF(MONTH(B813)=11,"X",""))</f>
        <v/>
      </c>
      <c r="U813" s="34" t="str">
        <f aca="false">IF(B813="","",IF(MONTH(B813)=12,"X",""))</f>
        <v/>
      </c>
      <c r="V813" s="24" t="str">
        <f aca="false">IF(E813="","",COUNTIF($E$5:$E$1000,E813))</f>
        <v/>
      </c>
      <c r="W813" s="35" t="str">
        <f aca="false">IF(E813="","",_xlfn.TEXTJOIN(" + ",TRUE(),IF(COUNTIFS($E$5:$E$1000,E813,$C$5:$C$1000,"Auditoría Interna")&gt;0,"Interna",""),IF(COUNTIFS($E$5:$E$1000,E813,$C$5:$C$1000,"Auditoría Externa")&gt;0,"Externa",""),IF(COUNTIFS($E$5:$E$1000,E813,$C$5:$C$1000,"SSF")&gt;0,"SSF",""),IF(COUNTIFS($E$5:$E$1000,E813,$C$5:$C$1000,"Comité de Supervisión")&gt;0,"Comité Sup.",""),IF(COUNTIFS($E$5:$E$1000,E813,$C$5:$C$1000,"Consejo de Administración")&gt;0,"Consejo",""),IF(COUNTIFS($E$5:$E$1000,E813,$C$5:$C$1000,"Otros")&gt;0,"Otros","")))</f>
        <v/>
      </c>
      <c r="X813" s="24" t="str">
        <f aca="false">IF(E813="","",COUNTIFS($E$5:$E$1000,E813,$AB$5:$AB$1000,AB813,$C$5:$C$1000,"&lt;&gt;"&amp;C813))</f>
        <v/>
      </c>
      <c r="Y813" s="33"/>
      <c r="Z813" s="31"/>
      <c r="AA813" s="33"/>
      <c r="AB813" s="37" t="str">
        <f aca="false">IF(B813="","",YEAR(B813)*100+MONTH(B813))</f>
        <v/>
      </c>
      <c r="AC813" s="37" t="str">
        <f aca="false">IF(AND(E813&lt;&gt;"",E813=Cruce!$C$5),COUNTIF($E$5:E813,E813),"")</f>
        <v/>
      </c>
      <c r="AD813" s="37" t="str">
        <f aca="false">IF(E813="","",C813&amp;"|"&amp;Y813&amp;"|"&amp;IF(B813="","s/f",TEXT(B813,"yyyymmdd")))</f>
        <v/>
      </c>
      <c r="AE813" s="37" t="n">
        <f aca="false">IF(E813="",0,IF(COUNTIFS($E$5:E813,E813,$AD$5:AD813,AD813)=1,1,0))</f>
        <v>0</v>
      </c>
    </row>
    <row r="814" customFormat="false" ht="15" hidden="false" customHeight="true" outlineLevel="0" collapsed="false">
      <c r="A814" s="31"/>
      <c r="B814" s="30"/>
      <c r="C814" s="31"/>
      <c r="D814" s="31"/>
      <c r="E814" s="32"/>
      <c r="F814" s="32"/>
      <c r="G814" s="33"/>
      <c r="H814" s="31"/>
      <c r="I814" s="24" t="str">
        <f aca="false">IF(B814="","",YEAR(B814))</f>
        <v/>
      </c>
      <c r="J814" s="34" t="str">
        <f aca="false">IF(B814="","",IF(MONTH(B814)=1,"X",""))</f>
        <v/>
      </c>
      <c r="K814" s="34" t="str">
        <f aca="false">IF(B814="","",IF(MONTH(B814)=2,"X",""))</f>
        <v/>
      </c>
      <c r="L814" s="34" t="str">
        <f aca="false">IF(B814="","",IF(MONTH(B814)=3,"X",""))</f>
        <v/>
      </c>
      <c r="M814" s="34" t="str">
        <f aca="false">IF(B814="","",IF(MONTH(B814)=4,"X",""))</f>
        <v/>
      </c>
      <c r="N814" s="34" t="str">
        <f aca="false">IF(B814="","",IF(MONTH(B814)=5,"X",""))</f>
        <v/>
      </c>
      <c r="O814" s="34" t="str">
        <f aca="false">IF(B814="","",IF(MONTH(B814)=6,"X",""))</f>
        <v/>
      </c>
      <c r="P814" s="34" t="str">
        <f aca="false">IF(B814="","",IF(MONTH(B814)=7,"X",""))</f>
        <v/>
      </c>
      <c r="Q814" s="34" t="str">
        <f aca="false">IF(B814="","",IF(MONTH(B814)=8,"X",""))</f>
        <v/>
      </c>
      <c r="R814" s="34" t="str">
        <f aca="false">IF(B814="","",IF(MONTH(B814)=9,"X",""))</f>
        <v/>
      </c>
      <c r="S814" s="34" t="str">
        <f aca="false">IF(B814="","",IF(MONTH(B814)=10,"X",""))</f>
        <v/>
      </c>
      <c r="T814" s="34" t="str">
        <f aca="false">IF(B814="","",IF(MONTH(B814)=11,"X",""))</f>
        <v/>
      </c>
      <c r="U814" s="34" t="str">
        <f aca="false">IF(B814="","",IF(MONTH(B814)=12,"X",""))</f>
        <v/>
      </c>
      <c r="V814" s="24" t="str">
        <f aca="false">IF(E814="","",COUNTIF($E$5:$E$1000,E814))</f>
        <v/>
      </c>
      <c r="W814" s="35" t="str">
        <f aca="false">IF(E814="","",_xlfn.TEXTJOIN(" + ",TRUE(),IF(COUNTIFS($E$5:$E$1000,E814,$C$5:$C$1000,"Auditoría Interna")&gt;0,"Interna",""),IF(COUNTIFS($E$5:$E$1000,E814,$C$5:$C$1000,"Auditoría Externa")&gt;0,"Externa",""),IF(COUNTIFS($E$5:$E$1000,E814,$C$5:$C$1000,"SSF")&gt;0,"SSF",""),IF(COUNTIFS($E$5:$E$1000,E814,$C$5:$C$1000,"Comité de Supervisión")&gt;0,"Comité Sup.",""),IF(COUNTIFS($E$5:$E$1000,E814,$C$5:$C$1000,"Consejo de Administración")&gt;0,"Consejo",""),IF(COUNTIFS($E$5:$E$1000,E814,$C$5:$C$1000,"Otros")&gt;0,"Otros","")))</f>
        <v/>
      </c>
      <c r="X814" s="24" t="str">
        <f aca="false">IF(E814="","",COUNTIFS($E$5:$E$1000,E814,$AB$5:$AB$1000,AB814,$C$5:$C$1000,"&lt;&gt;"&amp;C814))</f>
        <v/>
      </c>
      <c r="Y814" s="33"/>
      <c r="Z814" s="31"/>
      <c r="AA814" s="33"/>
      <c r="AB814" s="37" t="str">
        <f aca="false">IF(B814="","",YEAR(B814)*100+MONTH(B814))</f>
        <v/>
      </c>
      <c r="AC814" s="37" t="str">
        <f aca="false">IF(AND(E814&lt;&gt;"",E814=Cruce!$C$5),COUNTIF($E$5:E814,E814),"")</f>
        <v/>
      </c>
      <c r="AD814" s="37" t="str">
        <f aca="false">IF(E814="","",C814&amp;"|"&amp;Y814&amp;"|"&amp;IF(B814="","s/f",TEXT(B814,"yyyymmdd")))</f>
        <v/>
      </c>
      <c r="AE814" s="37" t="n">
        <f aca="false">IF(E814="",0,IF(COUNTIFS($E$5:E814,E814,$AD$5:AD814,AD814)=1,1,0))</f>
        <v>0</v>
      </c>
    </row>
    <row r="815" customFormat="false" ht="15" hidden="false" customHeight="true" outlineLevel="0" collapsed="false">
      <c r="A815" s="31"/>
      <c r="B815" s="30"/>
      <c r="C815" s="31"/>
      <c r="D815" s="31"/>
      <c r="E815" s="32"/>
      <c r="F815" s="32"/>
      <c r="G815" s="33"/>
      <c r="H815" s="31"/>
      <c r="I815" s="24" t="str">
        <f aca="false">IF(B815="","",YEAR(B815))</f>
        <v/>
      </c>
      <c r="J815" s="34" t="str">
        <f aca="false">IF(B815="","",IF(MONTH(B815)=1,"X",""))</f>
        <v/>
      </c>
      <c r="K815" s="34" t="str">
        <f aca="false">IF(B815="","",IF(MONTH(B815)=2,"X",""))</f>
        <v/>
      </c>
      <c r="L815" s="34" t="str">
        <f aca="false">IF(B815="","",IF(MONTH(B815)=3,"X",""))</f>
        <v/>
      </c>
      <c r="M815" s="34" t="str">
        <f aca="false">IF(B815="","",IF(MONTH(B815)=4,"X",""))</f>
        <v/>
      </c>
      <c r="N815" s="34" t="str">
        <f aca="false">IF(B815="","",IF(MONTH(B815)=5,"X",""))</f>
        <v/>
      </c>
      <c r="O815" s="34" t="str">
        <f aca="false">IF(B815="","",IF(MONTH(B815)=6,"X",""))</f>
        <v/>
      </c>
      <c r="P815" s="34" t="str">
        <f aca="false">IF(B815="","",IF(MONTH(B815)=7,"X",""))</f>
        <v/>
      </c>
      <c r="Q815" s="34" t="str">
        <f aca="false">IF(B815="","",IF(MONTH(B815)=8,"X",""))</f>
        <v/>
      </c>
      <c r="R815" s="34" t="str">
        <f aca="false">IF(B815="","",IF(MONTH(B815)=9,"X",""))</f>
        <v/>
      </c>
      <c r="S815" s="34" t="str">
        <f aca="false">IF(B815="","",IF(MONTH(B815)=10,"X",""))</f>
        <v/>
      </c>
      <c r="T815" s="34" t="str">
        <f aca="false">IF(B815="","",IF(MONTH(B815)=11,"X",""))</f>
        <v/>
      </c>
      <c r="U815" s="34" t="str">
        <f aca="false">IF(B815="","",IF(MONTH(B815)=12,"X",""))</f>
        <v/>
      </c>
      <c r="V815" s="24" t="str">
        <f aca="false">IF(E815="","",COUNTIF($E$5:$E$1000,E815))</f>
        <v/>
      </c>
      <c r="W815" s="35" t="str">
        <f aca="false">IF(E815="","",_xlfn.TEXTJOIN(" + ",TRUE(),IF(COUNTIFS($E$5:$E$1000,E815,$C$5:$C$1000,"Auditoría Interna")&gt;0,"Interna",""),IF(COUNTIFS($E$5:$E$1000,E815,$C$5:$C$1000,"Auditoría Externa")&gt;0,"Externa",""),IF(COUNTIFS($E$5:$E$1000,E815,$C$5:$C$1000,"SSF")&gt;0,"SSF",""),IF(COUNTIFS($E$5:$E$1000,E815,$C$5:$C$1000,"Comité de Supervisión")&gt;0,"Comité Sup.",""),IF(COUNTIFS($E$5:$E$1000,E815,$C$5:$C$1000,"Consejo de Administración")&gt;0,"Consejo",""),IF(COUNTIFS($E$5:$E$1000,E815,$C$5:$C$1000,"Otros")&gt;0,"Otros","")))</f>
        <v/>
      </c>
      <c r="X815" s="24" t="str">
        <f aca="false">IF(E815="","",COUNTIFS($E$5:$E$1000,E815,$AB$5:$AB$1000,AB815,$C$5:$C$1000,"&lt;&gt;"&amp;C815))</f>
        <v/>
      </c>
      <c r="Y815" s="33"/>
      <c r="Z815" s="31"/>
      <c r="AA815" s="33"/>
      <c r="AB815" s="37" t="str">
        <f aca="false">IF(B815="","",YEAR(B815)*100+MONTH(B815))</f>
        <v/>
      </c>
      <c r="AC815" s="37" t="str">
        <f aca="false">IF(AND(E815&lt;&gt;"",E815=Cruce!$C$5),COUNTIF($E$5:E815,E815),"")</f>
        <v/>
      </c>
      <c r="AD815" s="37" t="str">
        <f aca="false">IF(E815="","",C815&amp;"|"&amp;Y815&amp;"|"&amp;IF(B815="","s/f",TEXT(B815,"yyyymmdd")))</f>
        <v/>
      </c>
      <c r="AE815" s="37" t="n">
        <f aca="false">IF(E815="",0,IF(COUNTIFS($E$5:E815,E815,$AD$5:AD815,AD815)=1,1,0))</f>
        <v>0</v>
      </c>
    </row>
    <row r="816" customFormat="false" ht="15" hidden="false" customHeight="true" outlineLevel="0" collapsed="false">
      <c r="A816" s="31"/>
      <c r="B816" s="30"/>
      <c r="C816" s="31"/>
      <c r="D816" s="31"/>
      <c r="E816" s="32"/>
      <c r="F816" s="32"/>
      <c r="G816" s="33"/>
      <c r="H816" s="31"/>
      <c r="I816" s="24" t="str">
        <f aca="false">IF(B816="","",YEAR(B816))</f>
        <v/>
      </c>
      <c r="J816" s="34" t="str">
        <f aca="false">IF(B816="","",IF(MONTH(B816)=1,"X",""))</f>
        <v/>
      </c>
      <c r="K816" s="34" t="str">
        <f aca="false">IF(B816="","",IF(MONTH(B816)=2,"X",""))</f>
        <v/>
      </c>
      <c r="L816" s="34" t="str">
        <f aca="false">IF(B816="","",IF(MONTH(B816)=3,"X",""))</f>
        <v/>
      </c>
      <c r="M816" s="34" t="str">
        <f aca="false">IF(B816="","",IF(MONTH(B816)=4,"X",""))</f>
        <v/>
      </c>
      <c r="N816" s="34" t="str">
        <f aca="false">IF(B816="","",IF(MONTH(B816)=5,"X",""))</f>
        <v/>
      </c>
      <c r="O816" s="34" t="str">
        <f aca="false">IF(B816="","",IF(MONTH(B816)=6,"X",""))</f>
        <v/>
      </c>
      <c r="P816" s="34" t="str">
        <f aca="false">IF(B816="","",IF(MONTH(B816)=7,"X",""))</f>
        <v/>
      </c>
      <c r="Q816" s="34" t="str">
        <f aca="false">IF(B816="","",IF(MONTH(B816)=8,"X",""))</f>
        <v/>
      </c>
      <c r="R816" s="34" t="str">
        <f aca="false">IF(B816="","",IF(MONTH(B816)=9,"X",""))</f>
        <v/>
      </c>
      <c r="S816" s="34" t="str">
        <f aca="false">IF(B816="","",IF(MONTH(B816)=10,"X",""))</f>
        <v/>
      </c>
      <c r="T816" s="34" t="str">
        <f aca="false">IF(B816="","",IF(MONTH(B816)=11,"X",""))</f>
        <v/>
      </c>
      <c r="U816" s="34" t="str">
        <f aca="false">IF(B816="","",IF(MONTH(B816)=12,"X",""))</f>
        <v/>
      </c>
      <c r="V816" s="24" t="str">
        <f aca="false">IF(E816="","",COUNTIF($E$5:$E$1000,E816))</f>
        <v/>
      </c>
      <c r="W816" s="35" t="str">
        <f aca="false">IF(E816="","",_xlfn.TEXTJOIN(" + ",TRUE(),IF(COUNTIFS($E$5:$E$1000,E816,$C$5:$C$1000,"Auditoría Interna")&gt;0,"Interna",""),IF(COUNTIFS($E$5:$E$1000,E816,$C$5:$C$1000,"Auditoría Externa")&gt;0,"Externa",""),IF(COUNTIFS($E$5:$E$1000,E816,$C$5:$C$1000,"SSF")&gt;0,"SSF",""),IF(COUNTIFS($E$5:$E$1000,E816,$C$5:$C$1000,"Comité de Supervisión")&gt;0,"Comité Sup.",""),IF(COUNTIFS($E$5:$E$1000,E816,$C$5:$C$1000,"Consejo de Administración")&gt;0,"Consejo",""),IF(COUNTIFS($E$5:$E$1000,E816,$C$5:$C$1000,"Otros")&gt;0,"Otros","")))</f>
        <v/>
      </c>
      <c r="X816" s="24" t="str">
        <f aca="false">IF(E816="","",COUNTIFS($E$5:$E$1000,E816,$AB$5:$AB$1000,AB816,$C$5:$C$1000,"&lt;&gt;"&amp;C816))</f>
        <v/>
      </c>
      <c r="Y816" s="33"/>
      <c r="Z816" s="31"/>
      <c r="AA816" s="33"/>
      <c r="AB816" s="37" t="str">
        <f aca="false">IF(B816="","",YEAR(B816)*100+MONTH(B816))</f>
        <v/>
      </c>
      <c r="AC816" s="37" t="str">
        <f aca="false">IF(AND(E816&lt;&gt;"",E816=Cruce!$C$5),COUNTIF($E$5:E816,E816),"")</f>
        <v/>
      </c>
      <c r="AD816" s="37" t="str">
        <f aca="false">IF(E816="","",C816&amp;"|"&amp;Y816&amp;"|"&amp;IF(B816="","s/f",TEXT(B816,"yyyymmdd")))</f>
        <v/>
      </c>
      <c r="AE816" s="37" t="n">
        <f aca="false">IF(E816="",0,IF(COUNTIFS($E$5:E816,E816,$AD$5:AD816,AD816)=1,1,0))</f>
        <v>0</v>
      </c>
    </row>
    <row r="817" customFormat="false" ht="15" hidden="false" customHeight="true" outlineLevel="0" collapsed="false">
      <c r="A817" s="31"/>
      <c r="B817" s="30"/>
      <c r="C817" s="31"/>
      <c r="D817" s="31"/>
      <c r="E817" s="32"/>
      <c r="F817" s="32"/>
      <c r="G817" s="33"/>
      <c r="H817" s="31"/>
      <c r="I817" s="24" t="str">
        <f aca="false">IF(B817="","",YEAR(B817))</f>
        <v/>
      </c>
      <c r="J817" s="34" t="str">
        <f aca="false">IF(B817="","",IF(MONTH(B817)=1,"X",""))</f>
        <v/>
      </c>
      <c r="K817" s="34" t="str">
        <f aca="false">IF(B817="","",IF(MONTH(B817)=2,"X",""))</f>
        <v/>
      </c>
      <c r="L817" s="34" t="str">
        <f aca="false">IF(B817="","",IF(MONTH(B817)=3,"X",""))</f>
        <v/>
      </c>
      <c r="M817" s="34" t="str">
        <f aca="false">IF(B817="","",IF(MONTH(B817)=4,"X",""))</f>
        <v/>
      </c>
      <c r="N817" s="34" t="str">
        <f aca="false">IF(B817="","",IF(MONTH(B817)=5,"X",""))</f>
        <v/>
      </c>
      <c r="O817" s="34" t="str">
        <f aca="false">IF(B817="","",IF(MONTH(B817)=6,"X",""))</f>
        <v/>
      </c>
      <c r="P817" s="34" t="str">
        <f aca="false">IF(B817="","",IF(MONTH(B817)=7,"X",""))</f>
        <v/>
      </c>
      <c r="Q817" s="34" t="str">
        <f aca="false">IF(B817="","",IF(MONTH(B817)=8,"X",""))</f>
        <v/>
      </c>
      <c r="R817" s="34" t="str">
        <f aca="false">IF(B817="","",IF(MONTH(B817)=9,"X",""))</f>
        <v/>
      </c>
      <c r="S817" s="34" t="str">
        <f aca="false">IF(B817="","",IF(MONTH(B817)=10,"X",""))</f>
        <v/>
      </c>
      <c r="T817" s="34" t="str">
        <f aca="false">IF(B817="","",IF(MONTH(B817)=11,"X",""))</f>
        <v/>
      </c>
      <c r="U817" s="34" t="str">
        <f aca="false">IF(B817="","",IF(MONTH(B817)=12,"X",""))</f>
        <v/>
      </c>
      <c r="V817" s="24" t="str">
        <f aca="false">IF(E817="","",COUNTIF($E$5:$E$1000,E817))</f>
        <v/>
      </c>
      <c r="W817" s="35" t="str">
        <f aca="false">IF(E817="","",_xlfn.TEXTJOIN(" + ",TRUE(),IF(COUNTIFS($E$5:$E$1000,E817,$C$5:$C$1000,"Auditoría Interna")&gt;0,"Interna",""),IF(COUNTIFS($E$5:$E$1000,E817,$C$5:$C$1000,"Auditoría Externa")&gt;0,"Externa",""),IF(COUNTIFS($E$5:$E$1000,E817,$C$5:$C$1000,"SSF")&gt;0,"SSF",""),IF(COUNTIFS($E$5:$E$1000,E817,$C$5:$C$1000,"Comité de Supervisión")&gt;0,"Comité Sup.",""),IF(COUNTIFS($E$5:$E$1000,E817,$C$5:$C$1000,"Consejo de Administración")&gt;0,"Consejo",""),IF(COUNTIFS($E$5:$E$1000,E817,$C$5:$C$1000,"Otros")&gt;0,"Otros","")))</f>
        <v/>
      </c>
      <c r="X817" s="24" t="str">
        <f aca="false">IF(E817="","",COUNTIFS($E$5:$E$1000,E817,$AB$5:$AB$1000,AB817,$C$5:$C$1000,"&lt;&gt;"&amp;C817))</f>
        <v/>
      </c>
      <c r="Y817" s="33"/>
      <c r="Z817" s="31"/>
      <c r="AA817" s="33"/>
      <c r="AB817" s="37" t="str">
        <f aca="false">IF(B817="","",YEAR(B817)*100+MONTH(B817))</f>
        <v/>
      </c>
      <c r="AC817" s="37" t="str">
        <f aca="false">IF(AND(E817&lt;&gt;"",E817=Cruce!$C$5),COUNTIF($E$5:E817,E817),"")</f>
        <v/>
      </c>
      <c r="AD817" s="37" t="str">
        <f aca="false">IF(E817="","",C817&amp;"|"&amp;Y817&amp;"|"&amp;IF(B817="","s/f",TEXT(B817,"yyyymmdd")))</f>
        <v/>
      </c>
      <c r="AE817" s="37" t="n">
        <f aca="false">IF(E817="",0,IF(COUNTIFS($E$5:E817,E817,$AD$5:AD817,AD817)=1,1,0))</f>
        <v>0</v>
      </c>
    </row>
    <row r="818" customFormat="false" ht="15" hidden="false" customHeight="true" outlineLevel="0" collapsed="false">
      <c r="A818" s="31"/>
      <c r="B818" s="30"/>
      <c r="C818" s="31"/>
      <c r="D818" s="31"/>
      <c r="E818" s="32"/>
      <c r="F818" s="32"/>
      <c r="G818" s="33"/>
      <c r="H818" s="31"/>
      <c r="I818" s="24" t="str">
        <f aca="false">IF(B818="","",YEAR(B818))</f>
        <v/>
      </c>
      <c r="J818" s="34" t="str">
        <f aca="false">IF(B818="","",IF(MONTH(B818)=1,"X",""))</f>
        <v/>
      </c>
      <c r="K818" s="34" t="str">
        <f aca="false">IF(B818="","",IF(MONTH(B818)=2,"X",""))</f>
        <v/>
      </c>
      <c r="L818" s="34" t="str">
        <f aca="false">IF(B818="","",IF(MONTH(B818)=3,"X",""))</f>
        <v/>
      </c>
      <c r="M818" s="34" t="str">
        <f aca="false">IF(B818="","",IF(MONTH(B818)=4,"X",""))</f>
        <v/>
      </c>
      <c r="N818" s="34" t="str">
        <f aca="false">IF(B818="","",IF(MONTH(B818)=5,"X",""))</f>
        <v/>
      </c>
      <c r="O818" s="34" t="str">
        <f aca="false">IF(B818="","",IF(MONTH(B818)=6,"X",""))</f>
        <v/>
      </c>
      <c r="P818" s="34" t="str">
        <f aca="false">IF(B818="","",IF(MONTH(B818)=7,"X",""))</f>
        <v/>
      </c>
      <c r="Q818" s="34" t="str">
        <f aca="false">IF(B818="","",IF(MONTH(B818)=8,"X",""))</f>
        <v/>
      </c>
      <c r="R818" s="34" t="str">
        <f aca="false">IF(B818="","",IF(MONTH(B818)=9,"X",""))</f>
        <v/>
      </c>
      <c r="S818" s="34" t="str">
        <f aca="false">IF(B818="","",IF(MONTH(B818)=10,"X",""))</f>
        <v/>
      </c>
      <c r="T818" s="34" t="str">
        <f aca="false">IF(B818="","",IF(MONTH(B818)=11,"X",""))</f>
        <v/>
      </c>
      <c r="U818" s="34" t="str">
        <f aca="false">IF(B818="","",IF(MONTH(B818)=12,"X",""))</f>
        <v/>
      </c>
      <c r="V818" s="24" t="str">
        <f aca="false">IF(E818="","",COUNTIF($E$5:$E$1000,E818))</f>
        <v/>
      </c>
      <c r="W818" s="35" t="str">
        <f aca="false">IF(E818="","",_xlfn.TEXTJOIN(" + ",TRUE(),IF(COUNTIFS($E$5:$E$1000,E818,$C$5:$C$1000,"Auditoría Interna")&gt;0,"Interna",""),IF(COUNTIFS($E$5:$E$1000,E818,$C$5:$C$1000,"Auditoría Externa")&gt;0,"Externa",""),IF(COUNTIFS($E$5:$E$1000,E818,$C$5:$C$1000,"SSF")&gt;0,"SSF",""),IF(COUNTIFS($E$5:$E$1000,E818,$C$5:$C$1000,"Comité de Supervisión")&gt;0,"Comité Sup.",""),IF(COUNTIFS($E$5:$E$1000,E818,$C$5:$C$1000,"Consejo de Administración")&gt;0,"Consejo",""),IF(COUNTIFS($E$5:$E$1000,E818,$C$5:$C$1000,"Otros")&gt;0,"Otros","")))</f>
        <v/>
      </c>
      <c r="X818" s="24" t="str">
        <f aca="false">IF(E818="","",COUNTIFS($E$5:$E$1000,E818,$AB$5:$AB$1000,AB818,$C$5:$C$1000,"&lt;&gt;"&amp;C818))</f>
        <v/>
      </c>
      <c r="Y818" s="33"/>
      <c r="Z818" s="31"/>
      <c r="AA818" s="33"/>
      <c r="AB818" s="37" t="str">
        <f aca="false">IF(B818="","",YEAR(B818)*100+MONTH(B818))</f>
        <v/>
      </c>
      <c r="AC818" s="37" t="str">
        <f aca="false">IF(AND(E818&lt;&gt;"",E818=Cruce!$C$5),COUNTIF($E$5:E818,E818),"")</f>
        <v/>
      </c>
      <c r="AD818" s="37" t="str">
        <f aca="false">IF(E818="","",C818&amp;"|"&amp;Y818&amp;"|"&amp;IF(B818="","s/f",TEXT(B818,"yyyymmdd")))</f>
        <v/>
      </c>
      <c r="AE818" s="37" t="n">
        <f aca="false">IF(E818="",0,IF(COUNTIFS($E$5:E818,E818,$AD$5:AD818,AD818)=1,1,0))</f>
        <v>0</v>
      </c>
    </row>
    <row r="819" customFormat="false" ht="15" hidden="false" customHeight="true" outlineLevel="0" collapsed="false">
      <c r="A819" s="31"/>
      <c r="B819" s="30"/>
      <c r="C819" s="31"/>
      <c r="D819" s="31"/>
      <c r="E819" s="32"/>
      <c r="F819" s="32"/>
      <c r="G819" s="33"/>
      <c r="H819" s="31"/>
      <c r="I819" s="24" t="str">
        <f aca="false">IF(B819="","",YEAR(B819))</f>
        <v/>
      </c>
      <c r="J819" s="34" t="str">
        <f aca="false">IF(B819="","",IF(MONTH(B819)=1,"X",""))</f>
        <v/>
      </c>
      <c r="K819" s="34" t="str">
        <f aca="false">IF(B819="","",IF(MONTH(B819)=2,"X",""))</f>
        <v/>
      </c>
      <c r="L819" s="34" t="str">
        <f aca="false">IF(B819="","",IF(MONTH(B819)=3,"X",""))</f>
        <v/>
      </c>
      <c r="M819" s="34" t="str">
        <f aca="false">IF(B819="","",IF(MONTH(B819)=4,"X",""))</f>
        <v/>
      </c>
      <c r="N819" s="34" t="str">
        <f aca="false">IF(B819="","",IF(MONTH(B819)=5,"X",""))</f>
        <v/>
      </c>
      <c r="O819" s="34" t="str">
        <f aca="false">IF(B819="","",IF(MONTH(B819)=6,"X",""))</f>
        <v/>
      </c>
      <c r="P819" s="34" t="str">
        <f aca="false">IF(B819="","",IF(MONTH(B819)=7,"X",""))</f>
        <v/>
      </c>
      <c r="Q819" s="34" t="str">
        <f aca="false">IF(B819="","",IF(MONTH(B819)=8,"X",""))</f>
        <v/>
      </c>
      <c r="R819" s="34" t="str">
        <f aca="false">IF(B819="","",IF(MONTH(B819)=9,"X",""))</f>
        <v/>
      </c>
      <c r="S819" s="34" t="str">
        <f aca="false">IF(B819="","",IF(MONTH(B819)=10,"X",""))</f>
        <v/>
      </c>
      <c r="T819" s="34" t="str">
        <f aca="false">IF(B819="","",IF(MONTH(B819)=11,"X",""))</f>
        <v/>
      </c>
      <c r="U819" s="34" t="str">
        <f aca="false">IF(B819="","",IF(MONTH(B819)=12,"X",""))</f>
        <v/>
      </c>
      <c r="V819" s="24" t="str">
        <f aca="false">IF(E819="","",COUNTIF($E$5:$E$1000,E819))</f>
        <v/>
      </c>
      <c r="W819" s="35" t="str">
        <f aca="false">IF(E819="","",_xlfn.TEXTJOIN(" + ",TRUE(),IF(COUNTIFS($E$5:$E$1000,E819,$C$5:$C$1000,"Auditoría Interna")&gt;0,"Interna",""),IF(COUNTIFS($E$5:$E$1000,E819,$C$5:$C$1000,"Auditoría Externa")&gt;0,"Externa",""),IF(COUNTIFS($E$5:$E$1000,E819,$C$5:$C$1000,"SSF")&gt;0,"SSF",""),IF(COUNTIFS($E$5:$E$1000,E819,$C$5:$C$1000,"Comité de Supervisión")&gt;0,"Comité Sup.",""),IF(COUNTIFS($E$5:$E$1000,E819,$C$5:$C$1000,"Consejo de Administración")&gt;0,"Consejo",""),IF(COUNTIFS($E$5:$E$1000,E819,$C$5:$C$1000,"Otros")&gt;0,"Otros","")))</f>
        <v/>
      </c>
      <c r="X819" s="24" t="str">
        <f aca="false">IF(E819="","",COUNTIFS($E$5:$E$1000,E819,$AB$5:$AB$1000,AB819,$C$5:$C$1000,"&lt;&gt;"&amp;C819))</f>
        <v/>
      </c>
      <c r="Y819" s="33"/>
      <c r="Z819" s="31"/>
      <c r="AA819" s="33"/>
      <c r="AB819" s="37" t="str">
        <f aca="false">IF(B819="","",YEAR(B819)*100+MONTH(B819))</f>
        <v/>
      </c>
      <c r="AC819" s="37" t="str">
        <f aca="false">IF(AND(E819&lt;&gt;"",E819=Cruce!$C$5),COUNTIF($E$5:E819,E819),"")</f>
        <v/>
      </c>
      <c r="AD819" s="37" t="str">
        <f aca="false">IF(E819="","",C819&amp;"|"&amp;Y819&amp;"|"&amp;IF(B819="","s/f",TEXT(B819,"yyyymmdd")))</f>
        <v/>
      </c>
      <c r="AE819" s="37" t="n">
        <f aca="false">IF(E819="",0,IF(COUNTIFS($E$5:E819,E819,$AD$5:AD819,AD819)=1,1,0))</f>
        <v>0</v>
      </c>
    </row>
    <row r="820" customFormat="false" ht="15" hidden="false" customHeight="true" outlineLevel="0" collapsed="false">
      <c r="A820" s="31"/>
      <c r="B820" s="30"/>
      <c r="C820" s="31"/>
      <c r="D820" s="31"/>
      <c r="E820" s="32"/>
      <c r="F820" s="32"/>
      <c r="G820" s="33"/>
      <c r="H820" s="31"/>
      <c r="I820" s="24" t="str">
        <f aca="false">IF(B820="","",YEAR(B820))</f>
        <v/>
      </c>
      <c r="J820" s="34" t="str">
        <f aca="false">IF(B820="","",IF(MONTH(B820)=1,"X",""))</f>
        <v/>
      </c>
      <c r="K820" s="34" t="str">
        <f aca="false">IF(B820="","",IF(MONTH(B820)=2,"X",""))</f>
        <v/>
      </c>
      <c r="L820" s="34" t="str">
        <f aca="false">IF(B820="","",IF(MONTH(B820)=3,"X",""))</f>
        <v/>
      </c>
      <c r="M820" s="34" t="str">
        <f aca="false">IF(B820="","",IF(MONTH(B820)=4,"X",""))</f>
        <v/>
      </c>
      <c r="N820" s="34" t="str">
        <f aca="false">IF(B820="","",IF(MONTH(B820)=5,"X",""))</f>
        <v/>
      </c>
      <c r="O820" s="34" t="str">
        <f aca="false">IF(B820="","",IF(MONTH(B820)=6,"X",""))</f>
        <v/>
      </c>
      <c r="P820" s="34" t="str">
        <f aca="false">IF(B820="","",IF(MONTH(B820)=7,"X",""))</f>
        <v/>
      </c>
      <c r="Q820" s="34" t="str">
        <f aca="false">IF(B820="","",IF(MONTH(B820)=8,"X",""))</f>
        <v/>
      </c>
      <c r="R820" s="34" t="str">
        <f aca="false">IF(B820="","",IF(MONTH(B820)=9,"X",""))</f>
        <v/>
      </c>
      <c r="S820" s="34" t="str">
        <f aca="false">IF(B820="","",IF(MONTH(B820)=10,"X",""))</f>
        <v/>
      </c>
      <c r="T820" s="34" t="str">
        <f aca="false">IF(B820="","",IF(MONTH(B820)=11,"X",""))</f>
        <v/>
      </c>
      <c r="U820" s="34" t="str">
        <f aca="false">IF(B820="","",IF(MONTH(B820)=12,"X",""))</f>
        <v/>
      </c>
      <c r="V820" s="24" t="str">
        <f aca="false">IF(E820="","",COUNTIF($E$5:$E$1000,E820))</f>
        <v/>
      </c>
      <c r="W820" s="35" t="str">
        <f aca="false">IF(E820="","",_xlfn.TEXTJOIN(" + ",TRUE(),IF(COUNTIFS($E$5:$E$1000,E820,$C$5:$C$1000,"Auditoría Interna")&gt;0,"Interna",""),IF(COUNTIFS($E$5:$E$1000,E820,$C$5:$C$1000,"Auditoría Externa")&gt;0,"Externa",""),IF(COUNTIFS($E$5:$E$1000,E820,$C$5:$C$1000,"SSF")&gt;0,"SSF",""),IF(COUNTIFS($E$5:$E$1000,E820,$C$5:$C$1000,"Comité de Supervisión")&gt;0,"Comité Sup.",""),IF(COUNTIFS($E$5:$E$1000,E820,$C$5:$C$1000,"Consejo de Administración")&gt;0,"Consejo",""),IF(COUNTIFS($E$5:$E$1000,E820,$C$5:$C$1000,"Otros")&gt;0,"Otros","")))</f>
        <v/>
      </c>
      <c r="X820" s="24" t="str">
        <f aca="false">IF(E820="","",COUNTIFS($E$5:$E$1000,E820,$AB$5:$AB$1000,AB820,$C$5:$C$1000,"&lt;&gt;"&amp;C820))</f>
        <v/>
      </c>
      <c r="Y820" s="33"/>
      <c r="Z820" s="31"/>
      <c r="AA820" s="33"/>
      <c r="AB820" s="37" t="str">
        <f aca="false">IF(B820="","",YEAR(B820)*100+MONTH(B820))</f>
        <v/>
      </c>
      <c r="AC820" s="37" t="str">
        <f aca="false">IF(AND(E820&lt;&gt;"",E820=Cruce!$C$5),COUNTIF($E$5:E820,E820),"")</f>
        <v/>
      </c>
      <c r="AD820" s="37" t="str">
        <f aca="false">IF(E820="","",C820&amp;"|"&amp;Y820&amp;"|"&amp;IF(B820="","s/f",TEXT(B820,"yyyymmdd")))</f>
        <v/>
      </c>
      <c r="AE820" s="37" t="n">
        <f aca="false">IF(E820="",0,IF(COUNTIFS($E$5:E820,E820,$AD$5:AD820,AD820)=1,1,0))</f>
        <v>0</v>
      </c>
    </row>
    <row r="821" customFormat="false" ht="15" hidden="false" customHeight="true" outlineLevel="0" collapsed="false">
      <c r="A821" s="31"/>
      <c r="B821" s="30"/>
      <c r="C821" s="31"/>
      <c r="D821" s="31"/>
      <c r="E821" s="32"/>
      <c r="F821" s="32"/>
      <c r="G821" s="33"/>
      <c r="H821" s="31"/>
      <c r="I821" s="24" t="str">
        <f aca="false">IF(B821="","",YEAR(B821))</f>
        <v/>
      </c>
      <c r="J821" s="34" t="str">
        <f aca="false">IF(B821="","",IF(MONTH(B821)=1,"X",""))</f>
        <v/>
      </c>
      <c r="K821" s="34" t="str">
        <f aca="false">IF(B821="","",IF(MONTH(B821)=2,"X",""))</f>
        <v/>
      </c>
      <c r="L821" s="34" t="str">
        <f aca="false">IF(B821="","",IF(MONTH(B821)=3,"X",""))</f>
        <v/>
      </c>
      <c r="M821" s="34" t="str">
        <f aca="false">IF(B821="","",IF(MONTH(B821)=4,"X",""))</f>
        <v/>
      </c>
      <c r="N821" s="34" t="str">
        <f aca="false">IF(B821="","",IF(MONTH(B821)=5,"X",""))</f>
        <v/>
      </c>
      <c r="O821" s="34" t="str">
        <f aca="false">IF(B821="","",IF(MONTH(B821)=6,"X",""))</f>
        <v/>
      </c>
      <c r="P821" s="34" t="str">
        <f aca="false">IF(B821="","",IF(MONTH(B821)=7,"X",""))</f>
        <v/>
      </c>
      <c r="Q821" s="34" t="str">
        <f aca="false">IF(B821="","",IF(MONTH(B821)=8,"X",""))</f>
        <v/>
      </c>
      <c r="R821" s="34" t="str">
        <f aca="false">IF(B821="","",IF(MONTH(B821)=9,"X",""))</f>
        <v/>
      </c>
      <c r="S821" s="34" t="str">
        <f aca="false">IF(B821="","",IF(MONTH(B821)=10,"X",""))</f>
        <v/>
      </c>
      <c r="T821" s="34" t="str">
        <f aca="false">IF(B821="","",IF(MONTH(B821)=11,"X",""))</f>
        <v/>
      </c>
      <c r="U821" s="34" t="str">
        <f aca="false">IF(B821="","",IF(MONTH(B821)=12,"X",""))</f>
        <v/>
      </c>
      <c r="V821" s="24" t="str">
        <f aca="false">IF(E821="","",COUNTIF($E$5:$E$1000,E821))</f>
        <v/>
      </c>
      <c r="W821" s="35" t="str">
        <f aca="false">IF(E821="","",_xlfn.TEXTJOIN(" + ",TRUE(),IF(COUNTIFS($E$5:$E$1000,E821,$C$5:$C$1000,"Auditoría Interna")&gt;0,"Interna",""),IF(COUNTIFS($E$5:$E$1000,E821,$C$5:$C$1000,"Auditoría Externa")&gt;0,"Externa",""),IF(COUNTIFS($E$5:$E$1000,E821,$C$5:$C$1000,"SSF")&gt;0,"SSF",""),IF(COUNTIFS($E$5:$E$1000,E821,$C$5:$C$1000,"Comité de Supervisión")&gt;0,"Comité Sup.",""),IF(COUNTIFS($E$5:$E$1000,E821,$C$5:$C$1000,"Consejo de Administración")&gt;0,"Consejo",""),IF(COUNTIFS($E$5:$E$1000,E821,$C$5:$C$1000,"Otros")&gt;0,"Otros","")))</f>
        <v/>
      </c>
      <c r="X821" s="24" t="str">
        <f aca="false">IF(E821="","",COUNTIFS($E$5:$E$1000,E821,$AB$5:$AB$1000,AB821,$C$5:$C$1000,"&lt;&gt;"&amp;C821))</f>
        <v/>
      </c>
      <c r="Y821" s="33"/>
      <c r="Z821" s="31"/>
      <c r="AA821" s="33"/>
      <c r="AB821" s="37" t="str">
        <f aca="false">IF(B821="","",YEAR(B821)*100+MONTH(B821))</f>
        <v/>
      </c>
      <c r="AC821" s="37" t="str">
        <f aca="false">IF(AND(E821&lt;&gt;"",E821=Cruce!$C$5),COUNTIF($E$5:E821,E821),"")</f>
        <v/>
      </c>
      <c r="AD821" s="37" t="str">
        <f aca="false">IF(E821="","",C821&amp;"|"&amp;Y821&amp;"|"&amp;IF(B821="","s/f",TEXT(B821,"yyyymmdd")))</f>
        <v/>
      </c>
      <c r="AE821" s="37" t="n">
        <f aca="false">IF(E821="",0,IF(COUNTIFS($E$5:E821,E821,$AD$5:AD821,AD821)=1,1,0))</f>
        <v>0</v>
      </c>
    </row>
    <row r="822" customFormat="false" ht="15" hidden="false" customHeight="true" outlineLevel="0" collapsed="false">
      <c r="A822" s="31"/>
      <c r="B822" s="30"/>
      <c r="C822" s="31"/>
      <c r="D822" s="31"/>
      <c r="E822" s="32"/>
      <c r="F822" s="32"/>
      <c r="G822" s="33"/>
      <c r="H822" s="31"/>
      <c r="I822" s="24" t="str">
        <f aca="false">IF(B822="","",YEAR(B822))</f>
        <v/>
      </c>
      <c r="J822" s="34" t="str">
        <f aca="false">IF(B822="","",IF(MONTH(B822)=1,"X",""))</f>
        <v/>
      </c>
      <c r="K822" s="34" t="str">
        <f aca="false">IF(B822="","",IF(MONTH(B822)=2,"X",""))</f>
        <v/>
      </c>
      <c r="L822" s="34" t="str">
        <f aca="false">IF(B822="","",IF(MONTH(B822)=3,"X",""))</f>
        <v/>
      </c>
      <c r="M822" s="34" t="str">
        <f aca="false">IF(B822="","",IF(MONTH(B822)=4,"X",""))</f>
        <v/>
      </c>
      <c r="N822" s="34" t="str">
        <f aca="false">IF(B822="","",IF(MONTH(B822)=5,"X",""))</f>
        <v/>
      </c>
      <c r="O822" s="34" t="str">
        <f aca="false">IF(B822="","",IF(MONTH(B822)=6,"X",""))</f>
        <v/>
      </c>
      <c r="P822" s="34" t="str">
        <f aca="false">IF(B822="","",IF(MONTH(B822)=7,"X",""))</f>
        <v/>
      </c>
      <c r="Q822" s="34" t="str">
        <f aca="false">IF(B822="","",IF(MONTH(B822)=8,"X",""))</f>
        <v/>
      </c>
      <c r="R822" s="34" t="str">
        <f aca="false">IF(B822="","",IF(MONTH(B822)=9,"X",""))</f>
        <v/>
      </c>
      <c r="S822" s="34" t="str">
        <f aca="false">IF(B822="","",IF(MONTH(B822)=10,"X",""))</f>
        <v/>
      </c>
      <c r="T822" s="34" t="str">
        <f aca="false">IF(B822="","",IF(MONTH(B822)=11,"X",""))</f>
        <v/>
      </c>
      <c r="U822" s="34" t="str">
        <f aca="false">IF(B822="","",IF(MONTH(B822)=12,"X",""))</f>
        <v/>
      </c>
      <c r="V822" s="24" t="str">
        <f aca="false">IF(E822="","",COUNTIF($E$5:$E$1000,E822))</f>
        <v/>
      </c>
      <c r="W822" s="35" t="str">
        <f aca="false">IF(E822="","",_xlfn.TEXTJOIN(" + ",TRUE(),IF(COUNTIFS($E$5:$E$1000,E822,$C$5:$C$1000,"Auditoría Interna")&gt;0,"Interna",""),IF(COUNTIFS($E$5:$E$1000,E822,$C$5:$C$1000,"Auditoría Externa")&gt;0,"Externa",""),IF(COUNTIFS($E$5:$E$1000,E822,$C$5:$C$1000,"SSF")&gt;0,"SSF",""),IF(COUNTIFS($E$5:$E$1000,E822,$C$5:$C$1000,"Comité de Supervisión")&gt;0,"Comité Sup.",""),IF(COUNTIFS($E$5:$E$1000,E822,$C$5:$C$1000,"Consejo de Administración")&gt;0,"Consejo",""),IF(COUNTIFS($E$5:$E$1000,E822,$C$5:$C$1000,"Otros")&gt;0,"Otros","")))</f>
        <v/>
      </c>
      <c r="X822" s="24" t="str">
        <f aca="false">IF(E822="","",COUNTIFS($E$5:$E$1000,E822,$AB$5:$AB$1000,AB822,$C$5:$C$1000,"&lt;&gt;"&amp;C822))</f>
        <v/>
      </c>
      <c r="Y822" s="33"/>
      <c r="Z822" s="31"/>
      <c r="AA822" s="33"/>
      <c r="AB822" s="37" t="str">
        <f aca="false">IF(B822="","",YEAR(B822)*100+MONTH(B822))</f>
        <v/>
      </c>
      <c r="AC822" s="37" t="str">
        <f aca="false">IF(AND(E822&lt;&gt;"",E822=Cruce!$C$5),COUNTIF($E$5:E822,E822),"")</f>
        <v/>
      </c>
      <c r="AD822" s="37" t="str">
        <f aca="false">IF(E822="","",C822&amp;"|"&amp;Y822&amp;"|"&amp;IF(B822="","s/f",TEXT(B822,"yyyymmdd")))</f>
        <v/>
      </c>
      <c r="AE822" s="37" t="n">
        <f aca="false">IF(E822="",0,IF(COUNTIFS($E$5:E822,E822,$AD$5:AD822,AD822)=1,1,0))</f>
        <v>0</v>
      </c>
    </row>
    <row r="823" customFormat="false" ht="15" hidden="false" customHeight="true" outlineLevel="0" collapsed="false">
      <c r="A823" s="31"/>
      <c r="B823" s="30"/>
      <c r="C823" s="31"/>
      <c r="D823" s="31"/>
      <c r="E823" s="32"/>
      <c r="F823" s="32"/>
      <c r="G823" s="33"/>
      <c r="H823" s="31"/>
      <c r="I823" s="24" t="str">
        <f aca="false">IF(B823="","",YEAR(B823))</f>
        <v/>
      </c>
      <c r="J823" s="34" t="str">
        <f aca="false">IF(B823="","",IF(MONTH(B823)=1,"X",""))</f>
        <v/>
      </c>
      <c r="K823" s="34" t="str">
        <f aca="false">IF(B823="","",IF(MONTH(B823)=2,"X",""))</f>
        <v/>
      </c>
      <c r="L823" s="34" t="str">
        <f aca="false">IF(B823="","",IF(MONTH(B823)=3,"X",""))</f>
        <v/>
      </c>
      <c r="M823" s="34" t="str">
        <f aca="false">IF(B823="","",IF(MONTH(B823)=4,"X",""))</f>
        <v/>
      </c>
      <c r="N823" s="34" t="str">
        <f aca="false">IF(B823="","",IF(MONTH(B823)=5,"X",""))</f>
        <v/>
      </c>
      <c r="O823" s="34" t="str">
        <f aca="false">IF(B823="","",IF(MONTH(B823)=6,"X",""))</f>
        <v/>
      </c>
      <c r="P823" s="34" t="str">
        <f aca="false">IF(B823="","",IF(MONTH(B823)=7,"X",""))</f>
        <v/>
      </c>
      <c r="Q823" s="34" t="str">
        <f aca="false">IF(B823="","",IF(MONTH(B823)=8,"X",""))</f>
        <v/>
      </c>
      <c r="R823" s="34" t="str">
        <f aca="false">IF(B823="","",IF(MONTH(B823)=9,"X",""))</f>
        <v/>
      </c>
      <c r="S823" s="34" t="str">
        <f aca="false">IF(B823="","",IF(MONTH(B823)=10,"X",""))</f>
        <v/>
      </c>
      <c r="T823" s="34" t="str">
        <f aca="false">IF(B823="","",IF(MONTH(B823)=11,"X",""))</f>
        <v/>
      </c>
      <c r="U823" s="34" t="str">
        <f aca="false">IF(B823="","",IF(MONTH(B823)=12,"X",""))</f>
        <v/>
      </c>
      <c r="V823" s="24" t="str">
        <f aca="false">IF(E823="","",COUNTIF($E$5:$E$1000,E823))</f>
        <v/>
      </c>
      <c r="W823" s="35" t="str">
        <f aca="false">IF(E823="","",_xlfn.TEXTJOIN(" + ",TRUE(),IF(COUNTIFS($E$5:$E$1000,E823,$C$5:$C$1000,"Auditoría Interna")&gt;0,"Interna",""),IF(COUNTIFS($E$5:$E$1000,E823,$C$5:$C$1000,"Auditoría Externa")&gt;0,"Externa",""),IF(COUNTIFS($E$5:$E$1000,E823,$C$5:$C$1000,"SSF")&gt;0,"SSF",""),IF(COUNTIFS($E$5:$E$1000,E823,$C$5:$C$1000,"Comité de Supervisión")&gt;0,"Comité Sup.",""),IF(COUNTIFS($E$5:$E$1000,E823,$C$5:$C$1000,"Consejo de Administración")&gt;0,"Consejo",""),IF(COUNTIFS($E$5:$E$1000,E823,$C$5:$C$1000,"Otros")&gt;0,"Otros","")))</f>
        <v/>
      </c>
      <c r="X823" s="24" t="str">
        <f aca="false">IF(E823="","",COUNTIFS($E$5:$E$1000,E823,$AB$5:$AB$1000,AB823,$C$5:$C$1000,"&lt;&gt;"&amp;C823))</f>
        <v/>
      </c>
      <c r="Y823" s="33"/>
      <c r="Z823" s="31"/>
      <c r="AA823" s="33"/>
      <c r="AB823" s="37" t="str">
        <f aca="false">IF(B823="","",YEAR(B823)*100+MONTH(B823))</f>
        <v/>
      </c>
      <c r="AC823" s="37" t="str">
        <f aca="false">IF(AND(E823&lt;&gt;"",E823=Cruce!$C$5),COUNTIF($E$5:E823,E823),"")</f>
        <v/>
      </c>
      <c r="AD823" s="37" t="str">
        <f aca="false">IF(E823="","",C823&amp;"|"&amp;Y823&amp;"|"&amp;IF(B823="","s/f",TEXT(B823,"yyyymmdd")))</f>
        <v/>
      </c>
      <c r="AE823" s="37" t="n">
        <f aca="false">IF(E823="",0,IF(COUNTIFS($E$5:E823,E823,$AD$5:AD823,AD823)=1,1,0))</f>
        <v>0</v>
      </c>
    </row>
    <row r="824" customFormat="false" ht="15" hidden="false" customHeight="true" outlineLevel="0" collapsed="false">
      <c r="A824" s="31"/>
      <c r="B824" s="30"/>
      <c r="C824" s="31"/>
      <c r="D824" s="31"/>
      <c r="E824" s="32"/>
      <c r="F824" s="32"/>
      <c r="G824" s="33"/>
      <c r="H824" s="31"/>
      <c r="I824" s="24" t="str">
        <f aca="false">IF(B824="","",YEAR(B824))</f>
        <v/>
      </c>
      <c r="J824" s="34" t="str">
        <f aca="false">IF(B824="","",IF(MONTH(B824)=1,"X",""))</f>
        <v/>
      </c>
      <c r="K824" s="34" t="str">
        <f aca="false">IF(B824="","",IF(MONTH(B824)=2,"X",""))</f>
        <v/>
      </c>
      <c r="L824" s="34" t="str">
        <f aca="false">IF(B824="","",IF(MONTH(B824)=3,"X",""))</f>
        <v/>
      </c>
      <c r="M824" s="34" t="str">
        <f aca="false">IF(B824="","",IF(MONTH(B824)=4,"X",""))</f>
        <v/>
      </c>
      <c r="N824" s="34" t="str">
        <f aca="false">IF(B824="","",IF(MONTH(B824)=5,"X",""))</f>
        <v/>
      </c>
      <c r="O824" s="34" t="str">
        <f aca="false">IF(B824="","",IF(MONTH(B824)=6,"X",""))</f>
        <v/>
      </c>
      <c r="P824" s="34" t="str">
        <f aca="false">IF(B824="","",IF(MONTH(B824)=7,"X",""))</f>
        <v/>
      </c>
      <c r="Q824" s="34" t="str">
        <f aca="false">IF(B824="","",IF(MONTH(B824)=8,"X",""))</f>
        <v/>
      </c>
      <c r="R824" s="34" t="str">
        <f aca="false">IF(B824="","",IF(MONTH(B824)=9,"X",""))</f>
        <v/>
      </c>
      <c r="S824" s="34" t="str">
        <f aca="false">IF(B824="","",IF(MONTH(B824)=10,"X",""))</f>
        <v/>
      </c>
      <c r="T824" s="34" t="str">
        <f aca="false">IF(B824="","",IF(MONTH(B824)=11,"X",""))</f>
        <v/>
      </c>
      <c r="U824" s="34" t="str">
        <f aca="false">IF(B824="","",IF(MONTH(B824)=12,"X",""))</f>
        <v/>
      </c>
      <c r="V824" s="24" t="str">
        <f aca="false">IF(E824="","",COUNTIF($E$5:$E$1000,E824))</f>
        <v/>
      </c>
      <c r="W824" s="35" t="str">
        <f aca="false">IF(E824="","",_xlfn.TEXTJOIN(" + ",TRUE(),IF(COUNTIFS($E$5:$E$1000,E824,$C$5:$C$1000,"Auditoría Interna")&gt;0,"Interna",""),IF(COUNTIFS($E$5:$E$1000,E824,$C$5:$C$1000,"Auditoría Externa")&gt;0,"Externa",""),IF(COUNTIFS($E$5:$E$1000,E824,$C$5:$C$1000,"SSF")&gt;0,"SSF",""),IF(COUNTIFS($E$5:$E$1000,E824,$C$5:$C$1000,"Comité de Supervisión")&gt;0,"Comité Sup.",""),IF(COUNTIFS($E$5:$E$1000,E824,$C$5:$C$1000,"Consejo de Administración")&gt;0,"Consejo",""),IF(COUNTIFS($E$5:$E$1000,E824,$C$5:$C$1000,"Otros")&gt;0,"Otros","")))</f>
        <v/>
      </c>
      <c r="X824" s="24" t="str">
        <f aca="false">IF(E824="","",COUNTIFS($E$5:$E$1000,E824,$AB$5:$AB$1000,AB824,$C$5:$C$1000,"&lt;&gt;"&amp;C824))</f>
        <v/>
      </c>
      <c r="Y824" s="33"/>
      <c r="Z824" s="31"/>
      <c r="AA824" s="33"/>
      <c r="AB824" s="37" t="str">
        <f aca="false">IF(B824="","",YEAR(B824)*100+MONTH(B824))</f>
        <v/>
      </c>
      <c r="AC824" s="37" t="str">
        <f aca="false">IF(AND(E824&lt;&gt;"",E824=Cruce!$C$5),COUNTIF($E$5:E824,E824),"")</f>
        <v/>
      </c>
      <c r="AD824" s="37" t="str">
        <f aca="false">IF(E824="","",C824&amp;"|"&amp;Y824&amp;"|"&amp;IF(B824="","s/f",TEXT(B824,"yyyymmdd")))</f>
        <v/>
      </c>
      <c r="AE824" s="37" t="n">
        <f aca="false">IF(E824="",0,IF(COUNTIFS($E$5:E824,E824,$AD$5:AD824,AD824)=1,1,0))</f>
        <v>0</v>
      </c>
    </row>
    <row r="825" customFormat="false" ht="15" hidden="false" customHeight="true" outlineLevel="0" collapsed="false">
      <c r="A825" s="31"/>
      <c r="B825" s="30"/>
      <c r="C825" s="31"/>
      <c r="D825" s="31"/>
      <c r="E825" s="32"/>
      <c r="F825" s="32"/>
      <c r="G825" s="33"/>
      <c r="H825" s="31"/>
      <c r="I825" s="24" t="str">
        <f aca="false">IF(B825="","",YEAR(B825))</f>
        <v/>
      </c>
      <c r="J825" s="34" t="str">
        <f aca="false">IF(B825="","",IF(MONTH(B825)=1,"X",""))</f>
        <v/>
      </c>
      <c r="K825" s="34" t="str">
        <f aca="false">IF(B825="","",IF(MONTH(B825)=2,"X",""))</f>
        <v/>
      </c>
      <c r="L825" s="34" t="str">
        <f aca="false">IF(B825="","",IF(MONTH(B825)=3,"X",""))</f>
        <v/>
      </c>
      <c r="M825" s="34" t="str">
        <f aca="false">IF(B825="","",IF(MONTH(B825)=4,"X",""))</f>
        <v/>
      </c>
      <c r="N825" s="34" t="str">
        <f aca="false">IF(B825="","",IF(MONTH(B825)=5,"X",""))</f>
        <v/>
      </c>
      <c r="O825" s="34" t="str">
        <f aca="false">IF(B825="","",IF(MONTH(B825)=6,"X",""))</f>
        <v/>
      </c>
      <c r="P825" s="34" t="str">
        <f aca="false">IF(B825="","",IF(MONTH(B825)=7,"X",""))</f>
        <v/>
      </c>
      <c r="Q825" s="34" t="str">
        <f aca="false">IF(B825="","",IF(MONTH(B825)=8,"X",""))</f>
        <v/>
      </c>
      <c r="R825" s="34" t="str">
        <f aca="false">IF(B825="","",IF(MONTH(B825)=9,"X",""))</f>
        <v/>
      </c>
      <c r="S825" s="34" t="str">
        <f aca="false">IF(B825="","",IF(MONTH(B825)=10,"X",""))</f>
        <v/>
      </c>
      <c r="T825" s="34" t="str">
        <f aca="false">IF(B825="","",IF(MONTH(B825)=11,"X",""))</f>
        <v/>
      </c>
      <c r="U825" s="34" t="str">
        <f aca="false">IF(B825="","",IF(MONTH(B825)=12,"X",""))</f>
        <v/>
      </c>
      <c r="V825" s="24" t="str">
        <f aca="false">IF(E825="","",COUNTIF($E$5:$E$1000,E825))</f>
        <v/>
      </c>
      <c r="W825" s="35" t="str">
        <f aca="false">IF(E825="","",_xlfn.TEXTJOIN(" + ",TRUE(),IF(COUNTIFS($E$5:$E$1000,E825,$C$5:$C$1000,"Auditoría Interna")&gt;0,"Interna",""),IF(COUNTIFS($E$5:$E$1000,E825,$C$5:$C$1000,"Auditoría Externa")&gt;0,"Externa",""),IF(COUNTIFS($E$5:$E$1000,E825,$C$5:$C$1000,"SSF")&gt;0,"SSF",""),IF(COUNTIFS($E$5:$E$1000,E825,$C$5:$C$1000,"Comité de Supervisión")&gt;0,"Comité Sup.",""),IF(COUNTIFS($E$5:$E$1000,E825,$C$5:$C$1000,"Consejo de Administración")&gt;0,"Consejo",""),IF(COUNTIFS($E$5:$E$1000,E825,$C$5:$C$1000,"Otros")&gt;0,"Otros","")))</f>
        <v/>
      </c>
      <c r="X825" s="24" t="str">
        <f aca="false">IF(E825="","",COUNTIFS($E$5:$E$1000,E825,$AB$5:$AB$1000,AB825,$C$5:$C$1000,"&lt;&gt;"&amp;C825))</f>
        <v/>
      </c>
      <c r="Y825" s="33"/>
      <c r="Z825" s="31"/>
      <c r="AA825" s="33"/>
      <c r="AB825" s="37" t="str">
        <f aca="false">IF(B825="","",YEAR(B825)*100+MONTH(B825))</f>
        <v/>
      </c>
      <c r="AC825" s="37" t="str">
        <f aca="false">IF(AND(E825&lt;&gt;"",E825=Cruce!$C$5),COUNTIF($E$5:E825,E825),"")</f>
        <v/>
      </c>
      <c r="AD825" s="37" t="str">
        <f aca="false">IF(E825="","",C825&amp;"|"&amp;Y825&amp;"|"&amp;IF(B825="","s/f",TEXT(B825,"yyyymmdd")))</f>
        <v/>
      </c>
      <c r="AE825" s="37" t="n">
        <f aca="false">IF(E825="",0,IF(COUNTIFS($E$5:E825,E825,$AD$5:AD825,AD825)=1,1,0))</f>
        <v>0</v>
      </c>
    </row>
    <row r="826" customFormat="false" ht="15" hidden="false" customHeight="true" outlineLevel="0" collapsed="false">
      <c r="A826" s="31"/>
      <c r="B826" s="30"/>
      <c r="C826" s="31"/>
      <c r="D826" s="31"/>
      <c r="E826" s="32"/>
      <c r="F826" s="32"/>
      <c r="G826" s="33"/>
      <c r="H826" s="31"/>
      <c r="I826" s="24" t="str">
        <f aca="false">IF(B826="","",YEAR(B826))</f>
        <v/>
      </c>
      <c r="J826" s="34" t="str">
        <f aca="false">IF(B826="","",IF(MONTH(B826)=1,"X",""))</f>
        <v/>
      </c>
      <c r="K826" s="34" t="str">
        <f aca="false">IF(B826="","",IF(MONTH(B826)=2,"X",""))</f>
        <v/>
      </c>
      <c r="L826" s="34" t="str">
        <f aca="false">IF(B826="","",IF(MONTH(B826)=3,"X",""))</f>
        <v/>
      </c>
      <c r="M826" s="34" t="str">
        <f aca="false">IF(B826="","",IF(MONTH(B826)=4,"X",""))</f>
        <v/>
      </c>
      <c r="N826" s="34" t="str">
        <f aca="false">IF(B826="","",IF(MONTH(B826)=5,"X",""))</f>
        <v/>
      </c>
      <c r="O826" s="34" t="str">
        <f aca="false">IF(B826="","",IF(MONTH(B826)=6,"X",""))</f>
        <v/>
      </c>
      <c r="P826" s="34" t="str">
        <f aca="false">IF(B826="","",IF(MONTH(B826)=7,"X",""))</f>
        <v/>
      </c>
      <c r="Q826" s="34" t="str">
        <f aca="false">IF(B826="","",IF(MONTH(B826)=8,"X",""))</f>
        <v/>
      </c>
      <c r="R826" s="34" t="str">
        <f aca="false">IF(B826="","",IF(MONTH(B826)=9,"X",""))</f>
        <v/>
      </c>
      <c r="S826" s="34" t="str">
        <f aca="false">IF(B826="","",IF(MONTH(B826)=10,"X",""))</f>
        <v/>
      </c>
      <c r="T826" s="34" t="str">
        <f aca="false">IF(B826="","",IF(MONTH(B826)=11,"X",""))</f>
        <v/>
      </c>
      <c r="U826" s="34" t="str">
        <f aca="false">IF(B826="","",IF(MONTH(B826)=12,"X",""))</f>
        <v/>
      </c>
      <c r="V826" s="24" t="str">
        <f aca="false">IF(E826="","",COUNTIF($E$5:$E$1000,E826))</f>
        <v/>
      </c>
      <c r="W826" s="35" t="str">
        <f aca="false">IF(E826="","",_xlfn.TEXTJOIN(" + ",TRUE(),IF(COUNTIFS($E$5:$E$1000,E826,$C$5:$C$1000,"Auditoría Interna")&gt;0,"Interna",""),IF(COUNTIFS($E$5:$E$1000,E826,$C$5:$C$1000,"Auditoría Externa")&gt;0,"Externa",""),IF(COUNTIFS($E$5:$E$1000,E826,$C$5:$C$1000,"SSF")&gt;0,"SSF",""),IF(COUNTIFS($E$5:$E$1000,E826,$C$5:$C$1000,"Comité de Supervisión")&gt;0,"Comité Sup.",""),IF(COUNTIFS($E$5:$E$1000,E826,$C$5:$C$1000,"Consejo de Administración")&gt;0,"Consejo",""),IF(COUNTIFS($E$5:$E$1000,E826,$C$5:$C$1000,"Otros")&gt;0,"Otros","")))</f>
        <v/>
      </c>
      <c r="X826" s="24" t="str">
        <f aca="false">IF(E826="","",COUNTIFS($E$5:$E$1000,E826,$AB$5:$AB$1000,AB826,$C$5:$C$1000,"&lt;&gt;"&amp;C826))</f>
        <v/>
      </c>
      <c r="Y826" s="33"/>
      <c r="Z826" s="31"/>
      <c r="AA826" s="33"/>
      <c r="AB826" s="37" t="str">
        <f aca="false">IF(B826="","",YEAR(B826)*100+MONTH(B826))</f>
        <v/>
      </c>
      <c r="AC826" s="37" t="str">
        <f aca="false">IF(AND(E826&lt;&gt;"",E826=Cruce!$C$5),COUNTIF($E$5:E826,E826),"")</f>
        <v/>
      </c>
      <c r="AD826" s="37" t="str">
        <f aca="false">IF(E826="","",C826&amp;"|"&amp;Y826&amp;"|"&amp;IF(B826="","s/f",TEXT(B826,"yyyymmdd")))</f>
        <v/>
      </c>
      <c r="AE826" s="37" t="n">
        <f aca="false">IF(E826="",0,IF(COUNTIFS($E$5:E826,E826,$AD$5:AD826,AD826)=1,1,0))</f>
        <v>0</v>
      </c>
    </row>
    <row r="827" customFormat="false" ht="15" hidden="false" customHeight="true" outlineLevel="0" collapsed="false">
      <c r="A827" s="31"/>
      <c r="B827" s="30"/>
      <c r="C827" s="31"/>
      <c r="D827" s="31"/>
      <c r="E827" s="32"/>
      <c r="F827" s="32"/>
      <c r="G827" s="33"/>
      <c r="H827" s="31"/>
      <c r="I827" s="24" t="str">
        <f aca="false">IF(B827="","",YEAR(B827))</f>
        <v/>
      </c>
      <c r="J827" s="34" t="str">
        <f aca="false">IF(B827="","",IF(MONTH(B827)=1,"X",""))</f>
        <v/>
      </c>
      <c r="K827" s="34" t="str">
        <f aca="false">IF(B827="","",IF(MONTH(B827)=2,"X",""))</f>
        <v/>
      </c>
      <c r="L827" s="34" t="str">
        <f aca="false">IF(B827="","",IF(MONTH(B827)=3,"X",""))</f>
        <v/>
      </c>
      <c r="M827" s="34" t="str">
        <f aca="false">IF(B827="","",IF(MONTH(B827)=4,"X",""))</f>
        <v/>
      </c>
      <c r="N827" s="34" t="str">
        <f aca="false">IF(B827="","",IF(MONTH(B827)=5,"X",""))</f>
        <v/>
      </c>
      <c r="O827" s="34" t="str">
        <f aca="false">IF(B827="","",IF(MONTH(B827)=6,"X",""))</f>
        <v/>
      </c>
      <c r="P827" s="34" t="str">
        <f aca="false">IF(B827="","",IF(MONTH(B827)=7,"X",""))</f>
        <v/>
      </c>
      <c r="Q827" s="34" t="str">
        <f aca="false">IF(B827="","",IF(MONTH(B827)=8,"X",""))</f>
        <v/>
      </c>
      <c r="R827" s="34" t="str">
        <f aca="false">IF(B827="","",IF(MONTH(B827)=9,"X",""))</f>
        <v/>
      </c>
      <c r="S827" s="34" t="str">
        <f aca="false">IF(B827="","",IF(MONTH(B827)=10,"X",""))</f>
        <v/>
      </c>
      <c r="T827" s="34" t="str">
        <f aca="false">IF(B827="","",IF(MONTH(B827)=11,"X",""))</f>
        <v/>
      </c>
      <c r="U827" s="34" t="str">
        <f aca="false">IF(B827="","",IF(MONTH(B827)=12,"X",""))</f>
        <v/>
      </c>
      <c r="V827" s="24" t="str">
        <f aca="false">IF(E827="","",COUNTIF($E$5:$E$1000,E827))</f>
        <v/>
      </c>
      <c r="W827" s="35" t="str">
        <f aca="false">IF(E827="","",_xlfn.TEXTJOIN(" + ",TRUE(),IF(COUNTIFS($E$5:$E$1000,E827,$C$5:$C$1000,"Auditoría Interna")&gt;0,"Interna",""),IF(COUNTIFS($E$5:$E$1000,E827,$C$5:$C$1000,"Auditoría Externa")&gt;0,"Externa",""),IF(COUNTIFS($E$5:$E$1000,E827,$C$5:$C$1000,"SSF")&gt;0,"SSF",""),IF(COUNTIFS($E$5:$E$1000,E827,$C$5:$C$1000,"Comité de Supervisión")&gt;0,"Comité Sup.",""),IF(COUNTIFS($E$5:$E$1000,E827,$C$5:$C$1000,"Consejo de Administración")&gt;0,"Consejo",""),IF(COUNTIFS($E$5:$E$1000,E827,$C$5:$C$1000,"Otros")&gt;0,"Otros","")))</f>
        <v/>
      </c>
      <c r="X827" s="24" t="str">
        <f aca="false">IF(E827="","",COUNTIFS($E$5:$E$1000,E827,$AB$5:$AB$1000,AB827,$C$5:$C$1000,"&lt;&gt;"&amp;C827))</f>
        <v/>
      </c>
      <c r="Y827" s="33"/>
      <c r="Z827" s="31"/>
      <c r="AA827" s="33"/>
      <c r="AB827" s="37" t="str">
        <f aca="false">IF(B827="","",YEAR(B827)*100+MONTH(B827))</f>
        <v/>
      </c>
      <c r="AC827" s="37" t="str">
        <f aca="false">IF(AND(E827&lt;&gt;"",E827=Cruce!$C$5),COUNTIF($E$5:E827,E827),"")</f>
        <v/>
      </c>
      <c r="AD827" s="37" t="str">
        <f aca="false">IF(E827="","",C827&amp;"|"&amp;Y827&amp;"|"&amp;IF(B827="","s/f",TEXT(B827,"yyyymmdd")))</f>
        <v/>
      </c>
      <c r="AE827" s="37" t="n">
        <f aca="false">IF(E827="",0,IF(COUNTIFS($E$5:E827,E827,$AD$5:AD827,AD827)=1,1,0))</f>
        <v>0</v>
      </c>
    </row>
    <row r="828" customFormat="false" ht="15" hidden="false" customHeight="true" outlineLevel="0" collapsed="false">
      <c r="A828" s="31"/>
      <c r="B828" s="30"/>
      <c r="C828" s="31"/>
      <c r="D828" s="31"/>
      <c r="E828" s="32"/>
      <c r="F828" s="32"/>
      <c r="G828" s="33"/>
      <c r="H828" s="31"/>
      <c r="I828" s="24" t="str">
        <f aca="false">IF(B828="","",YEAR(B828))</f>
        <v/>
      </c>
      <c r="J828" s="34" t="str">
        <f aca="false">IF(B828="","",IF(MONTH(B828)=1,"X",""))</f>
        <v/>
      </c>
      <c r="K828" s="34" t="str">
        <f aca="false">IF(B828="","",IF(MONTH(B828)=2,"X",""))</f>
        <v/>
      </c>
      <c r="L828" s="34" t="str">
        <f aca="false">IF(B828="","",IF(MONTH(B828)=3,"X",""))</f>
        <v/>
      </c>
      <c r="M828" s="34" t="str">
        <f aca="false">IF(B828="","",IF(MONTH(B828)=4,"X",""))</f>
        <v/>
      </c>
      <c r="N828" s="34" t="str">
        <f aca="false">IF(B828="","",IF(MONTH(B828)=5,"X",""))</f>
        <v/>
      </c>
      <c r="O828" s="34" t="str">
        <f aca="false">IF(B828="","",IF(MONTH(B828)=6,"X",""))</f>
        <v/>
      </c>
      <c r="P828" s="34" t="str">
        <f aca="false">IF(B828="","",IF(MONTH(B828)=7,"X",""))</f>
        <v/>
      </c>
      <c r="Q828" s="34" t="str">
        <f aca="false">IF(B828="","",IF(MONTH(B828)=8,"X",""))</f>
        <v/>
      </c>
      <c r="R828" s="34" t="str">
        <f aca="false">IF(B828="","",IF(MONTH(B828)=9,"X",""))</f>
        <v/>
      </c>
      <c r="S828" s="34" t="str">
        <f aca="false">IF(B828="","",IF(MONTH(B828)=10,"X",""))</f>
        <v/>
      </c>
      <c r="T828" s="34" t="str">
        <f aca="false">IF(B828="","",IF(MONTH(B828)=11,"X",""))</f>
        <v/>
      </c>
      <c r="U828" s="34" t="str">
        <f aca="false">IF(B828="","",IF(MONTH(B828)=12,"X",""))</f>
        <v/>
      </c>
      <c r="V828" s="24" t="str">
        <f aca="false">IF(E828="","",COUNTIF($E$5:$E$1000,E828))</f>
        <v/>
      </c>
      <c r="W828" s="35" t="str">
        <f aca="false">IF(E828="","",_xlfn.TEXTJOIN(" + ",TRUE(),IF(COUNTIFS($E$5:$E$1000,E828,$C$5:$C$1000,"Auditoría Interna")&gt;0,"Interna",""),IF(COUNTIFS($E$5:$E$1000,E828,$C$5:$C$1000,"Auditoría Externa")&gt;0,"Externa",""),IF(COUNTIFS($E$5:$E$1000,E828,$C$5:$C$1000,"SSF")&gt;0,"SSF",""),IF(COUNTIFS($E$5:$E$1000,E828,$C$5:$C$1000,"Comité de Supervisión")&gt;0,"Comité Sup.",""),IF(COUNTIFS($E$5:$E$1000,E828,$C$5:$C$1000,"Consejo de Administración")&gt;0,"Consejo",""),IF(COUNTIFS($E$5:$E$1000,E828,$C$5:$C$1000,"Otros")&gt;0,"Otros","")))</f>
        <v/>
      </c>
      <c r="X828" s="24" t="str">
        <f aca="false">IF(E828="","",COUNTIFS($E$5:$E$1000,E828,$AB$5:$AB$1000,AB828,$C$5:$C$1000,"&lt;&gt;"&amp;C828))</f>
        <v/>
      </c>
      <c r="Y828" s="33"/>
      <c r="Z828" s="31"/>
      <c r="AA828" s="33"/>
      <c r="AB828" s="37" t="str">
        <f aca="false">IF(B828="","",YEAR(B828)*100+MONTH(B828))</f>
        <v/>
      </c>
      <c r="AC828" s="37" t="str">
        <f aca="false">IF(AND(E828&lt;&gt;"",E828=Cruce!$C$5),COUNTIF($E$5:E828,E828),"")</f>
        <v/>
      </c>
      <c r="AD828" s="37" t="str">
        <f aca="false">IF(E828="","",C828&amp;"|"&amp;Y828&amp;"|"&amp;IF(B828="","s/f",TEXT(B828,"yyyymmdd")))</f>
        <v/>
      </c>
      <c r="AE828" s="37" t="n">
        <f aca="false">IF(E828="",0,IF(COUNTIFS($E$5:E828,E828,$AD$5:AD828,AD828)=1,1,0))</f>
        <v>0</v>
      </c>
    </row>
    <row r="829" customFormat="false" ht="15" hidden="false" customHeight="true" outlineLevel="0" collapsed="false">
      <c r="A829" s="31"/>
      <c r="B829" s="30"/>
      <c r="C829" s="31"/>
      <c r="D829" s="31"/>
      <c r="E829" s="32"/>
      <c r="F829" s="32"/>
      <c r="G829" s="33"/>
      <c r="H829" s="31"/>
      <c r="I829" s="24" t="str">
        <f aca="false">IF(B829="","",YEAR(B829))</f>
        <v/>
      </c>
      <c r="J829" s="34" t="str">
        <f aca="false">IF(B829="","",IF(MONTH(B829)=1,"X",""))</f>
        <v/>
      </c>
      <c r="K829" s="34" t="str">
        <f aca="false">IF(B829="","",IF(MONTH(B829)=2,"X",""))</f>
        <v/>
      </c>
      <c r="L829" s="34" t="str">
        <f aca="false">IF(B829="","",IF(MONTH(B829)=3,"X",""))</f>
        <v/>
      </c>
      <c r="M829" s="34" t="str">
        <f aca="false">IF(B829="","",IF(MONTH(B829)=4,"X",""))</f>
        <v/>
      </c>
      <c r="N829" s="34" t="str">
        <f aca="false">IF(B829="","",IF(MONTH(B829)=5,"X",""))</f>
        <v/>
      </c>
      <c r="O829" s="34" t="str">
        <f aca="false">IF(B829="","",IF(MONTH(B829)=6,"X",""))</f>
        <v/>
      </c>
      <c r="P829" s="34" t="str">
        <f aca="false">IF(B829="","",IF(MONTH(B829)=7,"X",""))</f>
        <v/>
      </c>
      <c r="Q829" s="34" t="str">
        <f aca="false">IF(B829="","",IF(MONTH(B829)=8,"X",""))</f>
        <v/>
      </c>
      <c r="R829" s="34" t="str">
        <f aca="false">IF(B829="","",IF(MONTH(B829)=9,"X",""))</f>
        <v/>
      </c>
      <c r="S829" s="34" t="str">
        <f aca="false">IF(B829="","",IF(MONTH(B829)=10,"X",""))</f>
        <v/>
      </c>
      <c r="T829" s="34" t="str">
        <f aca="false">IF(B829="","",IF(MONTH(B829)=11,"X",""))</f>
        <v/>
      </c>
      <c r="U829" s="34" t="str">
        <f aca="false">IF(B829="","",IF(MONTH(B829)=12,"X",""))</f>
        <v/>
      </c>
      <c r="V829" s="24" t="str">
        <f aca="false">IF(E829="","",COUNTIF($E$5:$E$1000,E829))</f>
        <v/>
      </c>
      <c r="W829" s="35" t="str">
        <f aca="false">IF(E829="","",_xlfn.TEXTJOIN(" + ",TRUE(),IF(COUNTIFS($E$5:$E$1000,E829,$C$5:$C$1000,"Auditoría Interna")&gt;0,"Interna",""),IF(COUNTIFS($E$5:$E$1000,E829,$C$5:$C$1000,"Auditoría Externa")&gt;0,"Externa",""),IF(COUNTIFS($E$5:$E$1000,E829,$C$5:$C$1000,"SSF")&gt;0,"SSF",""),IF(COUNTIFS($E$5:$E$1000,E829,$C$5:$C$1000,"Comité de Supervisión")&gt;0,"Comité Sup.",""),IF(COUNTIFS($E$5:$E$1000,E829,$C$5:$C$1000,"Consejo de Administración")&gt;0,"Consejo",""),IF(COUNTIFS($E$5:$E$1000,E829,$C$5:$C$1000,"Otros")&gt;0,"Otros","")))</f>
        <v/>
      </c>
      <c r="X829" s="24" t="str">
        <f aca="false">IF(E829="","",COUNTIFS($E$5:$E$1000,E829,$AB$5:$AB$1000,AB829,$C$5:$C$1000,"&lt;&gt;"&amp;C829))</f>
        <v/>
      </c>
      <c r="Y829" s="33"/>
      <c r="Z829" s="31"/>
      <c r="AA829" s="33"/>
      <c r="AB829" s="37" t="str">
        <f aca="false">IF(B829="","",YEAR(B829)*100+MONTH(B829))</f>
        <v/>
      </c>
      <c r="AC829" s="37" t="str">
        <f aca="false">IF(AND(E829&lt;&gt;"",E829=Cruce!$C$5),COUNTIF($E$5:E829,E829),"")</f>
        <v/>
      </c>
      <c r="AD829" s="37" t="str">
        <f aca="false">IF(E829="","",C829&amp;"|"&amp;Y829&amp;"|"&amp;IF(B829="","s/f",TEXT(B829,"yyyymmdd")))</f>
        <v/>
      </c>
      <c r="AE829" s="37" t="n">
        <f aca="false">IF(E829="",0,IF(COUNTIFS($E$5:E829,E829,$AD$5:AD829,AD829)=1,1,0))</f>
        <v>0</v>
      </c>
    </row>
    <row r="830" customFormat="false" ht="15" hidden="false" customHeight="true" outlineLevel="0" collapsed="false">
      <c r="A830" s="31"/>
      <c r="B830" s="30"/>
      <c r="C830" s="31"/>
      <c r="D830" s="31"/>
      <c r="E830" s="32"/>
      <c r="F830" s="32"/>
      <c r="G830" s="33"/>
      <c r="H830" s="31"/>
      <c r="I830" s="24" t="str">
        <f aca="false">IF(B830="","",YEAR(B830))</f>
        <v/>
      </c>
      <c r="J830" s="34" t="str">
        <f aca="false">IF(B830="","",IF(MONTH(B830)=1,"X",""))</f>
        <v/>
      </c>
      <c r="K830" s="34" t="str">
        <f aca="false">IF(B830="","",IF(MONTH(B830)=2,"X",""))</f>
        <v/>
      </c>
      <c r="L830" s="34" t="str">
        <f aca="false">IF(B830="","",IF(MONTH(B830)=3,"X",""))</f>
        <v/>
      </c>
      <c r="M830" s="34" t="str">
        <f aca="false">IF(B830="","",IF(MONTH(B830)=4,"X",""))</f>
        <v/>
      </c>
      <c r="N830" s="34" t="str">
        <f aca="false">IF(B830="","",IF(MONTH(B830)=5,"X",""))</f>
        <v/>
      </c>
      <c r="O830" s="34" t="str">
        <f aca="false">IF(B830="","",IF(MONTH(B830)=6,"X",""))</f>
        <v/>
      </c>
      <c r="P830" s="34" t="str">
        <f aca="false">IF(B830="","",IF(MONTH(B830)=7,"X",""))</f>
        <v/>
      </c>
      <c r="Q830" s="34" t="str">
        <f aca="false">IF(B830="","",IF(MONTH(B830)=8,"X",""))</f>
        <v/>
      </c>
      <c r="R830" s="34" t="str">
        <f aca="false">IF(B830="","",IF(MONTH(B830)=9,"X",""))</f>
        <v/>
      </c>
      <c r="S830" s="34" t="str">
        <f aca="false">IF(B830="","",IF(MONTH(B830)=10,"X",""))</f>
        <v/>
      </c>
      <c r="T830" s="34" t="str">
        <f aca="false">IF(B830="","",IF(MONTH(B830)=11,"X",""))</f>
        <v/>
      </c>
      <c r="U830" s="34" t="str">
        <f aca="false">IF(B830="","",IF(MONTH(B830)=12,"X",""))</f>
        <v/>
      </c>
      <c r="V830" s="24" t="str">
        <f aca="false">IF(E830="","",COUNTIF($E$5:$E$1000,E830))</f>
        <v/>
      </c>
      <c r="W830" s="35" t="str">
        <f aca="false">IF(E830="","",_xlfn.TEXTJOIN(" + ",TRUE(),IF(COUNTIFS($E$5:$E$1000,E830,$C$5:$C$1000,"Auditoría Interna")&gt;0,"Interna",""),IF(COUNTIFS($E$5:$E$1000,E830,$C$5:$C$1000,"Auditoría Externa")&gt;0,"Externa",""),IF(COUNTIFS($E$5:$E$1000,E830,$C$5:$C$1000,"SSF")&gt;0,"SSF",""),IF(COUNTIFS($E$5:$E$1000,E830,$C$5:$C$1000,"Comité de Supervisión")&gt;0,"Comité Sup.",""),IF(COUNTIFS($E$5:$E$1000,E830,$C$5:$C$1000,"Consejo de Administración")&gt;0,"Consejo",""),IF(COUNTIFS($E$5:$E$1000,E830,$C$5:$C$1000,"Otros")&gt;0,"Otros","")))</f>
        <v/>
      </c>
      <c r="X830" s="24" t="str">
        <f aca="false">IF(E830="","",COUNTIFS($E$5:$E$1000,E830,$AB$5:$AB$1000,AB830,$C$5:$C$1000,"&lt;&gt;"&amp;C830))</f>
        <v/>
      </c>
      <c r="Y830" s="33"/>
      <c r="Z830" s="31"/>
      <c r="AA830" s="33"/>
      <c r="AB830" s="37" t="str">
        <f aca="false">IF(B830="","",YEAR(B830)*100+MONTH(B830))</f>
        <v/>
      </c>
      <c r="AC830" s="37" t="str">
        <f aca="false">IF(AND(E830&lt;&gt;"",E830=Cruce!$C$5),COUNTIF($E$5:E830,E830),"")</f>
        <v/>
      </c>
      <c r="AD830" s="37" t="str">
        <f aca="false">IF(E830="","",C830&amp;"|"&amp;Y830&amp;"|"&amp;IF(B830="","s/f",TEXT(B830,"yyyymmdd")))</f>
        <v/>
      </c>
      <c r="AE830" s="37" t="n">
        <f aca="false">IF(E830="",0,IF(COUNTIFS($E$5:E830,E830,$AD$5:AD830,AD830)=1,1,0))</f>
        <v>0</v>
      </c>
    </row>
    <row r="831" customFormat="false" ht="15" hidden="false" customHeight="true" outlineLevel="0" collapsed="false">
      <c r="A831" s="31"/>
      <c r="B831" s="30"/>
      <c r="C831" s="31"/>
      <c r="D831" s="31"/>
      <c r="E831" s="32"/>
      <c r="F831" s="32"/>
      <c r="G831" s="33"/>
      <c r="H831" s="31"/>
      <c r="I831" s="24" t="str">
        <f aca="false">IF(B831="","",YEAR(B831))</f>
        <v/>
      </c>
      <c r="J831" s="34" t="str">
        <f aca="false">IF(B831="","",IF(MONTH(B831)=1,"X",""))</f>
        <v/>
      </c>
      <c r="K831" s="34" t="str">
        <f aca="false">IF(B831="","",IF(MONTH(B831)=2,"X",""))</f>
        <v/>
      </c>
      <c r="L831" s="34" t="str">
        <f aca="false">IF(B831="","",IF(MONTH(B831)=3,"X",""))</f>
        <v/>
      </c>
      <c r="M831" s="34" t="str">
        <f aca="false">IF(B831="","",IF(MONTH(B831)=4,"X",""))</f>
        <v/>
      </c>
      <c r="N831" s="34" t="str">
        <f aca="false">IF(B831="","",IF(MONTH(B831)=5,"X",""))</f>
        <v/>
      </c>
      <c r="O831" s="34" t="str">
        <f aca="false">IF(B831="","",IF(MONTH(B831)=6,"X",""))</f>
        <v/>
      </c>
      <c r="P831" s="34" t="str">
        <f aca="false">IF(B831="","",IF(MONTH(B831)=7,"X",""))</f>
        <v/>
      </c>
      <c r="Q831" s="34" t="str">
        <f aca="false">IF(B831="","",IF(MONTH(B831)=8,"X",""))</f>
        <v/>
      </c>
      <c r="R831" s="34" t="str">
        <f aca="false">IF(B831="","",IF(MONTH(B831)=9,"X",""))</f>
        <v/>
      </c>
      <c r="S831" s="34" t="str">
        <f aca="false">IF(B831="","",IF(MONTH(B831)=10,"X",""))</f>
        <v/>
      </c>
      <c r="T831" s="34" t="str">
        <f aca="false">IF(B831="","",IF(MONTH(B831)=11,"X",""))</f>
        <v/>
      </c>
      <c r="U831" s="34" t="str">
        <f aca="false">IF(B831="","",IF(MONTH(B831)=12,"X",""))</f>
        <v/>
      </c>
      <c r="V831" s="24" t="str">
        <f aca="false">IF(E831="","",COUNTIF($E$5:$E$1000,E831))</f>
        <v/>
      </c>
      <c r="W831" s="35" t="str">
        <f aca="false">IF(E831="","",_xlfn.TEXTJOIN(" + ",TRUE(),IF(COUNTIFS($E$5:$E$1000,E831,$C$5:$C$1000,"Auditoría Interna")&gt;0,"Interna",""),IF(COUNTIFS($E$5:$E$1000,E831,$C$5:$C$1000,"Auditoría Externa")&gt;0,"Externa",""),IF(COUNTIFS($E$5:$E$1000,E831,$C$5:$C$1000,"SSF")&gt;0,"SSF",""),IF(COUNTIFS($E$5:$E$1000,E831,$C$5:$C$1000,"Comité de Supervisión")&gt;0,"Comité Sup.",""),IF(COUNTIFS($E$5:$E$1000,E831,$C$5:$C$1000,"Consejo de Administración")&gt;0,"Consejo",""),IF(COUNTIFS($E$5:$E$1000,E831,$C$5:$C$1000,"Otros")&gt;0,"Otros","")))</f>
        <v/>
      </c>
      <c r="X831" s="24" t="str">
        <f aca="false">IF(E831="","",COUNTIFS($E$5:$E$1000,E831,$AB$5:$AB$1000,AB831,$C$5:$C$1000,"&lt;&gt;"&amp;C831))</f>
        <v/>
      </c>
      <c r="Y831" s="33"/>
      <c r="Z831" s="31"/>
      <c r="AA831" s="33"/>
      <c r="AB831" s="37" t="str">
        <f aca="false">IF(B831="","",YEAR(B831)*100+MONTH(B831))</f>
        <v/>
      </c>
      <c r="AC831" s="37" t="str">
        <f aca="false">IF(AND(E831&lt;&gt;"",E831=Cruce!$C$5),COUNTIF($E$5:E831,E831),"")</f>
        <v/>
      </c>
      <c r="AD831" s="37" t="str">
        <f aca="false">IF(E831="","",C831&amp;"|"&amp;Y831&amp;"|"&amp;IF(B831="","s/f",TEXT(B831,"yyyymmdd")))</f>
        <v/>
      </c>
      <c r="AE831" s="37" t="n">
        <f aca="false">IF(E831="",0,IF(COUNTIFS($E$5:E831,E831,$AD$5:AD831,AD831)=1,1,0))</f>
        <v>0</v>
      </c>
    </row>
    <row r="832" customFormat="false" ht="15" hidden="false" customHeight="true" outlineLevel="0" collapsed="false">
      <c r="A832" s="31"/>
      <c r="B832" s="30"/>
      <c r="C832" s="31"/>
      <c r="D832" s="31"/>
      <c r="E832" s="32"/>
      <c r="F832" s="32"/>
      <c r="G832" s="33"/>
      <c r="H832" s="31"/>
      <c r="I832" s="24" t="str">
        <f aca="false">IF(B832="","",YEAR(B832))</f>
        <v/>
      </c>
      <c r="J832" s="34" t="str">
        <f aca="false">IF(B832="","",IF(MONTH(B832)=1,"X",""))</f>
        <v/>
      </c>
      <c r="K832" s="34" t="str">
        <f aca="false">IF(B832="","",IF(MONTH(B832)=2,"X",""))</f>
        <v/>
      </c>
      <c r="L832" s="34" t="str">
        <f aca="false">IF(B832="","",IF(MONTH(B832)=3,"X",""))</f>
        <v/>
      </c>
      <c r="M832" s="34" t="str">
        <f aca="false">IF(B832="","",IF(MONTH(B832)=4,"X",""))</f>
        <v/>
      </c>
      <c r="N832" s="34" t="str">
        <f aca="false">IF(B832="","",IF(MONTH(B832)=5,"X",""))</f>
        <v/>
      </c>
      <c r="O832" s="34" t="str">
        <f aca="false">IF(B832="","",IF(MONTH(B832)=6,"X",""))</f>
        <v/>
      </c>
      <c r="P832" s="34" t="str">
        <f aca="false">IF(B832="","",IF(MONTH(B832)=7,"X",""))</f>
        <v/>
      </c>
      <c r="Q832" s="34" t="str">
        <f aca="false">IF(B832="","",IF(MONTH(B832)=8,"X",""))</f>
        <v/>
      </c>
      <c r="R832" s="34" t="str">
        <f aca="false">IF(B832="","",IF(MONTH(B832)=9,"X",""))</f>
        <v/>
      </c>
      <c r="S832" s="34" t="str">
        <f aca="false">IF(B832="","",IF(MONTH(B832)=10,"X",""))</f>
        <v/>
      </c>
      <c r="T832" s="34" t="str">
        <f aca="false">IF(B832="","",IF(MONTH(B832)=11,"X",""))</f>
        <v/>
      </c>
      <c r="U832" s="34" t="str">
        <f aca="false">IF(B832="","",IF(MONTH(B832)=12,"X",""))</f>
        <v/>
      </c>
      <c r="V832" s="24" t="str">
        <f aca="false">IF(E832="","",COUNTIF($E$5:$E$1000,E832))</f>
        <v/>
      </c>
      <c r="W832" s="35" t="str">
        <f aca="false">IF(E832="","",_xlfn.TEXTJOIN(" + ",TRUE(),IF(COUNTIFS($E$5:$E$1000,E832,$C$5:$C$1000,"Auditoría Interna")&gt;0,"Interna",""),IF(COUNTIFS($E$5:$E$1000,E832,$C$5:$C$1000,"Auditoría Externa")&gt;0,"Externa",""),IF(COUNTIFS($E$5:$E$1000,E832,$C$5:$C$1000,"SSF")&gt;0,"SSF",""),IF(COUNTIFS($E$5:$E$1000,E832,$C$5:$C$1000,"Comité de Supervisión")&gt;0,"Comité Sup.",""),IF(COUNTIFS($E$5:$E$1000,E832,$C$5:$C$1000,"Consejo de Administración")&gt;0,"Consejo",""),IF(COUNTIFS($E$5:$E$1000,E832,$C$5:$C$1000,"Otros")&gt;0,"Otros","")))</f>
        <v/>
      </c>
      <c r="X832" s="24" t="str">
        <f aca="false">IF(E832="","",COUNTIFS($E$5:$E$1000,E832,$AB$5:$AB$1000,AB832,$C$5:$C$1000,"&lt;&gt;"&amp;C832))</f>
        <v/>
      </c>
      <c r="Y832" s="33"/>
      <c r="Z832" s="31"/>
      <c r="AA832" s="33"/>
      <c r="AB832" s="37" t="str">
        <f aca="false">IF(B832="","",YEAR(B832)*100+MONTH(B832))</f>
        <v/>
      </c>
      <c r="AC832" s="37" t="str">
        <f aca="false">IF(AND(E832&lt;&gt;"",E832=Cruce!$C$5),COUNTIF($E$5:E832,E832),"")</f>
        <v/>
      </c>
      <c r="AD832" s="37" t="str">
        <f aca="false">IF(E832="","",C832&amp;"|"&amp;Y832&amp;"|"&amp;IF(B832="","s/f",TEXT(B832,"yyyymmdd")))</f>
        <v/>
      </c>
      <c r="AE832" s="37" t="n">
        <f aca="false">IF(E832="",0,IF(COUNTIFS($E$5:E832,E832,$AD$5:AD832,AD832)=1,1,0))</f>
        <v>0</v>
      </c>
    </row>
    <row r="833" customFormat="false" ht="15" hidden="false" customHeight="true" outlineLevel="0" collapsed="false">
      <c r="A833" s="31"/>
      <c r="B833" s="30"/>
      <c r="C833" s="31"/>
      <c r="D833" s="31"/>
      <c r="E833" s="32"/>
      <c r="F833" s="32"/>
      <c r="G833" s="33"/>
      <c r="H833" s="31"/>
      <c r="I833" s="24" t="str">
        <f aca="false">IF(B833="","",YEAR(B833))</f>
        <v/>
      </c>
      <c r="J833" s="34" t="str">
        <f aca="false">IF(B833="","",IF(MONTH(B833)=1,"X",""))</f>
        <v/>
      </c>
      <c r="K833" s="34" t="str">
        <f aca="false">IF(B833="","",IF(MONTH(B833)=2,"X",""))</f>
        <v/>
      </c>
      <c r="L833" s="34" t="str">
        <f aca="false">IF(B833="","",IF(MONTH(B833)=3,"X",""))</f>
        <v/>
      </c>
      <c r="M833" s="34" t="str">
        <f aca="false">IF(B833="","",IF(MONTH(B833)=4,"X",""))</f>
        <v/>
      </c>
      <c r="N833" s="34" t="str">
        <f aca="false">IF(B833="","",IF(MONTH(B833)=5,"X",""))</f>
        <v/>
      </c>
      <c r="O833" s="34" t="str">
        <f aca="false">IF(B833="","",IF(MONTH(B833)=6,"X",""))</f>
        <v/>
      </c>
      <c r="P833" s="34" t="str">
        <f aca="false">IF(B833="","",IF(MONTH(B833)=7,"X",""))</f>
        <v/>
      </c>
      <c r="Q833" s="34" t="str">
        <f aca="false">IF(B833="","",IF(MONTH(B833)=8,"X",""))</f>
        <v/>
      </c>
      <c r="R833" s="34" t="str">
        <f aca="false">IF(B833="","",IF(MONTH(B833)=9,"X",""))</f>
        <v/>
      </c>
      <c r="S833" s="34" t="str">
        <f aca="false">IF(B833="","",IF(MONTH(B833)=10,"X",""))</f>
        <v/>
      </c>
      <c r="T833" s="34" t="str">
        <f aca="false">IF(B833="","",IF(MONTH(B833)=11,"X",""))</f>
        <v/>
      </c>
      <c r="U833" s="34" t="str">
        <f aca="false">IF(B833="","",IF(MONTH(B833)=12,"X",""))</f>
        <v/>
      </c>
      <c r="V833" s="24" t="str">
        <f aca="false">IF(E833="","",COUNTIF($E$5:$E$1000,E833))</f>
        <v/>
      </c>
      <c r="W833" s="35" t="str">
        <f aca="false">IF(E833="","",_xlfn.TEXTJOIN(" + ",TRUE(),IF(COUNTIFS($E$5:$E$1000,E833,$C$5:$C$1000,"Auditoría Interna")&gt;0,"Interna",""),IF(COUNTIFS($E$5:$E$1000,E833,$C$5:$C$1000,"Auditoría Externa")&gt;0,"Externa",""),IF(COUNTIFS($E$5:$E$1000,E833,$C$5:$C$1000,"SSF")&gt;0,"SSF",""),IF(COUNTIFS($E$5:$E$1000,E833,$C$5:$C$1000,"Comité de Supervisión")&gt;0,"Comité Sup.",""),IF(COUNTIFS($E$5:$E$1000,E833,$C$5:$C$1000,"Consejo de Administración")&gt;0,"Consejo",""),IF(COUNTIFS($E$5:$E$1000,E833,$C$5:$C$1000,"Otros")&gt;0,"Otros","")))</f>
        <v/>
      </c>
      <c r="X833" s="24" t="str">
        <f aca="false">IF(E833="","",COUNTIFS($E$5:$E$1000,E833,$AB$5:$AB$1000,AB833,$C$5:$C$1000,"&lt;&gt;"&amp;C833))</f>
        <v/>
      </c>
      <c r="Y833" s="33"/>
      <c r="Z833" s="31"/>
      <c r="AA833" s="33"/>
      <c r="AB833" s="37" t="str">
        <f aca="false">IF(B833="","",YEAR(B833)*100+MONTH(B833))</f>
        <v/>
      </c>
      <c r="AC833" s="37" t="str">
        <f aca="false">IF(AND(E833&lt;&gt;"",E833=Cruce!$C$5),COUNTIF($E$5:E833,E833),"")</f>
        <v/>
      </c>
      <c r="AD833" s="37" t="str">
        <f aca="false">IF(E833="","",C833&amp;"|"&amp;Y833&amp;"|"&amp;IF(B833="","s/f",TEXT(B833,"yyyymmdd")))</f>
        <v/>
      </c>
      <c r="AE833" s="37" t="n">
        <f aca="false">IF(E833="",0,IF(COUNTIFS($E$5:E833,E833,$AD$5:AD833,AD833)=1,1,0))</f>
        <v>0</v>
      </c>
    </row>
    <row r="834" customFormat="false" ht="15" hidden="false" customHeight="true" outlineLevel="0" collapsed="false">
      <c r="A834" s="31"/>
      <c r="B834" s="30"/>
      <c r="C834" s="31"/>
      <c r="D834" s="31"/>
      <c r="E834" s="32"/>
      <c r="F834" s="32"/>
      <c r="G834" s="33"/>
      <c r="H834" s="31"/>
      <c r="I834" s="24" t="str">
        <f aca="false">IF(B834="","",YEAR(B834))</f>
        <v/>
      </c>
      <c r="J834" s="34" t="str">
        <f aca="false">IF(B834="","",IF(MONTH(B834)=1,"X",""))</f>
        <v/>
      </c>
      <c r="K834" s="34" t="str">
        <f aca="false">IF(B834="","",IF(MONTH(B834)=2,"X",""))</f>
        <v/>
      </c>
      <c r="L834" s="34" t="str">
        <f aca="false">IF(B834="","",IF(MONTH(B834)=3,"X",""))</f>
        <v/>
      </c>
      <c r="M834" s="34" t="str">
        <f aca="false">IF(B834="","",IF(MONTH(B834)=4,"X",""))</f>
        <v/>
      </c>
      <c r="N834" s="34" t="str">
        <f aca="false">IF(B834="","",IF(MONTH(B834)=5,"X",""))</f>
        <v/>
      </c>
      <c r="O834" s="34" t="str">
        <f aca="false">IF(B834="","",IF(MONTH(B834)=6,"X",""))</f>
        <v/>
      </c>
      <c r="P834" s="34" t="str">
        <f aca="false">IF(B834="","",IF(MONTH(B834)=7,"X",""))</f>
        <v/>
      </c>
      <c r="Q834" s="34" t="str">
        <f aca="false">IF(B834="","",IF(MONTH(B834)=8,"X",""))</f>
        <v/>
      </c>
      <c r="R834" s="34" t="str">
        <f aca="false">IF(B834="","",IF(MONTH(B834)=9,"X",""))</f>
        <v/>
      </c>
      <c r="S834" s="34" t="str">
        <f aca="false">IF(B834="","",IF(MONTH(B834)=10,"X",""))</f>
        <v/>
      </c>
      <c r="T834" s="34" t="str">
        <f aca="false">IF(B834="","",IF(MONTH(B834)=11,"X",""))</f>
        <v/>
      </c>
      <c r="U834" s="34" t="str">
        <f aca="false">IF(B834="","",IF(MONTH(B834)=12,"X",""))</f>
        <v/>
      </c>
      <c r="V834" s="24" t="str">
        <f aca="false">IF(E834="","",COUNTIF($E$5:$E$1000,E834))</f>
        <v/>
      </c>
      <c r="W834" s="35" t="str">
        <f aca="false">IF(E834="","",_xlfn.TEXTJOIN(" + ",TRUE(),IF(COUNTIFS($E$5:$E$1000,E834,$C$5:$C$1000,"Auditoría Interna")&gt;0,"Interna",""),IF(COUNTIFS($E$5:$E$1000,E834,$C$5:$C$1000,"Auditoría Externa")&gt;0,"Externa",""),IF(COUNTIFS($E$5:$E$1000,E834,$C$5:$C$1000,"SSF")&gt;0,"SSF",""),IF(COUNTIFS($E$5:$E$1000,E834,$C$5:$C$1000,"Comité de Supervisión")&gt;0,"Comité Sup.",""),IF(COUNTIFS($E$5:$E$1000,E834,$C$5:$C$1000,"Consejo de Administración")&gt;0,"Consejo",""),IF(COUNTIFS($E$5:$E$1000,E834,$C$5:$C$1000,"Otros")&gt;0,"Otros","")))</f>
        <v/>
      </c>
      <c r="X834" s="24" t="str">
        <f aca="false">IF(E834="","",COUNTIFS($E$5:$E$1000,E834,$AB$5:$AB$1000,AB834,$C$5:$C$1000,"&lt;&gt;"&amp;C834))</f>
        <v/>
      </c>
      <c r="Y834" s="33"/>
      <c r="Z834" s="31"/>
      <c r="AA834" s="33"/>
      <c r="AB834" s="37" t="str">
        <f aca="false">IF(B834="","",YEAR(B834)*100+MONTH(B834))</f>
        <v/>
      </c>
      <c r="AC834" s="37" t="str">
        <f aca="false">IF(AND(E834&lt;&gt;"",E834=Cruce!$C$5),COUNTIF($E$5:E834,E834),"")</f>
        <v/>
      </c>
      <c r="AD834" s="37" t="str">
        <f aca="false">IF(E834="","",C834&amp;"|"&amp;Y834&amp;"|"&amp;IF(B834="","s/f",TEXT(B834,"yyyymmdd")))</f>
        <v/>
      </c>
      <c r="AE834" s="37" t="n">
        <f aca="false">IF(E834="",0,IF(COUNTIFS($E$5:E834,E834,$AD$5:AD834,AD834)=1,1,0))</f>
        <v>0</v>
      </c>
    </row>
    <row r="835" customFormat="false" ht="15" hidden="false" customHeight="true" outlineLevel="0" collapsed="false">
      <c r="A835" s="31"/>
      <c r="B835" s="30"/>
      <c r="C835" s="31"/>
      <c r="D835" s="31"/>
      <c r="E835" s="32"/>
      <c r="F835" s="32"/>
      <c r="G835" s="33"/>
      <c r="H835" s="31"/>
      <c r="I835" s="24" t="str">
        <f aca="false">IF(B835="","",YEAR(B835))</f>
        <v/>
      </c>
      <c r="J835" s="34" t="str">
        <f aca="false">IF(B835="","",IF(MONTH(B835)=1,"X",""))</f>
        <v/>
      </c>
      <c r="K835" s="34" t="str">
        <f aca="false">IF(B835="","",IF(MONTH(B835)=2,"X",""))</f>
        <v/>
      </c>
      <c r="L835" s="34" t="str">
        <f aca="false">IF(B835="","",IF(MONTH(B835)=3,"X",""))</f>
        <v/>
      </c>
      <c r="M835" s="34" t="str">
        <f aca="false">IF(B835="","",IF(MONTH(B835)=4,"X",""))</f>
        <v/>
      </c>
      <c r="N835" s="34" t="str">
        <f aca="false">IF(B835="","",IF(MONTH(B835)=5,"X",""))</f>
        <v/>
      </c>
      <c r="O835" s="34" t="str">
        <f aca="false">IF(B835="","",IF(MONTH(B835)=6,"X",""))</f>
        <v/>
      </c>
      <c r="P835" s="34" t="str">
        <f aca="false">IF(B835="","",IF(MONTH(B835)=7,"X",""))</f>
        <v/>
      </c>
      <c r="Q835" s="34" t="str">
        <f aca="false">IF(B835="","",IF(MONTH(B835)=8,"X",""))</f>
        <v/>
      </c>
      <c r="R835" s="34" t="str">
        <f aca="false">IF(B835="","",IF(MONTH(B835)=9,"X",""))</f>
        <v/>
      </c>
      <c r="S835" s="34" t="str">
        <f aca="false">IF(B835="","",IF(MONTH(B835)=10,"X",""))</f>
        <v/>
      </c>
      <c r="T835" s="34" t="str">
        <f aca="false">IF(B835="","",IF(MONTH(B835)=11,"X",""))</f>
        <v/>
      </c>
      <c r="U835" s="34" t="str">
        <f aca="false">IF(B835="","",IF(MONTH(B835)=12,"X",""))</f>
        <v/>
      </c>
      <c r="V835" s="24" t="str">
        <f aca="false">IF(E835="","",COUNTIF($E$5:$E$1000,E835))</f>
        <v/>
      </c>
      <c r="W835" s="35" t="str">
        <f aca="false">IF(E835="","",_xlfn.TEXTJOIN(" + ",TRUE(),IF(COUNTIFS($E$5:$E$1000,E835,$C$5:$C$1000,"Auditoría Interna")&gt;0,"Interna",""),IF(COUNTIFS($E$5:$E$1000,E835,$C$5:$C$1000,"Auditoría Externa")&gt;0,"Externa",""),IF(COUNTIFS($E$5:$E$1000,E835,$C$5:$C$1000,"SSF")&gt;0,"SSF",""),IF(COUNTIFS($E$5:$E$1000,E835,$C$5:$C$1000,"Comité de Supervisión")&gt;0,"Comité Sup.",""),IF(COUNTIFS($E$5:$E$1000,E835,$C$5:$C$1000,"Consejo de Administración")&gt;0,"Consejo",""),IF(COUNTIFS($E$5:$E$1000,E835,$C$5:$C$1000,"Otros")&gt;0,"Otros","")))</f>
        <v/>
      </c>
      <c r="X835" s="24" t="str">
        <f aca="false">IF(E835="","",COUNTIFS($E$5:$E$1000,E835,$AB$5:$AB$1000,AB835,$C$5:$C$1000,"&lt;&gt;"&amp;C835))</f>
        <v/>
      </c>
      <c r="Y835" s="33"/>
      <c r="Z835" s="31"/>
      <c r="AA835" s="33"/>
      <c r="AB835" s="37" t="str">
        <f aca="false">IF(B835="","",YEAR(B835)*100+MONTH(B835))</f>
        <v/>
      </c>
      <c r="AC835" s="37" t="str">
        <f aca="false">IF(AND(E835&lt;&gt;"",E835=Cruce!$C$5),COUNTIF($E$5:E835,E835),"")</f>
        <v/>
      </c>
      <c r="AD835" s="37" t="str">
        <f aca="false">IF(E835="","",C835&amp;"|"&amp;Y835&amp;"|"&amp;IF(B835="","s/f",TEXT(B835,"yyyymmdd")))</f>
        <v/>
      </c>
      <c r="AE835" s="37" t="n">
        <f aca="false">IF(E835="",0,IF(COUNTIFS($E$5:E835,E835,$AD$5:AD835,AD835)=1,1,0))</f>
        <v>0</v>
      </c>
    </row>
    <row r="836" customFormat="false" ht="15" hidden="false" customHeight="true" outlineLevel="0" collapsed="false">
      <c r="A836" s="31"/>
      <c r="B836" s="30"/>
      <c r="C836" s="31"/>
      <c r="D836" s="31"/>
      <c r="E836" s="32"/>
      <c r="F836" s="32"/>
      <c r="G836" s="33"/>
      <c r="H836" s="31"/>
      <c r="I836" s="24" t="str">
        <f aca="false">IF(B836="","",YEAR(B836))</f>
        <v/>
      </c>
      <c r="J836" s="34" t="str">
        <f aca="false">IF(B836="","",IF(MONTH(B836)=1,"X",""))</f>
        <v/>
      </c>
      <c r="K836" s="34" t="str">
        <f aca="false">IF(B836="","",IF(MONTH(B836)=2,"X",""))</f>
        <v/>
      </c>
      <c r="L836" s="34" t="str">
        <f aca="false">IF(B836="","",IF(MONTH(B836)=3,"X",""))</f>
        <v/>
      </c>
      <c r="M836" s="34" t="str">
        <f aca="false">IF(B836="","",IF(MONTH(B836)=4,"X",""))</f>
        <v/>
      </c>
      <c r="N836" s="34" t="str">
        <f aca="false">IF(B836="","",IF(MONTH(B836)=5,"X",""))</f>
        <v/>
      </c>
      <c r="O836" s="34" t="str">
        <f aca="false">IF(B836="","",IF(MONTH(B836)=6,"X",""))</f>
        <v/>
      </c>
      <c r="P836" s="34" t="str">
        <f aca="false">IF(B836="","",IF(MONTH(B836)=7,"X",""))</f>
        <v/>
      </c>
      <c r="Q836" s="34" t="str">
        <f aca="false">IF(B836="","",IF(MONTH(B836)=8,"X",""))</f>
        <v/>
      </c>
      <c r="R836" s="34" t="str">
        <f aca="false">IF(B836="","",IF(MONTH(B836)=9,"X",""))</f>
        <v/>
      </c>
      <c r="S836" s="34" t="str">
        <f aca="false">IF(B836="","",IF(MONTH(B836)=10,"X",""))</f>
        <v/>
      </c>
      <c r="T836" s="34" t="str">
        <f aca="false">IF(B836="","",IF(MONTH(B836)=11,"X",""))</f>
        <v/>
      </c>
      <c r="U836" s="34" t="str">
        <f aca="false">IF(B836="","",IF(MONTH(B836)=12,"X",""))</f>
        <v/>
      </c>
      <c r="V836" s="24" t="str">
        <f aca="false">IF(E836="","",COUNTIF($E$5:$E$1000,E836))</f>
        <v/>
      </c>
      <c r="W836" s="35" t="str">
        <f aca="false">IF(E836="","",_xlfn.TEXTJOIN(" + ",TRUE(),IF(COUNTIFS($E$5:$E$1000,E836,$C$5:$C$1000,"Auditoría Interna")&gt;0,"Interna",""),IF(COUNTIFS($E$5:$E$1000,E836,$C$5:$C$1000,"Auditoría Externa")&gt;0,"Externa",""),IF(COUNTIFS($E$5:$E$1000,E836,$C$5:$C$1000,"SSF")&gt;0,"SSF",""),IF(COUNTIFS($E$5:$E$1000,E836,$C$5:$C$1000,"Comité de Supervisión")&gt;0,"Comité Sup.",""),IF(COUNTIFS($E$5:$E$1000,E836,$C$5:$C$1000,"Consejo de Administración")&gt;0,"Consejo",""),IF(COUNTIFS($E$5:$E$1000,E836,$C$5:$C$1000,"Otros")&gt;0,"Otros","")))</f>
        <v/>
      </c>
      <c r="X836" s="24" t="str">
        <f aca="false">IF(E836="","",COUNTIFS($E$5:$E$1000,E836,$AB$5:$AB$1000,AB836,$C$5:$C$1000,"&lt;&gt;"&amp;C836))</f>
        <v/>
      </c>
      <c r="Y836" s="33"/>
      <c r="Z836" s="31"/>
      <c r="AA836" s="33"/>
      <c r="AB836" s="37" t="str">
        <f aca="false">IF(B836="","",YEAR(B836)*100+MONTH(B836))</f>
        <v/>
      </c>
      <c r="AC836" s="37" t="str">
        <f aca="false">IF(AND(E836&lt;&gt;"",E836=Cruce!$C$5),COUNTIF($E$5:E836,E836),"")</f>
        <v/>
      </c>
      <c r="AD836" s="37" t="str">
        <f aca="false">IF(E836="","",C836&amp;"|"&amp;Y836&amp;"|"&amp;IF(B836="","s/f",TEXT(B836,"yyyymmdd")))</f>
        <v/>
      </c>
      <c r="AE836" s="37" t="n">
        <f aca="false">IF(E836="",0,IF(COUNTIFS($E$5:E836,E836,$AD$5:AD836,AD836)=1,1,0))</f>
        <v>0</v>
      </c>
    </row>
    <row r="837" customFormat="false" ht="15" hidden="false" customHeight="true" outlineLevel="0" collapsed="false">
      <c r="A837" s="31"/>
      <c r="B837" s="30"/>
      <c r="C837" s="31"/>
      <c r="D837" s="31"/>
      <c r="E837" s="32"/>
      <c r="F837" s="32"/>
      <c r="G837" s="33"/>
      <c r="H837" s="31"/>
      <c r="I837" s="24" t="str">
        <f aca="false">IF(B837="","",YEAR(B837))</f>
        <v/>
      </c>
      <c r="J837" s="34" t="str">
        <f aca="false">IF(B837="","",IF(MONTH(B837)=1,"X",""))</f>
        <v/>
      </c>
      <c r="K837" s="34" t="str">
        <f aca="false">IF(B837="","",IF(MONTH(B837)=2,"X",""))</f>
        <v/>
      </c>
      <c r="L837" s="34" t="str">
        <f aca="false">IF(B837="","",IF(MONTH(B837)=3,"X",""))</f>
        <v/>
      </c>
      <c r="M837" s="34" t="str">
        <f aca="false">IF(B837="","",IF(MONTH(B837)=4,"X",""))</f>
        <v/>
      </c>
      <c r="N837" s="34" t="str">
        <f aca="false">IF(B837="","",IF(MONTH(B837)=5,"X",""))</f>
        <v/>
      </c>
      <c r="O837" s="34" t="str">
        <f aca="false">IF(B837="","",IF(MONTH(B837)=6,"X",""))</f>
        <v/>
      </c>
      <c r="P837" s="34" t="str">
        <f aca="false">IF(B837="","",IF(MONTH(B837)=7,"X",""))</f>
        <v/>
      </c>
      <c r="Q837" s="34" t="str">
        <f aca="false">IF(B837="","",IF(MONTH(B837)=8,"X",""))</f>
        <v/>
      </c>
      <c r="R837" s="34" t="str">
        <f aca="false">IF(B837="","",IF(MONTH(B837)=9,"X",""))</f>
        <v/>
      </c>
      <c r="S837" s="34" t="str">
        <f aca="false">IF(B837="","",IF(MONTH(B837)=10,"X",""))</f>
        <v/>
      </c>
      <c r="T837" s="34" t="str">
        <f aca="false">IF(B837="","",IF(MONTH(B837)=11,"X",""))</f>
        <v/>
      </c>
      <c r="U837" s="34" t="str">
        <f aca="false">IF(B837="","",IF(MONTH(B837)=12,"X",""))</f>
        <v/>
      </c>
      <c r="V837" s="24" t="str">
        <f aca="false">IF(E837="","",COUNTIF($E$5:$E$1000,E837))</f>
        <v/>
      </c>
      <c r="W837" s="35" t="str">
        <f aca="false">IF(E837="","",_xlfn.TEXTJOIN(" + ",TRUE(),IF(COUNTIFS($E$5:$E$1000,E837,$C$5:$C$1000,"Auditoría Interna")&gt;0,"Interna",""),IF(COUNTIFS($E$5:$E$1000,E837,$C$5:$C$1000,"Auditoría Externa")&gt;0,"Externa",""),IF(COUNTIFS($E$5:$E$1000,E837,$C$5:$C$1000,"SSF")&gt;0,"SSF",""),IF(COUNTIFS($E$5:$E$1000,E837,$C$5:$C$1000,"Comité de Supervisión")&gt;0,"Comité Sup.",""),IF(COUNTIFS($E$5:$E$1000,E837,$C$5:$C$1000,"Consejo de Administración")&gt;0,"Consejo",""),IF(COUNTIFS($E$5:$E$1000,E837,$C$5:$C$1000,"Otros")&gt;0,"Otros","")))</f>
        <v/>
      </c>
      <c r="X837" s="24" t="str">
        <f aca="false">IF(E837="","",COUNTIFS($E$5:$E$1000,E837,$AB$5:$AB$1000,AB837,$C$5:$C$1000,"&lt;&gt;"&amp;C837))</f>
        <v/>
      </c>
      <c r="Y837" s="33"/>
      <c r="Z837" s="31"/>
      <c r="AA837" s="33"/>
      <c r="AB837" s="37" t="str">
        <f aca="false">IF(B837="","",YEAR(B837)*100+MONTH(B837))</f>
        <v/>
      </c>
      <c r="AC837" s="37" t="str">
        <f aca="false">IF(AND(E837&lt;&gt;"",E837=Cruce!$C$5),COUNTIF($E$5:E837,E837),"")</f>
        <v/>
      </c>
      <c r="AD837" s="37" t="str">
        <f aca="false">IF(E837="","",C837&amp;"|"&amp;Y837&amp;"|"&amp;IF(B837="","s/f",TEXT(B837,"yyyymmdd")))</f>
        <v/>
      </c>
      <c r="AE837" s="37" t="n">
        <f aca="false">IF(E837="",0,IF(COUNTIFS($E$5:E837,E837,$AD$5:AD837,AD837)=1,1,0))</f>
        <v>0</v>
      </c>
    </row>
    <row r="838" customFormat="false" ht="15" hidden="false" customHeight="true" outlineLevel="0" collapsed="false">
      <c r="A838" s="31"/>
      <c r="B838" s="30"/>
      <c r="C838" s="31"/>
      <c r="D838" s="31"/>
      <c r="E838" s="32"/>
      <c r="F838" s="32"/>
      <c r="G838" s="33"/>
      <c r="H838" s="31"/>
      <c r="I838" s="24" t="str">
        <f aca="false">IF(B838="","",YEAR(B838))</f>
        <v/>
      </c>
      <c r="J838" s="34" t="str">
        <f aca="false">IF(B838="","",IF(MONTH(B838)=1,"X",""))</f>
        <v/>
      </c>
      <c r="K838" s="34" t="str">
        <f aca="false">IF(B838="","",IF(MONTH(B838)=2,"X",""))</f>
        <v/>
      </c>
      <c r="L838" s="34" t="str">
        <f aca="false">IF(B838="","",IF(MONTH(B838)=3,"X",""))</f>
        <v/>
      </c>
      <c r="M838" s="34" t="str">
        <f aca="false">IF(B838="","",IF(MONTH(B838)=4,"X",""))</f>
        <v/>
      </c>
      <c r="N838" s="34" t="str">
        <f aca="false">IF(B838="","",IF(MONTH(B838)=5,"X",""))</f>
        <v/>
      </c>
      <c r="O838" s="34" t="str">
        <f aca="false">IF(B838="","",IF(MONTH(B838)=6,"X",""))</f>
        <v/>
      </c>
      <c r="P838" s="34" t="str">
        <f aca="false">IF(B838="","",IF(MONTH(B838)=7,"X",""))</f>
        <v/>
      </c>
      <c r="Q838" s="34" t="str">
        <f aca="false">IF(B838="","",IF(MONTH(B838)=8,"X",""))</f>
        <v/>
      </c>
      <c r="R838" s="34" t="str">
        <f aca="false">IF(B838="","",IF(MONTH(B838)=9,"X",""))</f>
        <v/>
      </c>
      <c r="S838" s="34" t="str">
        <f aca="false">IF(B838="","",IF(MONTH(B838)=10,"X",""))</f>
        <v/>
      </c>
      <c r="T838" s="34" t="str">
        <f aca="false">IF(B838="","",IF(MONTH(B838)=11,"X",""))</f>
        <v/>
      </c>
      <c r="U838" s="34" t="str">
        <f aca="false">IF(B838="","",IF(MONTH(B838)=12,"X",""))</f>
        <v/>
      </c>
      <c r="V838" s="24" t="str">
        <f aca="false">IF(E838="","",COUNTIF($E$5:$E$1000,E838))</f>
        <v/>
      </c>
      <c r="W838" s="35" t="str">
        <f aca="false">IF(E838="","",_xlfn.TEXTJOIN(" + ",TRUE(),IF(COUNTIFS($E$5:$E$1000,E838,$C$5:$C$1000,"Auditoría Interna")&gt;0,"Interna",""),IF(COUNTIFS($E$5:$E$1000,E838,$C$5:$C$1000,"Auditoría Externa")&gt;0,"Externa",""),IF(COUNTIFS($E$5:$E$1000,E838,$C$5:$C$1000,"SSF")&gt;0,"SSF",""),IF(COUNTIFS($E$5:$E$1000,E838,$C$5:$C$1000,"Comité de Supervisión")&gt;0,"Comité Sup.",""),IF(COUNTIFS($E$5:$E$1000,E838,$C$5:$C$1000,"Consejo de Administración")&gt;0,"Consejo",""),IF(COUNTIFS($E$5:$E$1000,E838,$C$5:$C$1000,"Otros")&gt;0,"Otros","")))</f>
        <v/>
      </c>
      <c r="X838" s="24" t="str">
        <f aca="false">IF(E838="","",COUNTIFS($E$5:$E$1000,E838,$AB$5:$AB$1000,AB838,$C$5:$C$1000,"&lt;&gt;"&amp;C838))</f>
        <v/>
      </c>
      <c r="Y838" s="33"/>
      <c r="Z838" s="31"/>
      <c r="AA838" s="33"/>
      <c r="AB838" s="37" t="str">
        <f aca="false">IF(B838="","",YEAR(B838)*100+MONTH(B838))</f>
        <v/>
      </c>
      <c r="AC838" s="37" t="str">
        <f aca="false">IF(AND(E838&lt;&gt;"",E838=Cruce!$C$5),COUNTIF($E$5:E838,E838),"")</f>
        <v/>
      </c>
      <c r="AD838" s="37" t="str">
        <f aca="false">IF(E838="","",C838&amp;"|"&amp;Y838&amp;"|"&amp;IF(B838="","s/f",TEXT(B838,"yyyymmdd")))</f>
        <v/>
      </c>
      <c r="AE838" s="37" t="n">
        <f aca="false">IF(E838="",0,IF(COUNTIFS($E$5:E838,E838,$AD$5:AD838,AD838)=1,1,0))</f>
        <v>0</v>
      </c>
    </row>
    <row r="839" customFormat="false" ht="15" hidden="false" customHeight="true" outlineLevel="0" collapsed="false">
      <c r="A839" s="31"/>
      <c r="B839" s="30"/>
      <c r="C839" s="31"/>
      <c r="D839" s="31"/>
      <c r="E839" s="32"/>
      <c r="F839" s="32"/>
      <c r="G839" s="33"/>
      <c r="H839" s="31"/>
      <c r="I839" s="24" t="str">
        <f aca="false">IF(B839="","",YEAR(B839))</f>
        <v/>
      </c>
      <c r="J839" s="34" t="str">
        <f aca="false">IF(B839="","",IF(MONTH(B839)=1,"X",""))</f>
        <v/>
      </c>
      <c r="K839" s="34" t="str">
        <f aca="false">IF(B839="","",IF(MONTH(B839)=2,"X",""))</f>
        <v/>
      </c>
      <c r="L839" s="34" t="str">
        <f aca="false">IF(B839="","",IF(MONTH(B839)=3,"X",""))</f>
        <v/>
      </c>
      <c r="M839" s="34" t="str">
        <f aca="false">IF(B839="","",IF(MONTH(B839)=4,"X",""))</f>
        <v/>
      </c>
      <c r="N839" s="34" t="str">
        <f aca="false">IF(B839="","",IF(MONTH(B839)=5,"X",""))</f>
        <v/>
      </c>
      <c r="O839" s="34" t="str">
        <f aca="false">IF(B839="","",IF(MONTH(B839)=6,"X",""))</f>
        <v/>
      </c>
      <c r="P839" s="34" t="str">
        <f aca="false">IF(B839="","",IF(MONTH(B839)=7,"X",""))</f>
        <v/>
      </c>
      <c r="Q839" s="34" t="str">
        <f aca="false">IF(B839="","",IF(MONTH(B839)=8,"X",""))</f>
        <v/>
      </c>
      <c r="R839" s="34" t="str">
        <f aca="false">IF(B839="","",IF(MONTH(B839)=9,"X",""))</f>
        <v/>
      </c>
      <c r="S839" s="34" t="str">
        <f aca="false">IF(B839="","",IF(MONTH(B839)=10,"X",""))</f>
        <v/>
      </c>
      <c r="T839" s="34" t="str">
        <f aca="false">IF(B839="","",IF(MONTH(B839)=11,"X",""))</f>
        <v/>
      </c>
      <c r="U839" s="34" t="str">
        <f aca="false">IF(B839="","",IF(MONTH(B839)=12,"X",""))</f>
        <v/>
      </c>
      <c r="V839" s="24" t="str">
        <f aca="false">IF(E839="","",COUNTIF($E$5:$E$1000,E839))</f>
        <v/>
      </c>
      <c r="W839" s="35" t="str">
        <f aca="false">IF(E839="","",_xlfn.TEXTJOIN(" + ",TRUE(),IF(COUNTIFS($E$5:$E$1000,E839,$C$5:$C$1000,"Auditoría Interna")&gt;0,"Interna",""),IF(COUNTIFS($E$5:$E$1000,E839,$C$5:$C$1000,"Auditoría Externa")&gt;0,"Externa",""),IF(COUNTIFS($E$5:$E$1000,E839,$C$5:$C$1000,"SSF")&gt;0,"SSF",""),IF(COUNTIFS($E$5:$E$1000,E839,$C$5:$C$1000,"Comité de Supervisión")&gt;0,"Comité Sup.",""),IF(COUNTIFS($E$5:$E$1000,E839,$C$5:$C$1000,"Consejo de Administración")&gt;0,"Consejo",""),IF(COUNTIFS($E$5:$E$1000,E839,$C$5:$C$1000,"Otros")&gt;0,"Otros","")))</f>
        <v/>
      </c>
      <c r="X839" s="24" t="str">
        <f aca="false">IF(E839="","",COUNTIFS($E$5:$E$1000,E839,$AB$5:$AB$1000,AB839,$C$5:$C$1000,"&lt;&gt;"&amp;C839))</f>
        <v/>
      </c>
      <c r="Y839" s="33"/>
      <c r="Z839" s="31"/>
      <c r="AA839" s="33"/>
      <c r="AB839" s="37" t="str">
        <f aca="false">IF(B839="","",YEAR(B839)*100+MONTH(B839))</f>
        <v/>
      </c>
      <c r="AC839" s="37" t="str">
        <f aca="false">IF(AND(E839&lt;&gt;"",E839=Cruce!$C$5),COUNTIF($E$5:E839,E839),"")</f>
        <v/>
      </c>
      <c r="AD839" s="37" t="str">
        <f aca="false">IF(E839="","",C839&amp;"|"&amp;Y839&amp;"|"&amp;IF(B839="","s/f",TEXT(B839,"yyyymmdd")))</f>
        <v/>
      </c>
      <c r="AE839" s="37" t="n">
        <f aca="false">IF(E839="",0,IF(COUNTIFS($E$5:E839,E839,$AD$5:AD839,AD839)=1,1,0))</f>
        <v>0</v>
      </c>
    </row>
    <row r="840" customFormat="false" ht="15" hidden="false" customHeight="true" outlineLevel="0" collapsed="false">
      <c r="A840" s="31"/>
      <c r="B840" s="30"/>
      <c r="C840" s="31"/>
      <c r="D840" s="31"/>
      <c r="E840" s="32"/>
      <c r="F840" s="32"/>
      <c r="G840" s="33"/>
      <c r="H840" s="31"/>
      <c r="I840" s="24" t="str">
        <f aca="false">IF(B840="","",YEAR(B840))</f>
        <v/>
      </c>
      <c r="J840" s="34" t="str">
        <f aca="false">IF(B840="","",IF(MONTH(B840)=1,"X",""))</f>
        <v/>
      </c>
      <c r="K840" s="34" t="str">
        <f aca="false">IF(B840="","",IF(MONTH(B840)=2,"X",""))</f>
        <v/>
      </c>
      <c r="L840" s="34" t="str">
        <f aca="false">IF(B840="","",IF(MONTH(B840)=3,"X",""))</f>
        <v/>
      </c>
      <c r="M840" s="34" t="str">
        <f aca="false">IF(B840="","",IF(MONTH(B840)=4,"X",""))</f>
        <v/>
      </c>
      <c r="N840" s="34" t="str">
        <f aca="false">IF(B840="","",IF(MONTH(B840)=5,"X",""))</f>
        <v/>
      </c>
      <c r="O840" s="34" t="str">
        <f aca="false">IF(B840="","",IF(MONTH(B840)=6,"X",""))</f>
        <v/>
      </c>
      <c r="P840" s="34" t="str">
        <f aca="false">IF(B840="","",IF(MONTH(B840)=7,"X",""))</f>
        <v/>
      </c>
      <c r="Q840" s="34" t="str">
        <f aca="false">IF(B840="","",IF(MONTH(B840)=8,"X",""))</f>
        <v/>
      </c>
      <c r="R840" s="34" t="str">
        <f aca="false">IF(B840="","",IF(MONTH(B840)=9,"X",""))</f>
        <v/>
      </c>
      <c r="S840" s="34" t="str">
        <f aca="false">IF(B840="","",IF(MONTH(B840)=10,"X",""))</f>
        <v/>
      </c>
      <c r="T840" s="34" t="str">
        <f aca="false">IF(B840="","",IF(MONTH(B840)=11,"X",""))</f>
        <v/>
      </c>
      <c r="U840" s="34" t="str">
        <f aca="false">IF(B840="","",IF(MONTH(B840)=12,"X",""))</f>
        <v/>
      </c>
      <c r="V840" s="24" t="str">
        <f aca="false">IF(E840="","",COUNTIF($E$5:$E$1000,E840))</f>
        <v/>
      </c>
      <c r="W840" s="35" t="str">
        <f aca="false">IF(E840="","",_xlfn.TEXTJOIN(" + ",TRUE(),IF(COUNTIFS($E$5:$E$1000,E840,$C$5:$C$1000,"Auditoría Interna")&gt;0,"Interna",""),IF(COUNTIFS($E$5:$E$1000,E840,$C$5:$C$1000,"Auditoría Externa")&gt;0,"Externa",""),IF(COUNTIFS($E$5:$E$1000,E840,$C$5:$C$1000,"SSF")&gt;0,"SSF",""),IF(COUNTIFS($E$5:$E$1000,E840,$C$5:$C$1000,"Comité de Supervisión")&gt;0,"Comité Sup.",""),IF(COUNTIFS($E$5:$E$1000,E840,$C$5:$C$1000,"Consejo de Administración")&gt;0,"Consejo",""),IF(COUNTIFS($E$5:$E$1000,E840,$C$5:$C$1000,"Otros")&gt;0,"Otros","")))</f>
        <v/>
      </c>
      <c r="X840" s="24" t="str">
        <f aca="false">IF(E840="","",COUNTIFS($E$5:$E$1000,E840,$AB$5:$AB$1000,AB840,$C$5:$C$1000,"&lt;&gt;"&amp;C840))</f>
        <v/>
      </c>
      <c r="Y840" s="33"/>
      <c r="Z840" s="31"/>
      <c r="AA840" s="33"/>
      <c r="AB840" s="37" t="str">
        <f aca="false">IF(B840="","",YEAR(B840)*100+MONTH(B840))</f>
        <v/>
      </c>
      <c r="AC840" s="37" t="str">
        <f aca="false">IF(AND(E840&lt;&gt;"",E840=Cruce!$C$5),COUNTIF($E$5:E840,E840),"")</f>
        <v/>
      </c>
      <c r="AD840" s="37" t="str">
        <f aca="false">IF(E840="","",C840&amp;"|"&amp;Y840&amp;"|"&amp;IF(B840="","s/f",TEXT(B840,"yyyymmdd")))</f>
        <v/>
      </c>
      <c r="AE840" s="37" t="n">
        <f aca="false">IF(E840="",0,IF(COUNTIFS($E$5:E840,E840,$AD$5:AD840,AD840)=1,1,0))</f>
        <v>0</v>
      </c>
    </row>
    <row r="841" customFormat="false" ht="15" hidden="false" customHeight="true" outlineLevel="0" collapsed="false">
      <c r="A841" s="31"/>
      <c r="B841" s="30"/>
      <c r="C841" s="31"/>
      <c r="D841" s="31"/>
      <c r="E841" s="32"/>
      <c r="F841" s="32"/>
      <c r="G841" s="33"/>
      <c r="H841" s="31"/>
      <c r="I841" s="24" t="str">
        <f aca="false">IF(B841="","",YEAR(B841))</f>
        <v/>
      </c>
      <c r="J841" s="34" t="str">
        <f aca="false">IF(B841="","",IF(MONTH(B841)=1,"X",""))</f>
        <v/>
      </c>
      <c r="K841" s="34" t="str">
        <f aca="false">IF(B841="","",IF(MONTH(B841)=2,"X",""))</f>
        <v/>
      </c>
      <c r="L841" s="34" t="str">
        <f aca="false">IF(B841="","",IF(MONTH(B841)=3,"X",""))</f>
        <v/>
      </c>
      <c r="M841" s="34" t="str">
        <f aca="false">IF(B841="","",IF(MONTH(B841)=4,"X",""))</f>
        <v/>
      </c>
      <c r="N841" s="34" t="str">
        <f aca="false">IF(B841="","",IF(MONTH(B841)=5,"X",""))</f>
        <v/>
      </c>
      <c r="O841" s="34" t="str">
        <f aca="false">IF(B841="","",IF(MONTH(B841)=6,"X",""))</f>
        <v/>
      </c>
      <c r="P841" s="34" t="str">
        <f aca="false">IF(B841="","",IF(MONTH(B841)=7,"X",""))</f>
        <v/>
      </c>
      <c r="Q841" s="34" t="str">
        <f aca="false">IF(B841="","",IF(MONTH(B841)=8,"X",""))</f>
        <v/>
      </c>
      <c r="R841" s="34" t="str">
        <f aca="false">IF(B841="","",IF(MONTH(B841)=9,"X",""))</f>
        <v/>
      </c>
      <c r="S841" s="34" t="str">
        <f aca="false">IF(B841="","",IF(MONTH(B841)=10,"X",""))</f>
        <v/>
      </c>
      <c r="T841" s="34" t="str">
        <f aca="false">IF(B841="","",IF(MONTH(B841)=11,"X",""))</f>
        <v/>
      </c>
      <c r="U841" s="34" t="str">
        <f aca="false">IF(B841="","",IF(MONTH(B841)=12,"X",""))</f>
        <v/>
      </c>
      <c r="V841" s="24" t="str">
        <f aca="false">IF(E841="","",COUNTIF($E$5:$E$1000,E841))</f>
        <v/>
      </c>
      <c r="W841" s="35" t="str">
        <f aca="false">IF(E841="","",_xlfn.TEXTJOIN(" + ",TRUE(),IF(COUNTIFS($E$5:$E$1000,E841,$C$5:$C$1000,"Auditoría Interna")&gt;0,"Interna",""),IF(COUNTIFS($E$5:$E$1000,E841,$C$5:$C$1000,"Auditoría Externa")&gt;0,"Externa",""),IF(COUNTIFS($E$5:$E$1000,E841,$C$5:$C$1000,"SSF")&gt;0,"SSF",""),IF(COUNTIFS($E$5:$E$1000,E841,$C$5:$C$1000,"Comité de Supervisión")&gt;0,"Comité Sup.",""),IF(COUNTIFS($E$5:$E$1000,E841,$C$5:$C$1000,"Consejo de Administración")&gt;0,"Consejo",""),IF(COUNTIFS($E$5:$E$1000,E841,$C$5:$C$1000,"Otros")&gt;0,"Otros","")))</f>
        <v/>
      </c>
      <c r="X841" s="24" t="str">
        <f aca="false">IF(E841="","",COUNTIFS($E$5:$E$1000,E841,$AB$5:$AB$1000,AB841,$C$5:$C$1000,"&lt;&gt;"&amp;C841))</f>
        <v/>
      </c>
      <c r="Y841" s="33"/>
      <c r="Z841" s="31"/>
      <c r="AA841" s="33"/>
      <c r="AB841" s="37" t="str">
        <f aca="false">IF(B841="","",YEAR(B841)*100+MONTH(B841))</f>
        <v/>
      </c>
      <c r="AC841" s="37" t="str">
        <f aca="false">IF(AND(E841&lt;&gt;"",E841=Cruce!$C$5),COUNTIF($E$5:E841,E841),"")</f>
        <v/>
      </c>
      <c r="AD841" s="37" t="str">
        <f aca="false">IF(E841="","",C841&amp;"|"&amp;Y841&amp;"|"&amp;IF(B841="","s/f",TEXT(B841,"yyyymmdd")))</f>
        <v/>
      </c>
      <c r="AE841" s="37" t="n">
        <f aca="false">IF(E841="",0,IF(COUNTIFS($E$5:E841,E841,$AD$5:AD841,AD841)=1,1,0))</f>
        <v>0</v>
      </c>
    </row>
    <row r="842" customFormat="false" ht="15" hidden="false" customHeight="true" outlineLevel="0" collapsed="false">
      <c r="A842" s="31"/>
      <c r="B842" s="30"/>
      <c r="C842" s="31"/>
      <c r="D842" s="31"/>
      <c r="E842" s="32"/>
      <c r="F842" s="32"/>
      <c r="G842" s="33"/>
      <c r="H842" s="31"/>
      <c r="I842" s="24" t="str">
        <f aca="false">IF(B842="","",YEAR(B842))</f>
        <v/>
      </c>
      <c r="J842" s="34" t="str">
        <f aca="false">IF(B842="","",IF(MONTH(B842)=1,"X",""))</f>
        <v/>
      </c>
      <c r="K842" s="34" t="str">
        <f aca="false">IF(B842="","",IF(MONTH(B842)=2,"X",""))</f>
        <v/>
      </c>
      <c r="L842" s="34" t="str">
        <f aca="false">IF(B842="","",IF(MONTH(B842)=3,"X",""))</f>
        <v/>
      </c>
      <c r="M842" s="34" t="str">
        <f aca="false">IF(B842="","",IF(MONTH(B842)=4,"X",""))</f>
        <v/>
      </c>
      <c r="N842" s="34" t="str">
        <f aca="false">IF(B842="","",IF(MONTH(B842)=5,"X",""))</f>
        <v/>
      </c>
      <c r="O842" s="34" t="str">
        <f aca="false">IF(B842="","",IF(MONTH(B842)=6,"X",""))</f>
        <v/>
      </c>
      <c r="P842" s="34" t="str">
        <f aca="false">IF(B842="","",IF(MONTH(B842)=7,"X",""))</f>
        <v/>
      </c>
      <c r="Q842" s="34" t="str">
        <f aca="false">IF(B842="","",IF(MONTH(B842)=8,"X",""))</f>
        <v/>
      </c>
      <c r="R842" s="34" t="str">
        <f aca="false">IF(B842="","",IF(MONTH(B842)=9,"X",""))</f>
        <v/>
      </c>
      <c r="S842" s="34" t="str">
        <f aca="false">IF(B842="","",IF(MONTH(B842)=10,"X",""))</f>
        <v/>
      </c>
      <c r="T842" s="34" t="str">
        <f aca="false">IF(B842="","",IF(MONTH(B842)=11,"X",""))</f>
        <v/>
      </c>
      <c r="U842" s="34" t="str">
        <f aca="false">IF(B842="","",IF(MONTH(B842)=12,"X",""))</f>
        <v/>
      </c>
      <c r="V842" s="24" t="str">
        <f aca="false">IF(E842="","",COUNTIF($E$5:$E$1000,E842))</f>
        <v/>
      </c>
      <c r="W842" s="35" t="str">
        <f aca="false">IF(E842="","",_xlfn.TEXTJOIN(" + ",TRUE(),IF(COUNTIFS($E$5:$E$1000,E842,$C$5:$C$1000,"Auditoría Interna")&gt;0,"Interna",""),IF(COUNTIFS($E$5:$E$1000,E842,$C$5:$C$1000,"Auditoría Externa")&gt;0,"Externa",""),IF(COUNTIFS($E$5:$E$1000,E842,$C$5:$C$1000,"SSF")&gt;0,"SSF",""),IF(COUNTIFS($E$5:$E$1000,E842,$C$5:$C$1000,"Comité de Supervisión")&gt;0,"Comité Sup.",""),IF(COUNTIFS($E$5:$E$1000,E842,$C$5:$C$1000,"Consejo de Administración")&gt;0,"Consejo",""),IF(COUNTIFS($E$5:$E$1000,E842,$C$5:$C$1000,"Otros")&gt;0,"Otros","")))</f>
        <v/>
      </c>
      <c r="X842" s="24" t="str">
        <f aca="false">IF(E842="","",COUNTIFS($E$5:$E$1000,E842,$AB$5:$AB$1000,AB842,$C$5:$C$1000,"&lt;&gt;"&amp;C842))</f>
        <v/>
      </c>
      <c r="Y842" s="33"/>
      <c r="Z842" s="31"/>
      <c r="AA842" s="33"/>
      <c r="AB842" s="37" t="str">
        <f aca="false">IF(B842="","",YEAR(B842)*100+MONTH(B842))</f>
        <v/>
      </c>
      <c r="AC842" s="37" t="str">
        <f aca="false">IF(AND(E842&lt;&gt;"",E842=Cruce!$C$5),COUNTIF($E$5:E842,E842),"")</f>
        <v/>
      </c>
      <c r="AD842" s="37" t="str">
        <f aca="false">IF(E842="","",C842&amp;"|"&amp;Y842&amp;"|"&amp;IF(B842="","s/f",TEXT(B842,"yyyymmdd")))</f>
        <v/>
      </c>
      <c r="AE842" s="37" t="n">
        <f aca="false">IF(E842="",0,IF(COUNTIFS($E$5:E842,E842,$AD$5:AD842,AD842)=1,1,0))</f>
        <v>0</v>
      </c>
    </row>
    <row r="843" customFormat="false" ht="15" hidden="false" customHeight="true" outlineLevel="0" collapsed="false">
      <c r="A843" s="31"/>
      <c r="B843" s="30"/>
      <c r="C843" s="31"/>
      <c r="D843" s="31"/>
      <c r="E843" s="32"/>
      <c r="F843" s="32"/>
      <c r="G843" s="33"/>
      <c r="H843" s="31"/>
      <c r="I843" s="24" t="str">
        <f aca="false">IF(B843="","",YEAR(B843))</f>
        <v/>
      </c>
      <c r="J843" s="34" t="str">
        <f aca="false">IF(B843="","",IF(MONTH(B843)=1,"X",""))</f>
        <v/>
      </c>
      <c r="K843" s="34" t="str">
        <f aca="false">IF(B843="","",IF(MONTH(B843)=2,"X",""))</f>
        <v/>
      </c>
      <c r="L843" s="34" t="str">
        <f aca="false">IF(B843="","",IF(MONTH(B843)=3,"X",""))</f>
        <v/>
      </c>
      <c r="M843" s="34" t="str">
        <f aca="false">IF(B843="","",IF(MONTH(B843)=4,"X",""))</f>
        <v/>
      </c>
      <c r="N843" s="34" t="str">
        <f aca="false">IF(B843="","",IF(MONTH(B843)=5,"X",""))</f>
        <v/>
      </c>
      <c r="O843" s="34" t="str">
        <f aca="false">IF(B843="","",IF(MONTH(B843)=6,"X",""))</f>
        <v/>
      </c>
      <c r="P843" s="34" t="str">
        <f aca="false">IF(B843="","",IF(MONTH(B843)=7,"X",""))</f>
        <v/>
      </c>
      <c r="Q843" s="34" t="str">
        <f aca="false">IF(B843="","",IF(MONTH(B843)=8,"X",""))</f>
        <v/>
      </c>
      <c r="R843" s="34" t="str">
        <f aca="false">IF(B843="","",IF(MONTH(B843)=9,"X",""))</f>
        <v/>
      </c>
      <c r="S843" s="34" t="str">
        <f aca="false">IF(B843="","",IF(MONTH(B843)=10,"X",""))</f>
        <v/>
      </c>
      <c r="T843" s="34" t="str">
        <f aca="false">IF(B843="","",IF(MONTH(B843)=11,"X",""))</f>
        <v/>
      </c>
      <c r="U843" s="34" t="str">
        <f aca="false">IF(B843="","",IF(MONTH(B843)=12,"X",""))</f>
        <v/>
      </c>
      <c r="V843" s="24" t="str">
        <f aca="false">IF(E843="","",COUNTIF($E$5:$E$1000,E843))</f>
        <v/>
      </c>
      <c r="W843" s="35" t="str">
        <f aca="false">IF(E843="","",_xlfn.TEXTJOIN(" + ",TRUE(),IF(COUNTIFS($E$5:$E$1000,E843,$C$5:$C$1000,"Auditoría Interna")&gt;0,"Interna",""),IF(COUNTIFS($E$5:$E$1000,E843,$C$5:$C$1000,"Auditoría Externa")&gt;0,"Externa",""),IF(COUNTIFS($E$5:$E$1000,E843,$C$5:$C$1000,"SSF")&gt;0,"SSF",""),IF(COUNTIFS($E$5:$E$1000,E843,$C$5:$C$1000,"Comité de Supervisión")&gt;0,"Comité Sup.",""),IF(COUNTIFS($E$5:$E$1000,E843,$C$5:$C$1000,"Consejo de Administración")&gt;0,"Consejo",""),IF(COUNTIFS($E$5:$E$1000,E843,$C$5:$C$1000,"Otros")&gt;0,"Otros","")))</f>
        <v/>
      </c>
      <c r="X843" s="24" t="str">
        <f aca="false">IF(E843="","",COUNTIFS($E$5:$E$1000,E843,$AB$5:$AB$1000,AB843,$C$5:$C$1000,"&lt;&gt;"&amp;C843))</f>
        <v/>
      </c>
      <c r="Y843" s="33"/>
      <c r="Z843" s="31"/>
      <c r="AA843" s="33"/>
      <c r="AB843" s="37" t="str">
        <f aca="false">IF(B843="","",YEAR(B843)*100+MONTH(B843))</f>
        <v/>
      </c>
      <c r="AC843" s="37" t="str">
        <f aca="false">IF(AND(E843&lt;&gt;"",E843=Cruce!$C$5),COUNTIF($E$5:E843,E843),"")</f>
        <v/>
      </c>
      <c r="AD843" s="37" t="str">
        <f aca="false">IF(E843="","",C843&amp;"|"&amp;Y843&amp;"|"&amp;IF(B843="","s/f",TEXT(B843,"yyyymmdd")))</f>
        <v/>
      </c>
      <c r="AE843" s="37" t="n">
        <f aca="false">IF(E843="",0,IF(COUNTIFS($E$5:E843,E843,$AD$5:AD843,AD843)=1,1,0))</f>
        <v>0</v>
      </c>
    </row>
    <row r="844" customFormat="false" ht="15" hidden="false" customHeight="true" outlineLevel="0" collapsed="false">
      <c r="A844" s="31"/>
      <c r="B844" s="30"/>
      <c r="C844" s="31"/>
      <c r="D844" s="31"/>
      <c r="E844" s="32"/>
      <c r="F844" s="32"/>
      <c r="G844" s="33"/>
      <c r="H844" s="31"/>
      <c r="I844" s="24" t="str">
        <f aca="false">IF(B844="","",YEAR(B844))</f>
        <v/>
      </c>
      <c r="J844" s="34" t="str">
        <f aca="false">IF(B844="","",IF(MONTH(B844)=1,"X",""))</f>
        <v/>
      </c>
      <c r="K844" s="34" t="str">
        <f aca="false">IF(B844="","",IF(MONTH(B844)=2,"X",""))</f>
        <v/>
      </c>
      <c r="L844" s="34" t="str">
        <f aca="false">IF(B844="","",IF(MONTH(B844)=3,"X",""))</f>
        <v/>
      </c>
      <c r="M844" s="34" t="str">
        <f aca="false">IF(B844="","",IF(MONTH(B844)=4,"X",""))</f>
        <v/>
      </c>
      <c r="N844" s="34" t="str">
        <f aca="false">IF(B844="","",IF(MONTH(B844)=5,"X",""))</f>
        <v/>
      </c>
      <c r="O844" s="34" t="str">
        <f aca="false">IF(B844="","",IF(MONTH(B844)=6,"X",""))</f>
        <v/>
      </c>
      <c r="P844" s="34" t="str">
        <f aca="false">IF(B844="","",IF(MONTH(B844)=7,"X",""))</f>
        <v/>
      </c>
      <c r="Q844" s="34" t="str">
        <f aca="false">IF(B844="","",IF(MONTH(B844)=8,"X",""))</f>
        <v/>
      </c>
      <c r="R844" s="34" t="str">
        <f aca="false">IF(B844="","",IF(MONTH(B844)=9,"X",""))</f>
        <v/>
      </c>
      <c r="S844" s="34" t="str">
        <f aca="false">IF(B844="","",IF(MONTH(B844)=10,"X",""))</f>
        <v/>
      </c>
      <c r="T844" s="34" t="str">
        <f aca="false">IF(B844="","",IF(MONTH(B844)=11,"X",""))</f>
        <v/>
      </c>
      <c r="U844" s="34" t="str">
        <f aca="false">IF(B844="","",IF(MONTH(B844)=12,"X",""))</f>
        <v/>
      </c>
      <c r="V844" s="24" t="str">
        <f aca="false">IF(E844="","",COUNTIF($E$5:$E$1000,E844))</f>
        <v/>
      </c>
      <c r="W844" s="35" t="str">
        <f aca="false">IF(E844="","",_xlfn.TEXTJOIN(" + ",TRUE(),IF(COUNTIFS($E$5:$E$1000,E844,$C$5:$C$1000,"Auditoría Interna")&gt;0,"Interna",""),IF(COUNTIFS($E$5:$E$1000,E844,$C$5:$C$1000,"Auditoría Externa")&gt;0,"Externa",""),IF(COUNTIFS($E$5:$E$1000,E844,$C$5:$C$1000,"SSF")&gt;0,"SSF",""),IF(COUNTIFS($E$5:$E$1000,E844,$C$5:$C$1000,"Comité de Supervisión")&gt;0,"Comité Sup.",""),IF(COUNTIFS($E$5:$E$1000,E844,$C$5:$C$1000,"Consejo de Administración")&gt;0,"Consejo",""),IF(COUNTIFS($E$5:$E$1000,E844,$C$5:$C$1000,"Otros")&gt;0,"Otros","")))</f>
        <v/>
      </c>
      <c r="X844" s="24" t="str">
        <f aca="false">IF(E844="","",COUNTIFS($E$5:$E$1000,E844,$AB$5:$AB$1000,AB844,$C$5:$C$1000,"&lt;&gt;"&amp;C844))</f>
        <v/>
      </c>
      <c r="Y844" s="33"/>
      <c r="Z844" s="31"/>
      <c r="AA844" s="33"/>
      <c r="AB844" s="37" t="str">
        <f aca="false">IF(B844="","",YEAR(B844)*100+MONTH(B844))</f>
        <v/>
      </c>
      <c r="AC844" s="37" t="str">
        <f aca="false">IF(AND(E844&lt;&gt;"",E844=Cruce!$C$5),COUNTIF($E$5:E844,E844),"")</f>
        <v/>
      </c>
      <c r="AD844" s="37" t="str">
        <f aca="false">IF(E844="","",C844&amp;"|"&amp;Y844&amp;"|"&amp;IF(B844="","s/f",TEXT(B844,"yyyymmdd")))</f>
        <v/>
      </c>
      <c r="AE844" s="37" t="n">
        <f aca="false">IF(E844="",0,IF(COUNTIFS($E$5:E844,E844,$AD$5:AD844,AD844)=1,1,0))</f>
        <v>0</v>
      </c>
    </row>
    <row r="845" customFormat="false" ht="15" hidden="false" customHeight="true" outlineLevel="0" collapsed="false">
      <c r="A845" s="31"/>
      <c r="B845" s="30"/>
      <c r="C845" s="31"/>
      <c r="D845" s="31"/>
      <c r="E845" s="32"/>
      <c r="F845" s="32"/>
      <c r="G845" s="33"/>
      <c r="H845" s="31"/>
      <c r="I845" s="24" t="str">
        <f aca="false">IF(B845="","",YEAR(B845))</f>
        <v/>
      </c>
      <c r="J845" s="34" t="str">
        <f aca="false">IF(B845="","",IF(MONTH(B845)=1,"X",""))</f>
        <v/>
      </c>
      <c r="K845" s="34" t="str">
        <f aca="false">IF(B845="","",IF(MONTH(B845)=2,"X",""))</f>
        <v/>
      </c>
      <c r="L845" s="34" t="str">
        <f aca="false">IF(B845="","",IF(MONTH(B845)=3,"X",""))</f>
        <v/>
      </c>
      <c r="M845" s="34" t="str">
        <f aca="false">IF(B845="","",IF(MONTH(B845)=4,"X",""))</f>
        <v/>
      </c>
      <c r="N845" s="34" t="str">
        <f aca="false">IF(B845="","",IF(MONTH(B845)=5,"X",""))</f>
        <v/>
      </c>
      <c r="O845" s="34" t="str">
        <f aca="false">IF(B845="","",IF(MONTH(B845)=6,"X",""))</f>
        <v/>
      </c>
      <c r="P845" s="34" t="str">
        <f aca="false">IF(B845="","",IF(MONTH(B845)=7,"X",""))</f>
        <v/>
      </c>
      <c r="Q845" s="34" t="str">
        <f aca="false">IF(B845="","",IF(MONTH(B845)=8,"X",""))</f>
        <v/>
      </c>
      <c r="R845" s="34" t="str">
        <f aca="false">IF(B845="","",IF(MONTH(B845)=9,"X",""))</f>
        <v/>
      </c>
      <c r="S845" s="34" t="str">
        <f aca="false">IF(B845="","",IF(MONTH(B845)=10,"X",""))</f>
        <v/>
      </c>
      <c r="T845" s="34" t="str">
        <f aca="false">IF(B845="","",IF(MONTH(B845)=11,"X",""))</f>
        <v/>
      </c>
      <c r="U845" s="34" t="str">
        <f aca="false">IF(B845="","",IF(MONTH(B845)=12,"X",""))</f>
        <v/>
      </c>
      <c r="V845" s="24" t="str">
        <f aca="false">IF(E845="","",COUNTIF($E$5:$E$1000,E845))</f>
        <v/>
      </c>
      <c r="W845" s="35" t="str">
        <f aca="false">IF(E845="","",_xlfn.TEXTJOIN(" + ",TRUE(),IF(COUNTIFS($E$5:$E$1000,E845,$C$5:$C$1000,"Auditoría Interna")&gt;0,"Interna",""),IF(COUNTIFS($E$5:$E$1000,E845,$C$5:$C$1000,"Auditoría Externa")&gt;0,"Externa",""),IF(COUNTIFS($E$5:$E$1000,E845,$C$5:$C$1000,"SSF")&gt;0,"SSF",""),IF(COUNTIFS($E$5:$E$1000,E845,$C$5:$C$1000,"Comité de Supervisión")&gt;0,"Comité Sup.",""),IF(COUNTIFS($E$5:$E$1000,E845,$C$5:$C$1000,"Consejo de Administración")&gt;0,"Consejo",""),IF(COUNTIFS($E$5:$E$1000,E845,$C$5:$C$1000,"Otros")&gt;0,"Otros","")))</f>
        <v/>
      </c>
      <c r="X845" s="24" t="str">
        <f aca="false">IF(E845="","",COUNTIFS($E$5:$E$1000,E845,$AB$5:$AB$1000,AB845,$C$5:$C$1000,"&lt;&gt;"&amp;C845))</f>
        <v/>
      </c>
      <c r="Y845" s="33"/>
      <c r="Z845" s="31"/>
      <c r="AA845" s="33"/>
      <c r="AB845" s="37" t="str">
        <f aca="false">IF(B845="","",YEAR(B845)*100+MONTH(B845))</f>
        <v/>
      </c>
      <c r="AC845" s="37" t="str">
        <f aca="false">IF(AND(E845&lt;&gt;"",E845=Cruce!$C$5),COUNTIF($E$5:E845,E845),"")</f>
        <v/>
      </c>
      <c r="AD845" s="37" t="str">
        <f aca="false">IF(E845="","",C845&amp;"|"&amp;Y845&amp;"|"&amp;IF(B845="","s/f",TEXT(B845,"yyyymmdd")))</f>
        <v/>
      </c>
      <c r="AE845" s="37" t="n">
        <f aca="false">IF(E845="",0,IF(COUNTIFS($E$5:E845,E845,$AD$5:AD845,AD845)=1,1,0))</f>
        <v>0</v>
      </c>
    </row>
    <row r="846" customFormat="false" ht="15" hidden="false" customHeight="true" outlineLevel="0" collapsed="false">
      <c r="A846" s="31"/>
      <c r="B846" s="30"/>
      <c r="C846" s="31"/>
      <c r="D846" s="31"/>
      <c r="E846" s="32"/>
      <c r="F846" s="32"/>
      <c r="G846" s="33"/>
      <c r="H846" s="31"/>
      <c r="I846" s="24" t="str">
        <f aca="false">IF(B846="","",YEAR(B846))</f>
        <v/>
      </c>
      <c r="J846" s="34" t="str">
        <f aca="false">IF(B846="","",IF(MONTH(B846)=1,"X",""))</f>
        <v/>
      </c>
      <c r="K846" s="34" t="str">
        <f aca="false">IF(B846="","",IF(MONTH(B846)=2,"X",""))</f>
        <v/>
      </c>
      <c r="L846" s="34" t="str">
        <f aca="false">IF(B846="","",IF(MONTH(B846)=3,"X",""))</f>
        <v/>
      </c>
      <c r="M846" s="34" t="str">
        <f aca="false">IF(B846="","",IF(MONTH(B846)=4,"X",""))</f>
        <v/>
      </c>
      <c r="N846" s="34" t="str">
        <f aca="false">IF(B846="","",IF(MONTH(B846)=5,"X",""))</f>
        <v/>
      </c>
      <c r="O846" s="34" t="str">
        <f aca="false">IF(B846="","",IF(MONTH(B846)=6,"X",""))</f>
        <v/>
      </c>
      <c r="P846" s="34" t="str">
        <f aca="false">IF(B846="","",IF(MONTH(B846)=7,"X",""))</f>
        <v/>
      </c>
      <c r="Q846" s="34" t="str">
        <f aca="false">IF(B846="","",IF(MONTH(B846)=8,"X",""))</f>
        <v/>
      </c>
      <c r="R846" s="34" t="str">
        <f aca="false">IF(B846="","",IF(MONTH(B846)=9,"X",""))</f>
        <v/>
      </c>
      <c r="S846" s="34" t="str">
        <f aca="false">IF(B846="","",IF(MONTH(B846)=10,"X",""))</f>
        <v/>
      </c>
      <c r="T846" s="34" t="str">
        <f aca="false">IF(B846="","",IF(MONTH(B846)=11,"X",""))</f>
        <v/>
      </c>
      <c r="U846" s="34" t="str">
        <f aca="false">IF(B846="","",IF(MONTH(B846)=12,"X",""))</f>
        <v/>
      </c>
      <c r="V846" s="24" t="str">
        <f aca="false">IF(E846="","",COUNTIF($E$5:$E$1000,E846))</f>
        <v/>
      </c>
      <c r="W846" s="35" t="str">
        <f aca="false">IF(E846="","",_xlfn.TEXTJOIN(" + ",TRUE(),IF(COUNTIFS($E$5:$E$1000,E846,$C$5:$C$1000,"Auditoría Interna")&gt;0,"Interna",""),IF(COUNTIFS($E$5:$E$1000,E846,$C$5:$C$1000,"Auditoría Externa")&gt;0,"Externa",""),IF(COUNTIFS($E$5:$E$1000,E846,$C$5:$C$1000,"SSF")&gt;0,"SSF",""),IF(COUNTIFS($E$5:$E$1000,E846,$C$5:$C$1000,"Comité de Supervisión")&gt;0,"Comité Sup.",""),IF(COUNTIFS($E$5:$E$1000,E846,$C$5:$C$1000,"Consejo de Administración")&gt;0,"Consejo",""),IF(COUNTIFS($E$5:$E$1000,E846,$C$5:$C$1000,"Otros")&gt;0,"Otros","")))</f>
        <v/>
      </c>
      <c r="X846" s="24" t="str">
        <f aca="false">IF(E846="","",COUNTIFS($E$5:$E$1000,E846,$AB$5:$AB$1000,AB846,$C$5:$C$1000,"&lt;&gt;"&amp;C846))</f>
        <v/>
      </c>
      <c r="Y846" s="33"/>
      <c r="Z846" s="31"/>
      <c r="AA846" s="33"/>
      <c r="AB846" s="37" t="str">
        <f aca="false">IF(B846="","",YEAR(B846)*100+MONTH(B846))</f>
        <v/>
      </c>
      <c r="AC846" s="37" t="str">
        <f aca="false">IF(AND(E846&lt;&gt;"",E846=Cruce!$C$5),COUNTIF($E$5:E846,E846),"")</f>
        <v/>
      </c>
      <c r="AD846" s="37" t="str">
        <f aca="false">IF(E846="","",C846&amp;"|"&amp;Y846&amp;"|"&amp;IF(B846="","s/f",TEXT(B846,"yyyymmdd")))</f>
        <v/>
      </c>
      <c r="AE846" s="37" t="n">
        <f aca="false">IF(E846="",0,IF(COUNTIFS($E$5:E846,E846,$AD$5:AD846,AD846)=1,1,0))</f>
        <v>0</v>
      </c>
    </row>
    <row r="847" customFormat="false" ht="15" hidden="false" customHeight="true" outlineLevel="0" collapsed="false">
      <c r="A847" s="31"/>
      <c r="B847" s="30"/>
      <c r="C847" s="31"/>
      <c r="D847" s="31"/>
      <c r="E847" s="32"/>
      <c r="F847" s="32"/>
      <c r="G847" s="33"/>
      <c r="H847" s="31"/>
      <c r="I847" s="24" t="str">
        <f aca="false">IF(B847="","",YEAR(B847))</f>
        <v/>
      </c>
      <c r="J847" s="34" t="str">
        <f aca="false">IF(B847="","",IF(MONTH(B847)=1,"X",""))</f>
        <v/>
      </c>
      <c r="K847" s="34" t="str">
        <f aca="false">IF(B847="","",IF(MONTH(B847)=2,"X",""))</f>
        <v/>
      </c>
      <c r="L847" s="34" t="str">
        <f aca="false">IF(B847="","",IF(MONTH(B847)=3,"X",""))</f>
        <v/>
      </c>
      <c r="M847" s="34" t="str">
        <f aca="false">IF(B847="","",IF(MONTH(B847)=4,"X",""))</f>
        <v/>
      </c>
      <c r="N847" s="34" t="str">
        <f aca="false">IF(B847="","",IF(MONTH(B847)=5,"X",""))</f>
        <v/>
      </c>
      <c r="O847" s="34" t="str">
        <f aca="false">IF(B847="","",IF(MONTH(B847)=6,"X",""))</f>
        <v/>
      </c>
      <c r="P847" s="34" t="str">
        <f aca="false">IF(B847="","",IF(MONTH(B847)=7,"X",""))</f>
        <v/>
      </c>
      <c r="Q847" s="34" t="str">
        <f aca="false">IF(B847="","",IF(MONTH(B847)=8,"X",""))</f>
        <v/>
      </c>
      <c r="R847" s="34" t="str">
        <f aca="false">IF(B847="","",IF(MONTH(B847)=9,"X",""))</f>
        <v/>
      </c>
      <c r="S847" s="34" t="str">
        <f aca="false">IF(B847="","",IF(MONTH(B847)=10,"X",""))</f>
        <v/>
      </c>
      <c r="T847" s="34" t="str">
        <f aca="false">IF(B847="","",IF(MONTH(B847)=11,"X",""))</f>
        <v/>
      </c>
      <c r="U847" s="34" t="str">
        <f aca="false">IF(B847="","",IF(MONTH(B847)=12,"X",""))</f>
        <v/>
      </c>
      <c r="V847" s="24" t="str">
        <f aca="false">IF(E847="","",COUNTIF($E$5:$E$1000,E847))</f>
        <v/>
      </c>
      <c r="W847" s="35" t="str">
        <f aca="false">IF(E847="","",_xlfn.TEXTJOIN(" + ",TRUE(),IF(COUNTIFS($E$5:$E$1000,E847,$C$5:$C$1000,"Auditoría Interna")&gt;0,"Interna",""),IF(COUNTIFS($E$5:$E$1000,E847,$C$5:$C$1000,"Auditoría Externa")&gt;0,"Externa",""),IF(COUNTIFS($E$5:$E$1000,E847,$C$5:$C$1000,"SSF")&gt;0,"SSF",""),IF(COUNTIFS($E$5:$E$1000,E847,$C$5:$C$1000,"Comité de Supervisión")&gt;0,"Comité Sup.",""),IF(COUNTIFS($E$5:$E$1000,E847,$C$5:$C$1000,"Consejo de Administración")&gt;0,"Consejo",""),IF(COUNTIFS($E$5:$E$1000,E847,$C$5:$C$1000,"Otros")&gt;0,"Otros","")))</f>
        <v/>
      </c>
      <c r="X847" s="24" t="str">
        <f aca="false">IF(E847="","",COUNTIFS($E$5:$E$1000,E847,$AB$5:$AB$1000,AB847,$C$5:$C$1000,"&lt;&gt;"&amp;C847))</f>
        <v/>
      </c>
      <c r="Y847" s="33"/>
      <c r="Z847" s="31"/>
      <c r="AA847" s="33"/>
      <c r="AB847" s="37" t="str">
        <f aca="false">IF(B847="","",YEAR(B847)*100+MONTH(B847))</f>
        <v/>
      </c>
      <c r="AC847" s="37" t="str">
        <f aca="false">IF(AND(E847&lt;&gt;"",E847=Cruce!$C$5),COUNTIF($E$5:E847,E847),"")</f>
        <v/>
      </c>
      <c r="AD847" s="37" t="str">
        <f aca="false">IF(E847="","",C847&amp;"|"&amp;Y847&amp;"|"&amp;IF(B847="","s/f",TEXT(B847,"yyyymmdd")))</f>
        <v/>
      </c>
      <c r="AE847" s="37" t="n">
        <f aca="false">IF(E847="",0,IF(COUNTIFS($E$5:E847,E847,$AD$5:AD847,AD847)=1,1,0))</f>
        <v>0</v>
      </c>
    </row>
    <row r="848" customFormat="false" ht="15" hidden="false" customHeight="true" outlineLevel="0" collapsed="false">
      <c r="A848" s="31"/>
      <c r="B848" s="30"/>
      <c r="C848" s="31"/>
      <c r="D848" s="31"/>
      <c r="E848" s="32"/>
      <c r="F848" s="32"/>
      <c r="G848" s="33"/>
      <c r="H848" s="31"/>
      <c r="I848" s="24" t="str">
        <f aca="false">IF(B848="","",YEAR(B848))</f>
        <v/>
      </c>
      <c r="J848" s="34" t="str">
        <f aca="false">IF(B848="","",IF(MONTH(B848)=1,"X",""))</f>
        <v/>
      </c>
      <c r="K848" s="34" t="str">
        <f aca="false">IF(B848="","",IF(MONTH(B848)=2,"X",""))</f>
        <v/>
      </c>
      <c r="L848" s="34" t="str">
        <f aca="false">IF(B848="","",IF(MONTH(B848)=3,"X",""))</f>
        <v/>
      </c>
      <c r="M848" s="34" t="str">
        <f aca="false">IF(B848="","",IF(MONTH(B848)=4,"X",""))</f>
        <v/>
      </c>
      <c r="N848" s="34" t="str">
        <f aca="false">IF(B848="","",IF(MONTH(B848)=5,"X",""))</f>
        <v/>
      </c>
      <c r="O848" s="34" t="str">
        <f aca="false">IF(B848="","",IF(MONTH(B848)=6,"X",""))</f>
        <v/>
      </c>
      <c r="P848" s="34" t="str">
        <f aca="false">IF(B848="","",IF(MONTH(B848)=7,"X",""))</f>
        <v/>
      </c>
      <c r="Q848" s="34" t="str">
        <f aca="false">IF(B848="","",IF(MONTH(B848)=8,"X",""))</f>
        <v/>
      </c>
      <c r="R848" s="34" t="str">
        <f aca="false">IF(B848="","",IF(MONTH(B848)=9,"X",""))</f>
        <v/>
      </c>
      <c r="S848" s="34" t="str">
        <f aca="false">IF(B848="","",IF(MONTH(B848)=10,"X",""))</f>
        <v/>
      </c>
      <c r="T848" s="34" t="str">
        <f aca="false">IF(B848="","",IF(MONTH(B848)=11,"X",""))</f>
        <v/>
      </c>
      <c r="U848" s="34" t="str">
        <f aca="false">IF(B848="","",IF(MONTH(B848)=12,"X",""))</f>
        <v/>
      </c>
      <c r="V848" s="24" t="str">
        <f aca="false">IF(E848="","",COUNTIF($E$5:$E$1000,E848))</f>
        <v/>
      </c>
      <c r="W848" s="35" t="str">
        <f aca="false">IF(E848="","",_xlfn.TEXTJOIN(" + ",TRUE(),IF(COUNTIFS($E$5:$E$1000,E848,$C$5:$C$1000,"Auditoría Interna")&gt;0,"Interna",""),IF(COUNTIFS($E$5:$E$1000,E848,$C$5:$C$1000,"Auditoría Externa")&gt;0,"Externa",""),IF(COUNTIFS($E$5:$E$1000,E848,$C$5:$C$1000,"SSF")&gt;0,"SSF",""),IF(COUNTIFS($E$5:$E$1000,E848,$C$5:$C$1000,"Comité de Supervisión")&gt;0,"Comité Sup.",""),IF(COUNTIFS($E$5:$E$1000,E848,$C$5:$C$1000,"Consejo de Administración")&gt;0,"Consejo",""),IF(COUNTIFS($E$5:$E$1000,E848,$C$5:$C$1000,"Otros")&gt;0,"Otros","")))</f>
        <v/>
      </c>
      <c r="X848" s="24" t="str">
        <f aca="false">IF(E848="","",COUNTIFS($E$5:$E$1000,E848,$AB$5:$AB$1000,AB848,$C$5:$C$1000,"&lt;&gt;"&amp;C848))</f>
        <v/>
      </c>
      <c r="Y848" s="33"/>
      <c r="Z848" s="31"/>
      <c r="AA848" s="33"/>
      <c r="AB848" s="37" t="str">
        <f aca="false">IF(B848="","",YEAR(B848)*100+MONTH(B848))</f>
        <v/>
      </c>
      <c r="AC848" s="37" t="str">
        <f aca="false">IF(AND(E848&lt;&gt;"",E848=Cruce!$C$5),COUNTIF($E$5:E848,E848),"")</f>
        <v/>
      </c>
      <c r="AD848" s="37" t="str">
        <f aca="false">IF(E848="","",C848&amp;"|"&amp;Y848&amp;"|"&amp;IF(B848="","s/f",TEXT(B848,"yyyymmdd")))</f>
        <v/>
      </c>
      <c r="AE848" s="37" t="n">
        <f aca="false">IF(E848="",0,IF(COUNTIFS($E$5:E848,E848,$AD$5:AD848,AD848)=1,1,0))</f>
        <v>0</v>
      </c>
    </row>
    <row r="849" customFormat="false" ht="15" hidden="false" customHeight="true" outlineLevel="0" collapsed="false">
      <c r="A849" s="31"/>
      <c r="B849" s="30"/>
      <c r="C849" s="31"/>
      <c r="D849" s="31"/>
      <c r="E849" s="32"/>
      <c r="F849" s="32"/>
      <c r="G849" s="33"/>
      <c r="H849" s="31"/>
      <c r="I849" s="24" t="str">
        <f aca="false">IF(B849="","",YEAR(B849))</f>
        <v/>
      </c>
      <c r="J849" s="34" t="str">
        <f aca="false">IF(B849="","",IF(MONTH(B849)=1,"X",""))</f>
        <v/>
      </c>
      <c r="K849" s="34" t="str">
        <f aca="false">IF(B849="","",IF(MONTH(B849)=2,"X",""))</f>
        <v/>
      </c>
      <c r="L849" s="34" t="str">
        <f aca="false">IF(B849="","",IF(MONTH(B849)=3,"X",""))</f>
        <v/>
      </c>
      <c r="M849" s="34" t="str">
        <f aca="false">IF(B849="","",IF(MONTH(B849)=4,"X",""))</f>
        <v/>
      </c>
      <c r="N849" s="34" t="str">
        <f aca="false">IF(B849="","",IF(MONTH(B849)=5,"X",""))</f>
        <v/>
      </c>
      <c r="O849" s="34" t="str">
        <f aca="false">IF(B849="","",IF(MONTH(B849)=6,"X",""))</f>
        <v/>
      </c>
      <c r="P849" s="34" t="str">
        <f aca="false">IF(B849="","",IF(MONTH(B849)=7,"X",""))</f>
        <v/>
      </c>
      <c r="Q849" s="34" t="str">
        <f aca="false">IF(B849="","",IF(MONTH(B849)=8,"X",""))</f>
        <v/>
      </c>
      <c r="R849" s="34" t="str">
        <f aca="false">IF(B849="","",IF(MONTH(B849)=9,"X",""))</f>
        <v/>
      </c>
      <c r="S849" s="34" t="str">
        <f aca="false">IF(B849="","",IF(MONTH(B849)=10,"X",""))</f>
        <v/>
      </c>
      <c r="T849" s="34" t="str">
        <f aca="false">IF(B849="","",IF(MONTH(B849)=11,"X",""))</f>
        <v/>
      </c>
      <c r="U849" s="34" t="str">
        <f aca="false">IF(B849="","",IF(MONTH(B849)=12,"X",""))</f>
        <v/>
      </c>
      <c r="V849" s="24" t="str">
        <f aca="false">IF(E849="","",COUNTIF($E$5:$E$1000,E849))</f>
        <v/>
      </c>
      <c r="W849" s="35" t="str">
        <f aca="false">IF(E849="","",_xlfn.TEXTJOIN(" + ",TRUE(),IF(COUNTIFS($E$5:$E$1000,E849,$C$5:$C$1000,"Auditoría Interna")&gt;0,"Interna",""),IF(COUNTIFS($E$5:$E$1000,E849,$C$5:$C$1000,"Auditoría Externa")&gt;0,"Externa",""),IF(COUNTIFS($E$5:$E$1000,E849,$C$5:$C$1000,"SSF")&gt;0,"SSF",""),IF(COUNTIFS($E$5:$E$1000,E849,$C$5:$C$1000,"Comité de Supervisión")&gt;0,"Comité Sup.",""),IF(COUNTIFS($E$5:$E$1000,E849,$C$5:$C$1000,"Consejo de Administración")&gt;0,"Consejo",""),IF(COUNTIFS($E$5:$E$1000,E849,$C$5:$C$1000,"Otros")&gt;0,"Otros","")))</f>
        <v/>
      </c>
      <c r="X849" s="24" t="str">
        <f aca="false">IF(E849="","",COUNTIFS($E$5:$E$1000,E849,$AB$5:$AB$1000,AB849,$C$5:$C$1000,"&lt;&gt;"&amp;C849))</f>
        <v/>
      </c>
      <c r="Y849" s="33"/>
      <c r="Z849" s="31"/>
      <c r="AA849" s="33"/>
      <c r="AB849" s="37" t="str">
        <f aca="false">IF(B849="","",YEAR(B849)*100+MONTH(B849))</f>
        <v/>
      </c>
      <c r="AC849" s="37" t="str">
        <f aca="false">IF(AND(E849&lt;&gt;"",E849=Cruce!$C$5),COUNTIF($E$5:E849,E849),"")</f>
        <v/>
      </c>
      <c r="AD849" s="37" t="str">
        <f aca="false">IF(E849="","",C849&amp;"|"&amp;Y849&amp;"|"&amp;IF(B849="","s/f",TEXT(B849,"yyyymmdd")))</f>
        <v/>
      </c>
      <c r="AE849" s="37" t="n">
        <f aca="false">IF(E849="",0,IF(COUNTIFS($E$5:E849,E849,$AD$5:AD849,AD849)=1,1,0))</f>
        <v>0</v>
      </c>
    </row>
    <row r="850" customFormat="false" ht="15" hidden="false" customHeight="true" outlineLevel="0" collapsed="false">
      <c r="A850" s="31"/>
      <c r="B850" s="30"/>
      <c r="C850" s="31"/>
      <c r="D850" s="31"/>
      <c r="E850" s="32"/>
      <c r="F850" s="32"/>
      <c r="G850" s="33"/>
      <c r="H850" s="31"/>
      <c r="I850" s="24" t="str">
        <f aca="false">IF(B850="","",YEAR(B850))</f>
        <v/>
      </c>
      <c r="J850" s="34" t="str">
        <f aca="false">IF(B850="","",IF(MONTH(B850)=1,"X",""))</f>
        <v/>
      </c>
      <c r="K850" s="34" t="str">
        <f aca="false">IF(B850="","",IF(MONTH(B850)=2,"X",""))</f>
        <v/>
      </c>
      <c r="L850" s="34" t="str">
        <f aca="false">IF(B850="","",IF(MONTH(B850)=3,"X",""))</f>
        <v/>
      </c>
      <c r="M850" s="34" t="str">
        <f aca="false">IF(B850="","",IF(MONTH(B850)=4,"X",""))</f>
        <v/>
      </c>
      <c r="N850" s="34" t="str">
        <f aca="false">IF(B850="","",IF(MONTH(B850)=5,"X",""))</f>
        <v/>
      </c>
      <c r="O850" s="34" t="str">
        <f aca="false">IF(B850="","",IF(MONTH(B850)=6,"X",""))</f>
        <v/>
      </c>
      <c r="P850" s="34" t="str">
        <f aca="false">IF(B850="","",IF(MONTH(B850)=7,"X",""))</f>
        <v/>
      </c>
      <c r="Q850" s="34" t="str">
        <f aca="false">IF(B850="","",IF(MONTH(B850)=8,"X",""))</f>
        <v/>
      </c>
      <c r="R850" s="34" t="str">
        <f aca="false">IF(B850="","",IF(MONTH(B850)=9,"X",""))</f>
        <v/>
      </c>
      <c r="S850" s="34" t="str">
        <f aca="false">IF(B850="","",IF(MONTH(B850)=10,"X",""))</f>
        <v/>
      </c>
      <c r="T850" s="34" t="str">
        <f aca="false">IF(B850="","",IF(MONTH(B850)=11,"X",""))</f>
        <v/>
      </c>
      <c r="U850" s="34" t="str">
        <f aca="false">IF(B850="","",IF(MONTH(B850)=12,"X",""))</f>
        <v/>
      </c>
      <c r="V850" s="24" t="str">
        <f aca="false">IF(E850="","",COUNTIF($E$5:$E$1000,E850))</f>
        <v/>
      </c>
      <c r="W850" s="35" t="str">
        <f aca="false">IF(E850="","",_xlfn.TEXTJOIN(" + ",TRUE(),IF(COUNTIFS($E$5:$E$1000,E850,$C$5:$C$1000,"Auditoría Interna")&gt;0,"Interna",""),IF(COUNTIFS($E$5:$E$1000,E850,$C$5:$C$1000,"Auditoría Externa")&gt;0,"Externa",""),IF(COUNTIFS($E$5:$E$1000,E850,$C$5:$C$1000,"SSF")&gt;0,"SSF",""),IF(COUNTIFS($E$5:$E$1000,E850,$C$5:$C$1000,"Comité de Supervisión")&gt;0,"Comité Sup.",""),IF(COUNTIFS($E$5:$E$1000,E850,$C$5:$C$1000,"Consejo de Administración")&gt;0,"Consejo",""),IF(COUNTIFS($E$5:$E$1000,E850,$C$5:$C$1000,"Otros")&gt;0,"Otros","")))</f>
        <v/>
      </c>
      <c r="X850" s="24" t="str">
        <f aca="false">IF(E850="","",COUNTIFS($E$5:$E$1000,E850,$AB$5:$AB$1000,AB850,$C$5:$C$1000,"&lt;&gt;"&amp;C850))</f>
        <v/>
      </c>
      <c r="Y850" s="33"/>
      <c r="Z850" s="31"/>
      <c r="AA850" s="33"/>
      <c r="AB850" s="37" t="str">
        <f aca="false">IF(B850="","",YEAR(B850)*100+MONTH(B850))</f>
        <v/>
      </c>
      <c r="AC850" s="37" t="str">
        <f aca="false">IF(AND(E850&lt;&gt;"",E850=Cruce!$C$5),COUNTIF($E$5:E850,E850),"")</f>
        <v/>
      </c>
      <c r="AD850" s="37" t="str">
        <f aca="false">IF(E850="","",C850&amp;"|"&amp;Y850&amp;"|"&amp;IF(B850="","s/f",TEXT(B850,"yyyymmdd")))</f>
        <v/>
      </c>
      <c r="AE850" s="37" t="n">
        <f aca="false">IF(E850="",0,IF(COUNTIFS($E$5:E850,E850,$AD$5:AD850,AD850)=1,1,0))</f>
        <v>0</v>
      </c>
    </row>
    <row r="851" customFormat="false" ht="15" hidden="false" customHeight="true" outlineLevel="0" collapsed="false">
      <c r="A851" s="31"/>
      <c r="B851" s="30"/>
      <c r="C851" s="31"/>
      <c r="D851" s="31"/>
      <c r="E851" s="32"/>
      <c r="F851" s="32"/>
      <c r="G851" s="33"/>
      <c r="H851" s="31"/>
      <c r="I851" s="24" t="str">
        <f aca="false">IF(B851="","",YEAR(B851))</f>
        <v/>
      </c>
      <c r="J851" s="34" t="str">
        <f aca="false">IF(B851="","",IF(MONTH(B851)=1,"X",""))</f>
        <v/>
      </c>
      <c r="K851" s="34" t="str">
        <f aca="false">IF(B851="","",IF(MONTH(B851)=2,"X",""))</f>
        <v/>
      </c>
      <c r="L851" s="34" t="str">
        <f aca="false">IF(B851="","",IF(MONTH(B851)=3,"X",""))</f>
        <v/>
      </c>
      <c r="M851" s="34" t="str">
        <f aca="false">IF(B851="","",IF(MONTH(B851)=4,"X",""))</f>
        <v/>
      </c>
      <c r="N851" s="34" t="str">
        <f aca="false">IF(B851="","",IF(MONTH(B851)=5,"X",""))</f>
        <v/>
      </c>
      <c r="O851" s="34" t="str">
        <f aca="false">IF(B851="","",IF(MONTH(B851)=6,"X",""))</f>
        <v/>
      </c>
      <c r="P851" s="34" t="str">
        <f aca="false">IF(B851="","",IF(MONTH(B851)=7,"X",""))</f>
        <v/>
      </c>
      <c r="Q851" s="34" t="str">
        <f aca="false">IF(B851="","",IF(MONTH(B851)=8,"X",""))</f>
        <v/>
      </c>
      <c r="R851" s="34" t="str">
        <f aca="false">IF(B851="","",IF(MONTH(B851)=9,"X",""))</f>
        <v/>
      </c>
      <c r="S851" s="34" t="str">
        <f aca="false">IF(B851="","",IF(MONTH(B851)=10,"X",""))</f>
        <v/>
      </c>
      <c r="T851" s="34" t="str">
        <f aca="false">IF(B851="","",IF(MONTH(B851)=11,"X",""))</f>
        <v/>
      </c>
      <c r="U851" s="34" t="str">
        <f aca="false">IF(B851="","",IF(MONTH(B851)=12,"X",""))</f>
        <v/>
      </c>
      <c r="V851" s="24" t="str">
        <f aca="false">IF(E851="","",COUNTIF($E$5:$E$1000,E851))</f>
        <v/>
      </c>
      <c r="W851" s="35" t="str">
        <f aca="false">IF(E851="","",_xlfn.TEXTJOIN(" + ",TRUE(),IF(COUNTIFS($E$5:$E$1000,E851,$C$5:$C$1000,"Auditoría Interna")&gt;0,"Interna",""),IF(COUNTIFS($E$5:$E$1000,E851,$C$5:$C$1000,"Auditoría Externa")&gt;0,"Externa",""),IF(COUNTIFS($E$5:$E$1000,E851,$C$5:$C$1000,"SSF")&gt;0,"SSF",""),IF(COUNTIFS($E$5:$E$1000,E851,$C$5:$C$1000,"Comité de Supervisión")&gt;0,"Comité Sup.",""),IF(COUNTIFS($E$5:$E$1000,E851,$C$5:$C$1000,"Consejo de Administración")&gt;0,"Consejo",""),IF(COUNTIFS($E$5:$E$1000,E851,$C$5:$C$1000,"Otros")&gt;0,"Otros","")))</f>
        <v/>
      </c>
      <c r="X851" s="24" t="str">
        <f aca="false">IF(E851="","",COUNTIFS($E$5:$E$1000,E851,$AB$5:$AB$1000,AB851,$C$5:$C$1000,"&lt;&gt;"&amp;C851))</f>
        <v/>
      </c>
      <c r="Y851" s="33"/>
      <c r="Z851" s="31"/>
      <c r="AA851" s="33"/>
      <c r="AB851" s="37" t="str">
        <f aca="false">IF(B851="","",YEAR(B851)*100+MONTH(B851))</f>
        <v/>
      </c>
      <c r="AC851" s="37" t="str">
        <f aca="false">IF(AND(E851&lt;&gt;"",E851=Cruce!$C$5),COUNTIF($E$5:E851,E851),"")</f>
        <v/>
      </c>
      <c r="AD851" s="37" t="str">
        <f aca="false">IF(E851="","",C851&amp;"|"&amp;Y851&amp;"|"&amp;IF(B851="","s/f",TEXT(B851,"yyyymmdd")))</f>
        <v/>
      </c>
      <c r="AE851" s="37" t="n">
        <f aca="false">IF(E851="",0,IF(COUNTIFS($E$5:E851,E851,$AD$5:AD851,AD851)=1,1,0))</f>
        <v>0</v>
      </c>
    </row>
    <row r="852" customFormat="false" ht="15" hidden="false" customHeight="true" outlineLevel="0" collapsed="false">
      <c r="A852" s="31"/>
      <c r="B852" s="30"/>
      <c r="C852" s="31"/>
      <c r="D852" s="31"/>
      <c r="E852" s="32"/>
      <c r="F852" s="32"/>
      <c r="G852" s="33"/>
      <c r="H852" s="31"/>
      <c r="I852" s="24" t="str">
        <f aca="false">IF(B852="","",YEAR(B852))</f>
        <v/>
      </c>
      <c r="J852" s="34" t="str">
        <f aca="false">IF(B852="","",IF(MONTH(B852)=1,"X",""))</f>
        <v/>
      </c>
      <c r="K852" s="34" t="str">
        <f aca="false">IF(B852="","",IF(MONTH(B852)=2,"X",""))</f>
        <v/>
      </c>
      <c r="L852" s="34" t="str">
        <f aca="false">IF(B852="","",IF(MONTH(B852)=3,"X",""))</f>
        <v/>
      </c>
      <c r="M852" s="34" t="str">
        <f aca="false">IF(B852="","",IF(MONTH(B852)=4,"X",""))</f>
        <v/>
      </c>
      <c r="N852" s="34" t="str">
        <f aca="false">IF(B852="","",IF(MONTH(B852)=5,"X",""))</f>
        <v/>
      </c>
      <c r="O852" s="34" t="str">
        <f aca="false">IF(B852="","",IF(MONTH(B852)=6,"X",""))</f>
        <v/>
      </c>
      <c r="P852" s="34" t="str">
        <f aca="false">IF(B852="","",IF(MONTH(B852)=7,"X",""))</f>
        <v/>
      </c>
      <c r="Q852" s="34" t="str">
        <f aca="false">IF(B852="","",IF(MONTH(B852)=8,"X",""))</f>
        <v/>
      </c>
      <c r="R852" s="34" t="str">
        <f aca="false">IF(B852="","",IF(MONTH(B852)=9,"X",""))</f>
        <v/>
      </c>
      <c r="S852" s="34" t="str">
        <f aca="false">IF(B852="","",IF(MONTH(B852)=10,"X",""))</f>
        <v/>
      </c>
      <c r="T852" s="34" t="str">
        <f aca="false">IF(B852="","",IF(MONTH(B852)=11,"X",""))</f>
        <v/>
      </c>
      <c r="U852" s="34" t="str">
        <f aca="false">IF(B852="","",IF(MONTH(B852)=12,"X",""))</f>
        <v/>
      </c>
      <c r="V852" s="24" t="str">
        <f aca="false">IF(E852="","",COUNTIF($E$5:$E$1000,E852))</f>
        <v/>
      </c>
      <c r="W852" s="35" t="str">
        <f aca="false">IF(E852="","",_xlfn.TEXTJOIN(" + ",TRUE(),IF(COUNTIFS($E$5:$E$1000,E852,$C$5:$C$1000,"Auditoría Interna")&gt;0,"Interna",""),IF(COUNTIFS($E$5:$E$1000,E852,$C$5:$C$1000,"Auditoría Externa")&gt;0,"Externa",""),IF(COUNTIFS($E$5:$E$1000,E852,$C$5:$C$1000,"SSF")&gt;0,"SSF",""),IF(COUNTIFS($E$5:$E$1000,E852,$C$5:$C$1000,"Comité de Supervisión")&gt;0,"Comité Sup.",""),IF(COUNTIFS($E$5:$E$1000,E852,$C$5:$C$1000,"Consejo de Administración")&gt;0,"Consejo",""),IF(COUNTIFS($E$5:$E$1000,E852,$C$5:$C$1000,"Otros")&gt;0,"Otros","")))</f>
        <v/>
      </c>
      <c r="X852" s="24" t="str">
        <f aca="false">IF(E852="","",COUNTIFS($E$5:$E$1000,E852,$AB$5:$AB$1000,AB852,$C$5:$C$1000,"&lt;&gt;"&amp;C852))</f>
        <v/>
      </c>
      <c r="Y852" s="33"/>
      <c r="Z852" s="31"/>
      <c r="AA852" s="33"/>
      <c r="AB852" s="37" t="str">
        <f aca="false">IF(B852="","",YEAR(B852)*100+MONTH(B852))</f>
        <v/>
      </c>
      <c r="AC852" s="37" t="str">
        <f aca="false">IF(AND(E852&lt;&gt;"",E852=Cruce!$C$5),COUNTIF($E$5:E852,E852),"")</f>
        <v/>
      </c>
      <c r="AD852" s="37" t="str">
        <f aca="false">IF(E852="","",C852&amp;"|"&amp;Y852&amp;"|"&amp;IF(B852="","s/f",TEXT(B852,"yyyymmdd")))</f>
        <v/>
      </c>
      <c r="AE852" s="37" t="n">
        <f aca="false">IF(E852="",0,IF(COUNTIFS($E$5:E852,E852,$AD$5:AD852,AD852)=1,1,0))</f>
        <v>0</v>
      </c>
    </row>
    <row r="853" customFormat="false" ht="15" hidden="false" customHeight="true" outlineLevel="0" collapsed="false">
      <c r="A853" s="31"/>
      <c r="B853" s="30"/>
      <c r="C853" s="31"/>
      <c r="D853" s="31"/>
      <c r="E853" s="32"/>
      <c r="F853" s="32"/>
      <c r="G853" s="33"/>
      <c r="H853" s="31"/>
      <c r="I853" s="24" t="str">
        <f aca="false">IF(B853="","",YEAR(B853))</f>
        <v/>
      </c>
      <c r="J853" s="34" t="str">
        <f aca="false">IF(B853="","",IF(MONTH(B853)=1,"X",""))</f>
        <v/>
      </c>
      <c r="K853" s="34" t="str">
        <f aca="false">IF(B853="","",IF(MONTH(B853)=2,"X",""))</f>
        <v/>
      </c>
      <c r="L853" s="34" t="str">
        <f aca="false">IF(B853="","",IF(MONTH(B853)=3,"X",""))</f>
        <v/>
      </c>
      <c r="M853" s="34" t="str">
        <f aca="false">IF(B853="","",IF(MONTH(B853)=4,"X",""))</f>
        <v/>
      </c>
      <c r="N853" s="34" t="str">
        <f aca="false">IF(B853="","",IF(MONTH(B853)=5,"X",""))</f>
        <v/>
      </c>
      <c r="O853" s="34" t="str">
        <f aca="false">IF(B853="","",IF(MONTH(B853)=6,"X",""))</f>
        <v/>
      </c>
      <c r="P853" s="34" t="str">
        <f aca="false">IF(B853="","",IF(MONTH(B853)=7,"X",""))</f>
        <v/>
      </c>
      <c r="Q853" s="34" t="str">
        <f aca="false">IF(B853="","",IF(MONTH(B853)=8,"X",""))</f>
        <v/>
      </c>
      <c r="R853" s="34" t="str">
        <f aca="false">IF(B853="","",IF(MONTH(B853)=9,"X",""))</f>
        <v/>
      </c>
      <c r="S853" s="34" t="str">
        <f aca="false">IF(B853="","",IF(MONTH(B853)=10,"X",""))</f>
        <v/>
      </c>
      <c r="T853" s="34" t="str">
        <f aca="false">IF(B853="","",IF(MONTH(B853)=11,"X",""))</f>
        <v/>
      </c>
      <c r="U853" s="34" t="str">
        <f aca="false">IF(B853="","",IF(MONTH(B853)=12,"X",""))</f>
        <v/>
      </c>
      <c r="V853" s="24" t="str">
        <f aca="false">IF(E853="","",COUNTIF($E$5:$E$1000,E853))</f>
        <v/>
      </c>
      <c r="W853" s="35" t="str">
        <f aca="false">IF(E853="","",_xlfn.TEXTJOIN(" + ",TRUE(),IF(COUNTIFS($E$5:$E$1000,E853,$C$5:$C$1000,"Auditoría Interna")&gt;0,"Interna",""),IF(COUNTIFS($E$5:$E$1000,E853,$C$5:$C$1000,"Auditoría Externa")&gt;0,"Externa",""),IF(COUNTIFS($E$5:$E$1000,E853,$C$5:$C$1000,"SSF")&gt;0,"SSF",""),IF(COUNTIFS($E$5:$E$1000,E853,$C$5:$C$1000,"Comité de Supervisión")&gt;0,"Comité Sup.",""),IF(COUNTIFS($E$5:$E$1000,E853,$C$5:$C$1000,"Consejo de Administración")&gt;0,"Consejo",""),IF(COUNTIFS($E$5:$E$1000,E853,$C$5:$C$1000,"Otros")&gt;0,"Otros","")))</f>
        <v/>
      </c>
      <c r="X853" s="24" t="str">
        <f aca="false">IF(E853="","",COUNTIFS($E$5:$E$1000,E853,$AB$5:$AB$1000,AB853,$C$5:$C$1000,"&lt;&gt;"&amp;C853))</f>
        <v/>
      </c>
      <c r="Y853" s="33"/>
      <c r="Z853" s="31"/>
      <c r="AA853" s="33"/>
      <c r="AB853" s="37" t="str">
        <f aca="false">IF(B853="","",YEAR(B853)*100+MONTH(B853))</f>
        <v/>
      </c>
      <c r="AC853" s="37" t="str">
        <f aca="false">IF(AND(E853&lt;&gt;"",E853=Cruce!$C$5),COUNTIF($E$5:E853,E853),"")</f>
        <v/>
      </c>
      <c r="AD853" s="37" t="str">
        <f aca="false">IF(E853="","",C853&amp;"|"&amp;Y853&amp;"|"&amp;IF(B853="","s/f",TEXT(B853,"yyyymmdd")))</f>
        <v/>
      </c>
      <c r="AE853" s="37" t="n">
        <f aca="false">IF(E853="",0,IF(COUNTIFS($E$5:E853,E853,$AD$5:AD853,AD853)=1,1,0))</f>
        <v>0</v>
      </c>
    </row>
    <row r="854" customFormat="false" ht="15" hidden="false" customHeight="true" outlineLevel="0" collapsed="false">
      <c r="A854" s="31"/>
      <c r="B854" s="30"/>
      <c r="C854" s="31"/>
      <c r="D854" s="31"/>
      <c r="E854" s="32"/>
      <c r="F854" s="32"/>
      <c r="G854" s="33"/>
      <c r="H854" s="31"/>
      <c r="I854" s="24" t="str">
        <f aca="false">IF(B854="","",YEAR(B854))</f>
        <v/>
      </c>
      <c r="J854" s="34" t="str">
        <f aca="false">IF(B854="","",IF(MONTH(B854)=1,"X",""))</f>
        <v/>
      </c>
      <c r="K854" s="34" t="str">
        <f aca="false">IF(B854="","",IF(MONTH(B854)=2,"X",""))</f>
        <v/>
      </c>
      <c r="L854" s="34" t="str">
        <f aca="false">IF(B854="","",IF(MONTH(B854)=3,"X",""))</f>
        <v/>
      </c>
      <c r="M854" s="34" t="str">
        <f aca="false">IF(B854="","",IF(MONTH(B854)=4,"X",""))</f>
        <v/>
      </c>
      <c r="N854" s="34" t="str">
        <f aca="false">IF(B854="","",IF(MONTH(B854)=5,"X",""))</f>
        <v/>
      </c>
      <c r="O854" s="34" t="str">
        <f aca="false">IF(B854="","",IF(MONTH(B854)=6,"X",""))</f>
        <v/>
      </c>
      <c r="P854" s="34" t="str">
        <f aca="false">IF(B854="","",IF(MONTH(B854)=7,"X",""))</f>
        <v/>
      </c>
      <c r="Q854" s="34" t="str">
        <f aca="false">IF(B854="","",IF(MONTH(B854)=8,"X",""))</f>
        <v/>
      </c>
      <c r="R854" s="34" t="str">
        <f aca="false">IF(B854="","",IF(MONTH(B854)=9,"X",""))</f>
        <v/>
      </c>
      <c r="S854" s="34" t="str">
        <f aca="false">IF(B854="","",IF(MONTH(B854)=10,"X",""))</f>
        <v/>
      </c>
      <c r="T854" s="34" t="str">
        <f aca="false">IF(B854="","",IF(MONTH(B854)=11,"X",""))</f>
        <v/>
      </c>
      <c r="U854" s="34" t="str">
        <f aca="false">IF(B854="","",IF(MONTH(B854)=12,"X",""))</f>
        <v/>
      </c>
      <c r="V854" s="24" t="str">
        <f aca="false">IF(E854="","",COUNTIF($E$5:$E$1000,E854))</f>
        <v/>
      </c>
      <c r="W854" s="35" t="str">
        <f aca="false">IF(E854="","",_xlfn.TEXTJOIN(" + ",TRUE(),IF(COUNTIFS($E$5:$E$1000,E854,$C$5:$C$1000,"Auditoría Interna")&gt;0,"Interna",""),IF(COUNTIFS($E$5:$E$1000,E854,$C$5:$C$1000,"Auditoría Externa")&gt;0,"Externa",""),IF(COUNTIFS($E$5:$E$1000,E854,$C$5:$C$1000,"SSF")&gt;0,"SSF",""),IF(COUNTIFS($E$5:$E$1000,E854,$C$5:$C$1000,"Comité de Supervisión")&gt;0,"Comité Sup.",""),IF(COUNTIFS($E$5:$E$1000,E854,$C$5:$C$1000,"Consejo de Administración")&gt;0,"Consejo",""),IF(COUNTIFS($E$5:$E$1000,E854,$C$5:$C$1000,"Otros")&gt;0,"Otros","")))</f>
        <v/>
      </c>
      <c r="X854" s="24" t="str">
        <f aca="false">IF(E854="","",COUNTIFS($E$5:$E$1000,E854,$AB$5:$AB$1000,AB854,$C$5:$C$1000,"&lt;&gt;"&amp;C854))</f>
        <v/>
      </c>
      <c r="Y854" s="33"/>
      <c r="Z854" s="31"/>
      <c r="AA854" s="33"/>
      <c r="AB854" s="37" t="str">
        <f aca="false">IF(B854="","",YEAR(B854)*100+MONTH(B854))</f>
        <v/>
      </c>
      <c r="AC854" s="37" t="str">
        <f aca="false">IF(AND(E854&lt;&gt;"",E854=Cruce!$C$5),COUNTIF($E$5:E854,E854),"")</f>
        <v/>
      </c>
      <c r="AD854" s="37" t="str">
        <f aca="false">IF(E854="","",C854&amp;"|"&amp;Y854&amp;"|"&amp;IF(B854="","s/f",TEXT(B854,"yyyymmdd")))</f>
        <v/>
      </c>
      <c r="AE854" s="37" t="n">
        <f aca="false">IF(E854="",0,IF(COUNTIFS($E$5:E854,E854,$AD$5:AD854,AD854)=1,1,0))</f>
        <v>0</v>
      </c>
    </row>
    <row r="855" customFormat="false" ht="15" hidden="false" customHeight="true" outlineLevel="0" collapsed="false">
      <c r="A855" s="31"/>
      <c r="B855" s="30"/>
      <c r="C855" s="31"/>
      <c r="D855" s="31"/>
      <c r="E855" s="32"/>
      <c r="F855" s="32"/>
      <c r="G855" s="33"/>
      <c r="H855" s="31"/>
      <c r="I855" s="24" t="str">
        <f aca="false">IF(B855="","",YEAR(B855))</f>
        <v/>
      </c>
      <c r="J855" s="34" t="str">
        <f aca="false">IF(B855="","",IF(MONTH(B855)=1,"X",""))</f>
        <v/>
      </c>
      <c r="K855" s="34" t="str">
        <f aca="false">IF(B855="","",IF(MONTH(B855)=2,"X",""))</f>
        <v/>
      </c>
      <c r="L855" s="34" t="str">
        <f aca="false">IF(B855="","",IF(MONTH(B855)=3,"X",""))</f>
        <v/>
      </c>
      <c r="M855" s="34" t="str">
        <f aca="false">IF(B855="","",IF(MONTH(B855)=4,"X",""))</f>
        <v/>
      </c>
      <c r="N855" s="34" t="str">
        <f aca="false">IF(B855="","",IF(MONTH(B855)=5,"X",""))</f>
        <v/>
      </c>
      <c r="O855" s="34" t="str">
        <f aca="false">IF(B855="","",IF(MONTH(B855)=6,"X",""))</f>
        <v/>
      </c>
      <c r="P855" s="34" t="str">
        <f aca="false">IF(B855="","",IF(MONTH(B855)=7,"X",""))</f>
        <v/>
      </c>
      <c r="Q855" s="34" t="str">
        <f aca="false">IF(B855="","",IF(MONTH(B855)=8,"X",""))</f>
        <v/>
      </c>
      <c r="R855" s="34" t="str">
        <f aca="false">IF(B855="","",IF(MONTH(B855)=9,"X",""))</f>
        <v/>
      </c>
      <c r="S855" s="34" t="str">
        <f aca="false">IF(B855="","",IF(MONTH(B855)=10,"X",""))</f>
        <v/>
      </c>
      <c r="T855" s="34" t="str">
        <f aca="false">IF(B855="","",IF(MONTH(B855)=11,"X",""))</f>
        <v/>
      </c>
      <c r="U855" s="34" t="str">
        <f aca="false">IF(B855="","",IF(MONTH(B855)=12,"X",""))</f>
        <v/>
      </c>
      <c r="V855" s="24" t="str">
        <f aca="false">IF(E855="","",COUNTIF($E$5:$E$1000,E855))</f>
        <v/>
      </c>
      <c r="W855" s="35" t="str">
        <f aca="false">IF(E855="","",_xlfn.TEXTJOIN(" + ",TRUE(),IF(COUNTIFS($E$5:$E$1000,E855,$C$5:$C$1000,"Auditoría Interna")&gt;0,"Interna",""),IF(COUNTIFS($E$5:$E$1000,E855,$C$5:$C$1000,"Auditoría Externa")&gt;0,"Externa",""),IF(COUNTIFS($E$5:$E$1000,E855,$C$5:$C$1000,"SSF")&gt;0,"SSF",""),IF(COUNTIFS($E$5:$E$1000,E855,$C$5:$C$1000,"Comité de Supervisión")&gt;0,"Comité Sup.",""),IF(COUNTIFS($E$5:$E$1000,E855,$C$5:$C$1000,"Consejo de Administración")&gt;0,"Consejo",""),IF(COUNTIFS($E$5:$E$1000,E855,$C$5:$C$1000,"Otros")&gt;0,"Otros","")))</f>
        <v/>
      </c>
      <c r="X855" s="24" t="str">
        <f aca="false">IF(E855="","",COUNTIFS($E$5:$E$1000,E855,$AB$5:$AB$1000,AB855,$C$5:$C$1000,"&lt;&gt;"&amp;C855))</f>
        <v/>
      </c>
      <c r="Y855" s="33"/>
      <c r="Z855" s="31"/>
      <c r="AA855" s="33"/>
      <c r="AB855" s="37" t="str">
        <f aca="false">IF(B855="","",YEAR(B855)*100+MONTH(B855))</f>
        <v/>
      </c>
      <c r="AC855" s="37" t="str">
        <f aca="false">IF(AND(E855&lt;&gt;"",E855=Cruce!$C$5),COUNTIF($E$5:E855,E855),"")</f>
        <v/>
      </c>
      <c r="AD855" s="37" t="str">
        <f aca="false">IF(E855="","",C855&amp;"|"&amp;Y855&amp;"|"&amp;IF(B855="","s/f",TEXT(B855,"yyyymmdd")))</f>
        <v/>
      </c>
      <c r="AE855" s="37" t="n">
        <f aca="false">IF(E855="",0,IF(COUNTIFS($E$5:E855,E855,$AD$5:AD855,AD855)=1,1,0))</f>
        <v>0</v>
      </c>
    </row>
    <row r="856" customFormat="false" ht="15" hidden="false" customHeight="true" outlineLevel="0" collapsed="false">
      <c r="A856" s="31"/>
      <c r="B856" s="30"/>
      <c r="C856" s="31"/>
      <c r="D856" s="31"/>
      <c r="E856" s="32"/>
      <c r="F856" s="32"/>
      <c r="G856" s="33"/>
      <c r="H856" s="31"/>
      <c r="I856" s="24" t="str">
        <f aca="false">IF(B856="","",YEAR(B856))</f>
        <v/>
      </c>
      <c r="J856" s="34" t="str">
        <f aca="false">IF(B856="","",IF(MONTH(B856)=1,"X",""))</f>
        <v/>
      </c>
      <c r="K856" s="34" t="str">
        <f aca="false">IF(B856="","",IF(MONTH(B856)=2,"X",""))</f>
        <v/>
      </c>
      <c r="L856" s="34" t="str">
        <f aca="false">IF(B856="","",IF(MONTH(B856)=3,"X",""))</f>
        <v/>
      </c>
      <c r="M856" s="34" t="str">
        <f aca="false">IF(B856="","",IF(MONTH(B856)=4,"X",""))</f>
        <v/>
      </c>
      <c r="N856" s="34" t="str">
        <f aca="false">IF(B856="","",IF(MONTH(B856)=5,"X",""))</f>
        <v/>
      </c>
      <c r="O856" s="34" t="str">
        <f aca="false">IF(B856="","",IF(MONTH(B856)=6,"X",""))</f>
        <v/>
      </c>
      <c r="P856" s="34" t="str">
        <f aca="false">IF(B856="","",IF(MONTH(B856)=7,"X",""))</f>
        <v/>
      </c>
      <c r="Q856" s="34" t="str">
        <f aca="false">IF(B856="","",IF(MONTH(B856)=8,"X",""))</f>
        <v/>
      </c>
      <c r="R856" s="34" t="str">
        <f aca="false">IF(B856="","",IF(MONTH(B856)=9,"X",""))</f>
        <v/>
      </c>
      <c r="S856" s="34" t="str">
        <f aca="false">IF(B856="","",IF(MONTH(B856)=10,"X",""))</f>
        <v/>
      </c>
      <c r="T856" s="34" t="str">
        <f aca="false">IF(B856="","",IF(MONTH(B856)=11,"X",""))</f>
        <v/>
      </c>
      <c r="U856" s="34" t="str">
        <f aca="false">IF(B856="","",IF(MONTH(B856)=12,"X",""))</f>
        <v/>
      </c>
      <c r="V856" s="24" t="str">
        <f aca="false">IF(E856="","",COUNTIF($E$5:$E$1000,E856))</f>
        <v/>
      </c>
      <c r="W856" s="35" t="str">
        <f aca="false">IF(E856="","",_xlfn.TEXTJOIN(" + ",TRUE(),IF(COUNTIFS($E$5:$E$1000,E856,$C$5:$C$1000,"Auditoría Interna")&gt;0,"Interna",""),IF(COUNTIFS($E$5:$E$1000,E856,$C$5:$C$1000,"Auditoría Externa")&gt;0,"Externa",""),IF(COUNTIFS($E$5:$E$1000,E856,$C$5:$C$1000,"SSF")&gt;0,"SSF",""),IF(COUNTIFS($E$5:$E$1000,E856,$C$5:$C$1000,"Comité de Supervisión")&gt;0,"Comité Sup.",""),IF(COUNTIFS($E$5:$E$1000,E856,$C$5:$C$1000,"Consejo de Administración")&gt;0,"Consejo",""),IF(COUNTIFS($E$5:$E$1000,E856,$C$5:$C$1000,"Otros")&gt;0,"Otros","")))</f>
        <v/>
      </c>
      <c r="X856" s="24" t="str">
        <f aca="false">IF(E856="","",COUNTIFS($E$5:$E$1000,E856,$AB$5:$AB$1000,AB856,$C$5:$C$1000,"&lt;&gt;"&amp;C856))</f>
        <v/>
      </c>
      <c r="Y856" s="33"/>
      <c r="Z856" s="31"/>
      <c r="AA856" s="33"/>
      <c r="AB856" s="37" t="str">
        <f aca="false">IF(B856="","",YEAR(B856)*100+MONTH(B856))</f>
        <v/>
      </c>
      <c r="AC856" s="37" t="str">
        <f aca="false">IF(AND(E856&lt;&gt;"",E856=Cruce!$C$5),COUNTIF($E$5:E856,E856),"")</f>
        <v/>
      </c>
      <c r="AD856" s="37" t="str">
        <f aca="false">IF(E856="","",C856&amp;"|"&amp;Y856&amp;"|"&amp;IF(B856="","s/f",TEXT(B856,"yyyymmdd")))</f>
        <v/>
      </c>
      <c r="AE856" s="37" t="n">
        <f aca="false">IF(E856="",0,IF(COUNTIFS($E$5:E856,E856,$AD$5:AD856,AD856)=1,1,0))</f>
        <v>0</v>
      </c>
    </row>
    <row r="857" customFormat="false" ht="15" hidden="false" customHeight="true" outlineLevel="0" collapsed="false">
      <c r="A857" s="31"/>
      <c r="B857" s="30"/>
      <c r="C857" s="31"/>
      <c r="D857" s="31"/>
      <c r="E857" s="32"/>
      <c r="F857" s="32"/>
      <c r="G857" s="33"/>
      <c r="H857" s="31"/>
      <c r="I857" s="24" t="str">
        <f aca="false">IF(B857="","",YEAR(B857))</f>
        <v/>
      </c>
      <c r="J857" s="34" t="str">
        <f aca="false">IF(B857="","",IF(MONTH(B857)=1,"X",""))</f>
        <v/>
      </c>
      <c r="K857" s="34" t="str">
        <f aca="false">IF(B857="","",IF(MONTH(B857)=2,"X",""))</f>
        <v/>
      </c>
      <c r="L857" s="34" t="str">
        <f aca="false">IF(B857="","",IF(MONTH(B857)=3,"X",""))</f>
        <v/>
      </c>
      <c r="M857" s="34" t="str">
        <f aca="false">IF(B857="","",IF(MONTH(B857)=4,"X",""))</f>
        <v/>
      </c>
      <c r="N857" s="34" t="str">
        <f aca="false">IF(B857="","",IF(MONTH(B857)=5,"X",""))</f>
        <v/>
      </c>
      <c r="O857" s="34" t="str">
        <f aca="false">IF(B857="","",IF(MONTH(B857)=6,"X",""))</f>
        <v/>
      </c>
      <c r="P857" s="34" t="str">
        <f aca="false">IF(B857="","",IF(MONTH(B857)=7,"X",""))</f>
        <v/>
      </c>
      <c r="Q857" s="34" t="str">
        <f aca="false">IF(B857="","",IF(MONTH(B857)=8,"X",""))</f>
        <v/>
      </c>
      <c r="R857" s="34" t="str">
        <f aca="false">IF(B857="","",IF(MONTH(B857)=9,"X",""))</f>
        <v/>
      </c>
      <c r="S857" s="34" t="str">
        <f aca="false">IF(B857="","",IF(MONTH(B857)=10,"X",""))</f>
        <v/>
      </c>
      <c r="T857" s="34" t="str">
        <f aca="false">IF(B857="","",IF(MONTH(B857)=11,"X",""))</f>
        <v/>
      </c>
      <c r="U857" s="34" t="str">
        <f aca="false">IF(B857="","",IF(MONTH(B857)=12,"X",""))</f>
        <v/>
      </c>
      <c r="V857" s="24" t="str">
        <f aca="false">IF(E857="","",COUNTIF($E$5:$E$1000,E857))</f>
        <v/>
      </c>
      <c r="W857" s="35" t="str">
        <f aca="false">IF(E857="","",_xlfn.TEXTJOIN(" + ",TRUE(),IF(COUNTIFS($E$5:$E$1000,E857,$C$5:$C$1000,"Auditoría Interna")&gt;0,"Interna",""),IF(COUNTIFS($E$5:$E$1000,E857,$C$5:$C$1000,"Auditoría Externa")&gt;0,"Externa",""),IF(COUNTIFS($E$5:$E$1000,E857,$C$5:$C$1000,"SSF")&gt;0,"SSF",""),IF(COUNTIFS($E$5:$E$1000,E857,$C$5:$C$1000,"Comité de Supervisión")&gt;0,"Comité Sup.",""),IF(COUNTIFS($E$5:$E$1000,E857,$C$5:$C$1000,"Consejo de Administración")&gt;0,"Consejo",""),IF(COUNTIFS($E$5:$E$1000,E857,$C$5:$C$1000,"Otros")&gt;0,"Otros","")))</f>
        <v/>
      </c>
      <c r="X857" s="24" t="str">
        <f aca="false">IF(E857="","",COUNTIFS($E$5:$E$1000,E857,$AB$5:$AB$1000,AB857,$C$5:$C$1000,"&lt;&gt;"&amp;C857))</f>
        <v/>
      </c>
      <c r="Y857" s="33"/>
      <c r="Z857" s="31"/>
      <c r="AA857" s="33"/>
      <c r="AB857" s="37" t="str">
        <f aca="false">IF(B857="","",YEAR(B857)*100+MONTH(B857))</f>
        <v/>
      </c>
      <c r="AC857" s="37" t="str">
        <f aca="false">IF(AND(E857&lt;&gt;"",E857=Cruce!$C$5),COUNTIF($E$5:E857,E857),"")</f>
        <v/>
      </c>
      <c r="AD857" s="37" t="str">
        <f aca="false">IF(E857="","",C857&amp;"|"&amp;Y857&amp;"|"&amp;IF(B857="","s/f",TEXT(B857,"yyyymmdd")))</f>
        <v/>
      </c>
      <c r="AE857" s="37" t="n">
        <f aca="false">IF(E857="",0,IF(COUNTIFS($E$5:E857,E857,$AD$5:AD857,AD857)=1,1,0))</f>
        <v>0</v>
      </c>
    </row>
    <row r="858" customFormat="false" ht="15" hidden="false" customHeight="true" outlineLevel="0" collapsed="false">
      <c r="A858" s="31"/>
      <c r="B858" s="30"/>
      <c r="C858" s="31"/>
      <c r="D858" s="31"/>
      <c r="E858" s="32"/>
      <c r="F858" s="32"/>
      <c r="G858" s="33"/>
      <c r="H858" s="31"/>
      <c r="I858" s="24" t="str">
        <f aca="false">IF(B858="","",YEAR(B858))</f>
        <v/>
      </c>
      <c r="J858" s="34" t="str">
        <f aca="false">IF(B858="","",IF(MONTH(B858)=1,"X",""))</f>
        <v/>
      </c>
      <c r="K858" s="34" t="str">
        <f aca="false">IF(B858="","",IF(MONTH(B858)=2,"X",""))</f>
        <v/>
      </c>
      <c r="L858" s="34" t="str">
        <f aca="false">IF(B858="","",IF(MONTH(B858)=3,"X",""))</f>
        <v/>
      </c>
      <c r="M858" s="34" t="str">
        <f aca="false">IF(B858="","",IF(MONTH(B858)=4,"X",""))</f>
        <v/>
      </c>
      <c r="N858" s="34" t="str">
        <f aca="false">IF(B858="","",IF(MONTH(B858)=5,"X",""))</f>
        <v/>
      </c>
      <c r="O858" s="34" t="str">
        <f aca="false">IF(B858="","",IF(MONTH(B858)=6,"X",""))</f>
        <v/>
      </c>
      <c r="P858" s="34" t="str">
        <f aca="false">IF(B858="","",IF(MONTH(B858)=7,"X",""))</f>
        <v/>
      </c>
      <c r="Q858" s="34" t="str">
        <f aca="false">IF(B858="","",IF(MONTH(B858)=8,"X",""))</f>
        <v/>
      </c>
      <c r="R858" s="34" t="str">
        <f aca="false">IF(B858="","",IF(MONTH(B858)=9,"X",""))</f>
        <v/>
      </c>
      <c r="S858" s="34" t="str">
        <f aca="false">IF(B858="","",IF(MONTH(B858)=10,"X",""))</f>
        <v/>
      </c>
      <c r="T858" s="34" t="str">
        <f aca="false">IF(B858="","",IF(MONTH(B858)=11,"X",""))</f>
        <v/>
      </c>
      <c r="U858" s="34" t="str">
        <f aca="false">IF(B858="","",IF(MONTH(B858)=12,"X",""))</f>
        <v/>
      </c>
      <c r="V858" s="24" t="str">
        <f aca="false">IF(E858="","",COUNTIF($E$5:$E$1000,E858))</f>
        <v/>
      </c>
      <c r="W858" s="35" t="str">
        <f aca="false">IF(E858="","",_xlfn.TEXTJOIN(" + ",TRUE(),IF(COUNTIFS($E$5:$E$1000,E858,$C$5:$C$1000,"Auditoría Interna")&gt;0,"Interna",""),IF(COUNTIFS($E$5:$E$1000,E858,$C$5:$C$1000,"Auditoría Externa")&gt;0,"Externa",""),IF(COUNTIFS($E$5:$E$1000,E858,$C$5:$C$1000,"SSF")&gt;0,"SSF",""),IF(COUNTIFS($E$5:$E$1000,E858,$C$5:$C$1000,"Comité de Supervisión")&gt;0,"Comité Sup.",""),IF(COUNTIFS($E$5:$E$1000,E858,$C$5:$C$1000,"Consejo de Administración")&gt;0,"Consejo",""),IF(COUNTIFS($E$5:$E$1000,E858,$C$5:$C$1000,"Otros")&gt;0,"Otros","")))</f>
        <v/>
      </c>
      <c r="X858" s="24" t="str">
        <f aca="false">IF(E858="","",COUNTIFS($E$5:$E$1000,E858,$AB$5:$AB$1000,AB858,$C$5:$C$1000,"&lt;&gt;"&amp;C858))</f>
        <v/>
      </c>
      <c r="Y858" s="33"/>
      <c r="Z858" s="31"/>
      <c r="AA858" s="33"/>
      <c r="AB858" s="37" t="str">
        <f aca="false">IF(B858="","",YEAR(B858)*100+MONTH(B858))</f>
        <v/>
      </c>
      <c r="AC858" s="37" t="str">
        <f aca="false">IF(AND(E858&lt;&gt;"",E858=Cruce!$C$5),COUNTIF($E$5:E858,E858),"")</f>
        <v/>
      </c>
      <c r="AD858" s="37" t="str">
        <f aca="false">IF(E858="","",C858&amp;"|"&amp;Y858&amp;"|"&amp;IF(B858="","s/f",TEXT(B858,"yyyymmdd")))</f>
        <v/>
      </c>
      <c r="AE858" s="37" t="n">
        <f aca="false">IF(E858="",0,IF(COUNTIFS($E$5:E858,E858,$AD$5:AD858,AD858)=1,1,0))</f>
        <v>0</v>
      </c>
    </row>
    <row r="859" customFormat="false" ht="15" hidden="false" customHeight="true" outlineLevel="0" collapsed="false">
      <c r="A859" s="31"/>
      <c r="B859" s="30"/>
      <c r="C859" s="31"/>
      <c r="D859" s="31"/>
      <c r="E859" s="32"/>
      <c r="F859" s="32"/>
      <c r="G859" s="33"/>
      <c r="H859" s="31"/>
      <c r="I859" s="24" t="str">
        <f aca="false">IF(B859="","",YEAR(B859))</f>
        <v/>
      </c>
      <c r="J859" s="34" t="str">
        <f aca="false">IF(B859="","",IF(MONTH(B859)=1,"X",""))</f>
        <v/>
      </c>
      <c r="K859" s="34" t="str">
        <f aca="false">IF(B859="","",IF(MONTH(B859)=2,"X",""))</f>
        <v/>
      </c>
      <c r="L859" s="34" t="str">
        <f aca="false">IF(B859="","",IF(MONTH(B859)=3,"X",""))</f>
        <v/>
      </c>
      <c r="M859" s="34" t="str">
        <f aca="false">IF(B859="","",IF(MONTH(B859)=4,"X",""))</f>
        <v/>
      </c>
      <c r="N859" s="34" t="str">
        <f aca="false">IF(B859="","",IF(MONTH(B859)=5,"X",""))</f>
        <v/>
      </c>
      <c r="O859" s="34" t="str">
        <f aca="false">IF(B859="","",IF(MONTH(B859)=6,"X",""))</f>
        <v/>
      </c>
      <c r="P859" s="34" t="str">
        <f aca="false">IF(B859="","",IF(MONTH(B859)=7,"X",""))</f>
        <v/>
      </c>
      <c r="Q859" s="34" t="str">
        <f aca="false">IF(B859="","",IF(MONTH(B859)=8,"X",""))</f>
        <v/>
      </c>
      <c r="R859" s="34" t="str">
        <f aca="false">IF(B859="","",IF(MONTH(B859)=9,"X",""))</f>
        <v/>
      </c>
      <c r="S859" s="34" t="str">
        <f aca="false">IF(B859="","",IF(MONTH(B859)=10,"X",""))</f>
        <v/>
      </c>
      <c r="T859" s="34" t="str">
        <f aca="false">IF(B859="","",IF(MONTH(B859)=11,"X",""))</f>
        <v/>
      </c>
      <c r="U859" s="34" t="str">
        <f aca="false">IF(B859="","",IF(MONTH(B859)=12,"X",""))</f>
        <v/>
      </c>
      <c r="V859" s="24" t="str">
        <f aca="false">IF(E859="","",COUNTIF($E$5:$E$1000,E859))</f>
        <v/>
      </c>
      <c r="W859" s="35" t="str">
        <f aca="false">IF(E859="","",_xlfn.TEXTJOIN(" + ",TRUE(),IF(COUNTIFS($E$5:$E$1000,E859,$C$5:$C$1000,"Auditoría Interna")&gt;0,"Interna",""),IF(COUNTIFS($E$5:$E$1000,E859,$C$5:$C$1000,"Auditoría Externa")&gt;0,"Externa",""),IF(COUNTIFS($E$5:$E$1000,E859,$C$5:$C$1000,"SSF")&gt;0,"SSF",""),IF(COUNTIFS($E$5:$E$1000,E859,$C$5:$C$1000,"Comité de Supervisión")&gt;0,"Comité Sup.",""),IF(COUNTIFS($E$5:$E$1000,E859,$C$5:$C$1000,"Consejo de Administración")&gt;0,"Consejo",""),IF(COUNTIFS($E$5:$E$1000,E859,$C$5:$C$1000,"Otros")&gt;0,"Otros","")))</f>
        <v/>
      </c>
      <c r="X859" s="24" t="str">
        <f aca="false">IF(E859="","",COUNTIFS($E$5:$E$1000,E859,$AB$5:$AB$1000,AB859,$C$5:$C$1000,"&lt;&gt;"&amp;C859))</f>
        <v/>
      </c>
      <c r="Y859" s="33"/>
      <c r="Z859" s="31"/>
      <c r="AA859" s="33"/>
      <c r="AB859" s="37" t="str">
        <f aca="false">IF(B859="","",YEAR(B859)*100+MONTH(B859))</f>
        <v/>
      </c>
      <c r="AC859" s="37" t="str">
        <f aca="false">IF(AND(E859&lt;&gt;"",E859=Cruce!$C$5),COUNTIF($E$5:E859,E859),"")</f>
        <v/>
      </c>
      <c r="AD859" s="37" t="str">
        <f aca="false">IF(E859="","",C859&amp;"|"&amp;Y859&amp;"|"&amp;IF(B859="","s/f",TEXT(B859,"yyyymmdd")))</f>
        <v/>
      </c>
      <c r="AE859" s="37" t="n">
        <f aca="false">IF(E859="",0,IF(COUNTIFS($E$5:E859,E859,$AD$5:AD859,AD859)=1,1,0))</f>
        <v>0</v>
      </c>
    </row>
    <row r="860" customFormat="false" ht="15" hidden="false" customHeight="true" outlineLevel="0" collapsed="false">
      <c r="A860" s="31"/>
      <c r="B860" s="30"/>
      <c r="C860" s="31"/>
      <c r="D860" s="31"/>
      <c r="E860" s="32"/>
      <c r="F860" s="32"/>
      <c r="G860" s="33"/>
      <c r="H860" s="31"/>
      <c r="I860" s="24" t="str">
        <f aca="false">IF(B860="","",YEAR(B860))</f>
        <v/>
      </c>
      <c r="J860" s="34" t="str">
        <f aca="false">IF(B860="","",IF(MONTH(B860)=1,"X",""))</f>
        <v/>
      </c>
      <c r="K860" s="34" t="str">
        <f aca="false">IF(B860="","",IF(MONTH(B860)=2,"X",""))</f>
        <v/>
      </c>
      <c r="L860" s="34" t="str">
        <f aca="false">IF(B860="","",IF(MONTH(B860)=3,"X",""))</f>
        <v/>
      </c>
      <c r="M860" s="34" t="str">
        <f aca="false">IF(B860="","",IF(MONTH(B860)=4,"X",""))</f>
        <v/>
      </c>
      <c r="N860" s="34" t="str">
        <f aca="false">IF(B860="","",IF(MONTH(B860)=5,"X",""))</f>
        <v/>
      </c>
      <c r="O860" s="34" t="str">
        <f aca="false">IF(B860="","",IF(MONTH(B860)=6,"X",""))</f>
        <v/>
      </c>
      <c r="P860" s="34" t="str">
        <f aca="false">IF(B860="","",IF(MONTH(B860)=7,"X",""))</f>
        <v/>
      </c>
      <c r="Q860" s="34" t="str">
        <f aca="false">IF(B860="","",IF(MONTH(B860)=8,"X",""))</f>
        <v/>
      </c>
      <c r="R860" s="34" t="str">
        <f aca="false">IF(B860="","",IF(MONTH(B860)=9,"X",""))</f>
        <v/>
      </c>
      <c r="S860" s="34" t="str">
        <f aca="false">IF(B860="","",IF(MONTH(B860)=10,"X",""))</f>
        <v/>
      </c>
      <c r="T860" s="34" t="str">
        <f aca="false">IF(B860="","",IF(MONTH(B860)=11,"X",""))</f>
        <v/>
      </c>
      <c r="U860" s="34" t="str">
        <f aca="false">IF(B860="","",IF(MONTH(B860)=12,"X",""))</f>
        <v/>
      </c>
      <c r="V860" s="24" t="str">
        <f aca="false">IF(E860="","",COUNTIF($E$5:$E$1000,E860))</f>
        <v/>
      </c>
      <c r="W860" s="35" t="str">
        <f aca="false">IF(E860="","",_xlfn.TEXTJOIN(" + ",TRUE(),IF(COUNTIFS($E$5:$E$1000,E860,$C$5:$C$1000,"Auditoría Interna")&gt;0,"Interna",""),IF(COUNTIFS($E$5:$E$1000,E860,$C$5:$C$1000,"Auditoría Externa")&gt;0,"Externa",""),IF(COUNTIFS($E$5:$E$1000,E860,$C$5:$C$1000,"SSF")&gt;0,"SSF",""),IF(COUNTIFS($E$5:$E$1000,E860,$C$5:$C$1000,"Comité de Supervisión")&gt;0,"Comité Sup.",""),IF(COUNTIFS($E$5:$E$1000,E860,$C$5:$C$1000,"Consejo de Administración")&gt;0,"Consejo",""),IF(COUNTIFS($E$5:$E$1000,E860,$C$5:$C$1000,"Otros")&gt;0,"Otros","")))</f>
        <v/>
      </c>
      <c r="X860" s="24" t="str">
        <f aca="false">IF(E860="","",COUNTIFS($E$5:$E$1000,E860,$AB$5:$AB$1000,AB860,$C$5:$C$1000,"&lt;&gt;"&amp;C860))</f>
        <v/>
      </c>
      <c r="Y860" s="33"/>
      <c r="Z860" s="31"/>
      <c r="AA860" s="33"/>
      <c r="AB860" s="37" t="str">
        <f aca="false">IF(B860="","",YEAR(B860)*100+MONTH(B860))</f>
        <v/>
      </c>
      <c r="AC860" s="37" t="str">
        <f aca="false">IF(AND(E860&lt;&gt;"",E860=Cruce!$C$5),COUNTIF($E$5:E860,E860),"")</f>
        <v/>
      </c>
      <c r="AD860" s="37" t="str">
        <f aca="false">IF(E860="","",C860&amp;"|"&amp;Y860&amp;"|"&amp;IF(B860="","s/f",TEXT(B860,"yyyymmdd")))</f>
        <v/>
      </c>
      <c r="AE860" s="37" t="n">
        <f aca="false">IF(E860="",0,IF(COUNTIFS($E$5:E860,E860,$AD$5:AD860,AD860)=1,1,0))</f>
        <v>0</v>
      </c>
    </row>
    <row r="861" customFormat="false" ht="15" hidden="false" customHeight="true" outlineLevel="0" collapsed="false">
      <c r="A861" s="31"/>
      <c r="B861" s="30"/>
      <c r="C861" s="31"/>
      <c r="D861" s="31"/>
      <c r="E861" s="32"/>
      <c r="F861" s="32"/>
      <c r="G861" s="33"/>
      <c r="H861" s="31"/>
      <c r="I861" s="24" t="str">
        <f aca="false">IF(B861="","",YEAR(B861))</f>
        <v/>
      </c>
      <c r="J861" s="34" t="str">
        <f aca="false">IF(B861="","",IF(MONTH(B861)=1,"X",""))</f>
        <v/>
      </c>
      <c r="K861" s="34" t="str">
        <f aca="false">IF(B861="","",IF(MONTH(B861)=2,"X",""))</f>
        <v/>
      </c>
      <c r="L861" s="34" t="str">
        <f aca="false">IF(B861="","",IF(MONTH(B861)=3,"X",""))</f>
        <v/>
      </c>
      <c r="M861" s="34" t="str">
        <f aca="false">IF(B861="","",IF(MONTH(B861)=4,"X",""))</f>
        <v/>
      </c>
      <c r="N861" s="34" t="str">
        <f aca="false">IF(B861="","",IF(MONTH(B861)=5,"X",""))</f>
        <v/>
      </c>
      <c r="O861" s="34" t="str">
        <f aca="false">IF(B861="","",IF(MONTH(B861)=6,"X",""))</f>
        <v/>
      </c>
      <c r="P861" s="34" t="str">
        <f aca="false">IF(B861="","",IF(MONTH(B861)=7,"X",""))</f>
        <v/>
      </c>
      <c r="Q861" s="34" t="str">
        <f aca="false">IF(B861="","",IF(MONTH(B861)=8,"X",""))</f>
        <v/>
      </c>
      <c r="R861" s="34" t="str">
        <f aca="false">IF(B861="","",IF(MONTH(B861)=9,"X",""))</f>
        <v/>
      </c>
      <c r="S861" s="34" t="str">
        <f aca="false">IF(B861="","",IF(MONTH(B861)=10,"X",""))</f>
        <v/>
      </c>
      <c r="T861" s="34" t="str">
        <f aca="false">IF(B861="","",IF(MONTH(B861)=11,"X",""))</f>
        <v/>
      </c>
      <c r="U861" s="34" t="str">
        <f aca="false">IF(B861="","",IF(MONTH(B861)=12,"X",""))</f>
        <v/>
      </c>
      <c r="V861" s="24" t="str">
        <f aca="false">IF(E861="","",COUNTIF($E$5:$E$1000,E861))</f>
        <v/>
      </c>
      <c r="W861" s="35" t="str">
        <f aca="false">IF(E861="","",_xlfn.TEXTJOIN(" + ",TRUE(),IF(COUNTIFS($E$5:$E$1000,E861,$C$5:$C$1000,"Auditoría Interna")&gt;0,"Interna",""),IF(COUNTIFS($E$5:$E$1000,E861,$C$5:$C$1000,"Auditoría Externa")&gt;0,"Externa",""),IF(COUNTIFS($E$5:$E$1000,E861,$C$5:$C$1000,"SSF")&gt;0,"SSF",""),IF(COUNTIFS($E$5:$E$1000,E861,$C$5:$C$1000,"Comité de Supervisión")&gt;0,"Comité Sup.",""),IF(COUNTIFS($E$5:$E$1000,E861,$C$5:$C$1000,"Consejo de Administración")&gt;0,"Consejo",""),IF(COUNTIFS($E$5:$E$1000,E861,$C$5:$C$1000,"Otros")&gt;0,"Otros","")))</f>
        <v/>
      </c>
      <c r="X861" s="24" t="str">
        <f aca="false">IF(E861="","",COUNTIFS($E$5:$E$1000,E861,$AB$5:$AB$1000,AB861,$C$5:$C$1000,"&lt;&gt;"&amp;C861))</f>
        <v/>
      </c>
      <c r="Y861" s="33"/>
      <c r="Z861" s="31"/>
      <c r="AA861" s="33"/>
      <c r="AB861" s="37" t="str">
        <f aca="false">IF(B861="","",YEAR(B861)*100+MONTH(B861))</f>
        <v/>
      </c>
      <c r="AC861" s="37" t="str">
        <f aca="false">IF(AND(E861&lt;&gt;"",E861=Cruce!$C$5),COUNTIF($E$5:E861,E861),"")</f>
        <v/>
      </c>
      <c r="AD861" s="37" t="str">
        <f aca="false">IF(E861="","",C861&amp;"|"&amp;Y861&amp;"|"&amp;IF(B861="","s/f",TEXT(B861,"yyyymmdd")))</f>
        <v/>
      </c>
      <c r="AE861" s="37" t="n">
        <f aca="false">IF(E861="",0,IF(COUNTIFS($E$5:E861,E861,$AD$5:AD861,AD861)=1,1,0))</f>
        <v>0</v>
      </c>
    </row>
    <row r="862" customFormat="false" ht="15" hidden="false" customHeight="true" outlineLevel="0" collapsed="false">
      <c r="A862" s="31"/>
      <c r="B862" s="30"/>
      <c r="C862" s="31"/>
      <c r="D862" s="31"/>
      <c r="E862" s="32"/>
      <c r="F862" s="32"/>
      <c r="G862" s="33"/>
      <c r="H862" s="31"/>
      <c r="I862" s="24" t="str">
        <f aca="false">IF(B862="","",YEAR(B862))</f>
        <v/>
      </c>
      <c r="J862" s="34" t="str">
        <f aca="false">IF(B862="","",IF(MONTH(B862)=1,"X",""))</f>
        <v/>
      </c>
      <c r="K862" s="34" t="str">
        <f aca="false">IF(B862="","",IF(MONTH(B862)=2,"X",""))</f>
        <v/>
      </c>
      <c r="L862" s="34" t="str">
        <f aca="false">IF(B862="","",IF(MONTH(B862)=3,"X",""))</f>
        <v/>
      </c>
      <c r="M862" s="34" t="str">
        <f aca="false">IF(B862="","",IF(MONTH(B862)=4,"X",""))</f>
        <v/>
      </c>
      <c r="N862" s="34" t="str">
        <f aca="false">IF(B862="","",IF(MONTH(B862)=5,"X",""))</f>
        <v/>
      </c>
      <c r="O862" s="34" t="str">
        <f aca="false">IF(B862="","",IF(MONTH(B862)=6,"X",""))</f>
        <v/>
      </c>
      <c r="P862" s="34" t="str">
        <f aca="false">IF(B862="","",IF(MONTH(B862)=7,"X",""))</f>
        <v/>
      </c>
      <c r="Q862" s="34" t="str">
        <f aca="false">IF(B862="","",IF(MONTH(B862)=8,"X",""))</f>
        <v/>
      </c>
      <c r="R862" s="34" t="str">
        <f aca="false">IF(B862="","",IF(MONTH(B862)=9,"X",""))</f>
        <v/>
      </c>
      <c r="S862" s="34" t="str">
        <f aca="false">IF(B862="","",IF(MONTH(B862)=10,"X",""))</f>
        <v/>
      </c>
      <c r="T862" s="34" t="str">
        <f aca="false">IF(B862="","",IF(MONTH(B862)=11,"X",""))</f>
        <v/>
      </c>
      <c r="U862" s="34" t="str">
        <f aca="false">IF(B862="","",IF(MONTH(B862)=12,"X",""))</f>
        <v/>
      </c>
      <c r="V862" s="24" t="str">
        <f aca="false">IF(E862="","",COUNTIF($E$5:$E$1000,E862))</f>
        <v/>
      </c>
      <c r="W862" s="35" t="str">
        <f aca="false">IF(E862="","",_xlfn.TEXTJOIN(" + ",TRUE(),IF(COUNTIFS($E$5:$E$1000,E862,$C$5:$C$1000,"Auditoría Interna")&gt;0,"Interna",""),IF(COUNTIFS($E$5:$E$1000,E862,$C$5:$C$1000,"Auditoría Externa")&gt;0,"Externa",""),IF(COUNTIFS($E$5:$E$1000,E862,$C$5:$C$1000,"SSF")&gt;0,"SSF",""),IF(COUNTIFS($E$5:$E$1000,E862,$C$5:$C$1000,"Comité de Supervisión")&gt;0,"Comité Sup.",""),IF(COUNTIFS($E$5:$E$1000,E862,$C$5:$C$1000,"Consejo de Administración")&gt;0,"Consejo",""),IF(COUNTIFS($E$5:$E$1000,E862,$C$5:$C$1000,"Otros")&gt;0,"Otros","")))</f>
        <v/>
      </c>
      <c r="X862" s="24" t="str">
        <f aca="false">IF(E862="","",COUNTIFS($E$5:$E$1000,E862,$AB$5:$AB$1000,AB862,$C$5:$C$1000,"&lt;&gt;"&amp;C862))</f>
        <v/>
      </c>
      <c r="Y862" s="33"/>
      <c r="Z862" s="31"/>
      <c r="AA862" s="33"/>
      <c r="AB862" s="37" t="str">
        <f aca="false">IF(B862="","",YEAR(B862)*100+MONTH(B862))</f>
        <v/>
      </c>
      <c r="AC862" s="37" t="str">
        <f aca="false">IF(AND(E862&lt;&gt;"",E862=Cruce!$C$5),COUNTIF($E$5:E862,E862),"")</f>
        <v/>
      </c>
      <c r="AD862" s="37" t="str">
        <f aca="false">IF(E862="","",C862&amp;"|"&amp;Y862&amp;"|"&amp;IF(B862="","s/f",TEXT(B862,"yyyymmdd")))</f>
        <v/>
      </c>
      <c r="AE862" s="37" t="n">
        <f aca="false">IF(E862="",0,IF(COUNTIFS($E$5:E862,E862,$AD$5:AD862,AD862)=1,1,0))</f>
        <v>0</v>
      </c>
    </row>
    <row r="863" customFormat="false" ht="15" hidden="false" customHeight="true" outlineLevel="0" collapsed="false">
      <c r="A863" s="31"/>
      <c r="B863" s="30"/>
      <c r="C863" s="31"/>
      <c r="D863" s="31"/>
      <c r="E863" s="32"/>
      <c r="F863" s="32"/>
      <c r="G863" s="33"/>
      <c r="H863" s="31"/>
      <c r="I863" s="24" t="str">
        <f aca="false">IF(B863="","",YEAR(B863))</f>
        <v/>
      </c>
      <c r="J863" s="34" t="str">
        <f aca="false">IF(B863="","",IF(MONTH(B863)=1,"X",""))</f>
        <v/>
      </c>
      <c r="K863" s="34" t="str">
        <f aca="false">IF(B863="","",IF(MONTH(B863)=2,"X",""))</f>
        <v/>
      </c>
      <c r="L863" s="34" t="str">
        <f aca="false">IF(B863="","",IF(MONTH(B863)=3,"X",""))</f>
        <v/>
      </c>
      <c r="M863" s="34" t="str">
        <f aca="false">IF(B863="","",IF(MONTH(B863)=4,"X",""))</f>
        <v/>
      </c>
      <c r="N863" s="34" t="str">
        <f aca="false">IF(B863="","",IF(MONTH(B863)=5,"X",""))</f>
        <v/>
      </c>
      <c r="O863" s="34" t="str">
        <f aca="false">IF(B863="","",IF(MONTH(B863)=6,"X",""))</f>
        <v/>
      </c>
      <c r="P863" s="34" t="str">
        <f aca="false">IF(B863="","",IF(MONTH(B863)=7,"X",""))</f>
        <v/>
      </c>
      <c r="Q863" s="34" t="str">
        <f aca="false">IF(B863="","",IF(MONTH(B863)=8,"X",""))</f>
        <v/>
      </c>
      <c r="R863" s="34" t="str">
        <f aca="false">IF(B863="","",IF(MONTH(B863)=9,"X",""))</f>
        <v/>
      </c>
      <c r="S863" s="34" t="str">
        <f aca="false">IF(B863="","",IF(MONTH(B863)=10,"X",""))</f>
        <v/>
      </c>
      <c r="T863" s="34" t="str">
        <f aca="false">IF(B863="","",IF(MONTH(B863)=11,"X",""))</f>
        <v/>
      </c>
      <c r="U863" s="34" t="str">
        <f aca="false">IF(B863="","",IF(MONTH(B863)=12,"X",""))</f>
        <v/>
      </c>
      <c r="V863" s="24" t="str">
        <f aca="false">IF(E863="","",COUNTIF($E$5:$E$1000,E863))</f>
        <v/>
      </c>
      <c r="W863" s="35" t="str">
        <f aca="false">IF(E863="","",_xlfn.TEXTJOIN(" + ",TRUE(),IF(COUNTIFS($E$5:$E$1000,E863,$C$5:$C$1000,"Auditoría Interna")&gt;0,"Interna",""),IF(COUNTIFS($E$5:$E$1000,E863,$C$5:$C$1000,"Auditoría Externa")&gt;0,"Externa",""),IF(COUNTIFS($E$5:$E$1000,E863,$C$5:$C$1000,"SSF")&gt;0,"SSF",""),IF(COUNTIFS($E$5:$E$1000,E863,$C$5:$C$1000,"Comité de Supervisión")&gt;0,"Comité Sup.",""),IF(COUNTIFS($E$5:$E$1000,E863,$C$5:$C$1000,"Consejo de Administración")&gt;0,"Consejo",""),IF(COUNTIFS($E$5:$E$1000,E863,$C$5:$C$1000,"Otros")&gt;0,"Otros","")))</f>
        <v/>
      </c>
      <c r="X863" s="24" t="str">
        <f aca="false">IF(E863="","",COUNTIFS($E$5:$E$1000,E863,$AB$5:$AB$1000,AB863,$C$5:$C$1000,"&lt;&gt;"&amp;C863))</f>
        <v/>
      </c>
      <c r="Y863" s="33"/>
      <c r="Z863" s="31"/>
      <c r="AA863" s="33"/>
      <c r="AB863" s="37" t="str">
        <f aca="false">IF(B863="","",YEAR(B863)*100+MONTH(B863))</f>
        <v/>
      </c>
      <c r="AC863" s="37" t="str">
        <f aca="false">IF(AND(E863&lt;&gt;"",E863=Cruce!$C$5),COUNTIF($E$5:E863,E863),"")</f>
        <v/>
      </c>
      <c r="AD863" s="37" t="str">
        <f aca="false">IF(E863="","",C863&amp;"|"&amp;Y863&amp;"|"&amp;IF(B863="","s/f",TEXT(B863,"yyyymmdd")))</f>
        <v/>
      </c>
      <c r="AE863" s="37" t="n">
        <f aca="false">IF(E863="",0,IF(COUNTIFS($E$5:E863,E863,$AD$5:AD863,AD863)=1,1,0))</f>
        <v>0</v>
      </c>
    </row>
    <row r="864" customFormat="false" ht="15" hidden="false" customHeight="true" outlineLevel="0" collapsed="false">
      <c r="A864" s="31"/>
      <c r="B864" s="30"/>
      <c r="C864" s="31"/>
      <c r="D864" s="31"/>
      <c r="E864" s="32"/>
      <c r="F864" s="32"/>
      <c r="G864" s="33"/>
      <c r="H864" s="31"/>
      <c r="I864" s="24" t="str">
        <f aca="false">IF(B864="","",YEAR(B864))</f>
        <v/>
      </c>
      <c r="J864" s="34" t="str">
        <f aca="false">IF(B864="","",IF(MONTH(B864)=1,"X",""))</f>
        <v/>
      </c>
      <c r="K864" s="34" t="str">
        <f aca="false">IF(B864="","",IF(MONTH(B864)=2,"X",""))</f>
        <v/>
      </c>
      <c r="L864" s="34" t="str">
        <f aca="false">IF(B864="","",IF(MONTH(B864)=3,"X",""))</f>
        <v/>
      </c>
      <c r="M864" s="34" t="str">
        <f aca="false">IF(B864="","",IF(MONTH(B864)=4,"X",""))</f>
        <v/>
      </c>
      <c r="N864" s="34" t="str">
        <f aca="false">IF(B864="","",IF(MONTH(B864)=5,"X",""))</f>
        <v/>
      </c>
      <c r="O864" s="34" t="str">
        <f aca="false">IF(B864="","",IF(MONTH(B864)=6,"X",""))</f>
        <v/>
      </c>
      <c r="P864" s="34" t="str">
        <f aca="false">IF(B864="","",IF(MONTH(B864)=7,"X",""))</f>
        <v/>
      </c>
      <c r="Q864" s="34" t="str">
        <f aca="false">IF(B864="","",IF(MONTH(B864)=8,"X",""))</f>
        <v/>
      </c>
      <c r="R864" s="34" t="str">
        <f aca="false">IF(B864="","",IF(MONTH(B864)=9,"X",""))</f>
        <v/>
      </c>
      <c r="S864" s="34" t="str">
        <f aca="false">IF(B864="","",IF(MONTH(B864)=10,"X",""))</f>
        <v/>
      </c>
      <c r="T864" s="34" t="str">
        <f aca="false">IF(B864="","",IF(MONTH(B864)=11,"X",""))</f>
        <v/>
      </c>
      <c r="U864" s="34" t="str">
        <f aca="false">IF(B864="","",IF(MONTH(B864)=12,"X",""))</f>
        <v/>
      </c>
      <c r="V864" s="24" t="str">
        <f aca="false">IF(E864="","",COUNTIF($E$5:$E$1000,E864))</f>
        <v/>
      </c>
      <c r="W864" s="35" t="str">
        <f aca="false">IF(E864="","",_xlfn.TEXTJOIN(" + ",TRUE(),IF(COUNTIFS($E$5:$E$1000,E864,$C$5:$C$1000,"Auditoría Interna")&gt;0,"Interna",""),IF(COUNTIFS($E$5:$E$1000,E864,$C$5:$C$1000,"Auditoría Externa")&gt;0,"Externa",""),IF(COUNTIFS($E$5:$E$1000,E864,$C$5:$C$1000,"SSF")&gt;0,"SSF",""),IF(COUNTIFS($E$5:$E$1000,E864,$C$5:$C$1000,"Comité de Supervisión")&gt;0,"Comité Sup.",""),IF(COUNTIFS($E$5:$E$1000,E864,$C$5:$C$1000,"Consejo de Administración")&gt;0,"Consejo",""),IF(COUNTIFS($E$5:$E$1000,E864,$C$5:$C$1000,"Otros")&gt;0,"Otros","")))</f>
        <v/>
      </c>
      <c r="X864" s="24" t="str">
        <f aca="false">IF(E864="","",COUNTIFS($E$5:$E$1000,E864,$AB$5:$AB$1000,AB864,$C$5:$C$1000,"&lt;&gt;"&amp;C864))</f>
        <v/>
      </c>
      <c r="Y864" s="33"/>
      <c r="Z864" s="31"/>
      <c r="AA864" s="33"/>
      <c r="AB864" s="37" t="str">
        <f aca="false">IF(B864="","",YEAR(B864)*100+MONTH(B864))</f>
        <v/>
      </c>
      <c r="AC864" s="37" t="str">
        <f aca="false">IF(AND(E864&lt;&gt;"",E864=Cruce!$C$5),COUNTIF($E$5:E864,E864),"")</f>
        <v/>
      </c>
      <c r="AD864" s="37" t="str">
        <f aca="false">IF(E864="","",C864&amp;"|"&amp;Y864&amp;"|"&amp;IF(B864="","s/f",TEXT(B864,"yyyymmdd")))</f>
        <v/>
      </c>
      <c r="AE864" s="37" t="n">
        <f aca="false">IF(E864="",0,IF(COUNTIFS($E$5:E864,E864,$AD$5:AD864,AD864)=1,1,0))</f>
        <v>0</v>
      </c>
    </row>
    <row r="865" customFormat="false" ht="15" hidden="false" customHeight="true" outlineLevel="0" collapsed="false">
      <c r="A865" s="31"/>
      <c r="B865" s="30"/>
      <c r="C865" s="31"/>
      <c r="D865" s="31"/>
      <c r="E865" s="32"/>
      <c r="F865" s="32"/>
      <c r="G865" s="33"/>
      <c r="H865" s="31"/>
      <c r="I865" s="24" t="str">
        <f aca="false">IF(B865="","",YEAR(B865))</f>
        <v/>
      </c>
      <c r="J865" s="34" t="str">
        <f aca="false">IF(B865="","",IF(MONTH(B865)=1,"X",""))</f>
        <v/>
      </c>
      <c r="K865" s="34" t="str">
        <f aca="false">IF(B865="","",IF(MONTH(B865)=2,"X",""))</f>
        <v/>
      </c>
      <c r="L865" s="34" t="str">
        <f aca="false">IF(B865="","",IF(MONTH(B865)=3,"X",""))</f>
        <v/>
      </c>
      <c r="M865" s="34" t="str">
        <f aca="false">IF(B865="","",IF(MONTH(B865)=4,"X",""))</f>
        <v/>
      </c>
      <c r="N865" s="34" t="str">
        <f aca="false">IF(B865="","",IF(MONTH(B865)=5,"X",""))</f>
        <v/>
      </c>
      <c r="O865" s="34" t="str">
        <f aca="false">IF(B865="","",IF(MONTH(B865)=6,"X",""))</f>
        <v/>
      </c>
      <c r="P865" s="34" t="str">
        <f aca="false">IF(B865="","",IF(MONTH(B865)=7,"X",""))</f>
        <v/>
      </c>
      <c r="Q865" s="34" t="str">
        <f aca="false">IF(B865="","",IF(MONTH(B865)=8,"X",""))</f>
        <v/>
      </c>
      <c r="R865" s="34" t="str">
        <f aca="false">IF(B865="","",IF(MONTH(B865)=9,"X",""))</f>
        <v/>
      </c>
      <c r="S865" s="34" t="str">
        <f aca="false">IF(B865="","",IF(MONTH(B865)=10,"X",""))</f>
        <v/>
      </c>
      <c r="T865" s="34" t="str">
        <f aca="false">IF(B865="","",IF(MONTH(B865)=11,"X",""))</f>
        <v/>
      </c>
      <c r="U865" s="34" t="str">
        <f aca="false">IF(B865="","",IF(MONTH(B865)=12,"X",""))</f>
        <v/>
      </c>
      <c r="V865" s="24" t="str">
        <f aca="false">IF(E865="","",COUNTIF($E$5:$E$1000,E865))</f>
        <v/>
      </c>
      <c r="W865" s="35" t="str">
        <f aca="false">IF(E865="","",_xlfn.TEXTJOIN(" + ",TRUE(),IF(COUNTIFS($E$5:$E$1000,E865,$C$5:$C$1000,"Auditoría Interna")&gt;0,"Interna",""),IF(COUNTIFS($E$5:$E$1000,E865,$C$5:$C$1000,"Auditoría Externa")&gt;0,"Externa",""),IF(COUNTIFS($E$5:$E$1000,E865,$C$5:$C$1000,"SSF")&gt;0,"SSF",""),IF(COUNTIFS($E$5:$E$1000,E865,$C$5:$C$1000,"Comité de Supervisión")&gt;0,"Comité Sup.",""),IF(COUNTIFS($E$5:$E$1000,E865,$C$5:$C$1000,"Consejo de Administración")&gt;0,"Consejo",""),IF(COUNTIFS($E$5:$E$1000,E865,$C$5:$C$1000,"Otros")&gt;0,"Otros","")))</f>
        <v/>
      </c>
      <c r="X865" s="24" t="str">
        <f aca="false">IF(E865="","",COUNTIFS($E$5:$E$1000,E865,$AB$5:$AB$1000,AB865,$C$5:$C$1000,"&lt;&gt;"&amp;C865))</f>
        <v/>
      </c>
      <c r="Y865" s="33"/>
      <c r="Z865" s="31"/>
      <c r="AA865" s="33"/>
      <c r="AB865" s="37" t="str">
        <f aca="false">IF(B865="","",YEAR(B865)*100+MONTH(B865))</f>
        <v/>
      </c>
      <c r="AC865" s="37" t="str">
        <f aca="false">IF(AND(E865&lt;&gt;"",E865=Cruce!$C$5),COUNTIF($E$5:E865,E865),"")</f>
        <v/>
      </c>
      <c r="AD865" s="37" t="str">
        <f aca="false">IF(E865="","",C865&amp;"|"&amp;Y865&amp;"|"&amp;IF(B865="","s/f",TEXT(B865,"yyyymmdd")))</f>
        <v/>
      </c>
      <c r="AE865" s="37" t="n">
        <f aca="false">IF(E865="",0,IF(COUNTIFS($E$5:E865,E865,$AD$5:AD865,AD865)=1,1,0))</f>
        <v>0</v>
      </c>
    </row>
    <row r="866" customFormat="false" ht="15" hidden="false" customHeight="true" outlineLevel="0" collapsed="false">
      <c r="A866" s="31"/>
      <c r="B866" s="30"/>
      <c r="C866" s="31"/>
      <c r="D866" s="31"/>
      <c r="E866" s="32"/>
      <c r="F866" s="32"/>
      <c r="G866" s="33"/>
      <c r="H866" s="31"/>
      <c r="I866" s="24" t="str">
        <f aca="false">IF(B866="","",YEAR(B866))</f>
        <v/>
      </c>
      <c r="J866" s="34" t="str">
        <f aca="false">IF(B866="","",IF(MONTH(B866)=1,"X",""))</f>
        <v/>
      </c>
      <c r="K866" s="34" t="str">
        <f aca="false">IF(B866="","",IF(MONTH(B866)=2,"X",""))</f>
        <v/>
      </c>
      <c r="L866" s="34" t="str">
        <f aca="false">IF(B866="","",IF(MONTH(B866)=3,"X",""))</f>
        <v/>
      </c>
      <c r="M866" s="34" t="str">
        <f aca="false">IF(B866="","",IF(MONTH(B866)=4,"X",""))</f>
        <v/>
      </c>
      <c r="N866" s="34" t="str">
        <f aca="false">IF(B866="","",IF(MONTH(B866)=5,"X",""))</f>
        <v/>
      </c>
      <c r="O866" s="34" t="str">
        <f aca="false">IF(B866="","",IF(MONTH(B866)=6,"X",""))</f>
        <v/>
      </c>
      <c r="P866" s="34" t="str">
        <f aca="false">IF(B866="","",IF(MONTH(B866)=7,"X",""))</f>
        <v/>
      </c>
      <c r="Q866" s="34" t="str">
        <f aca="false">IF(B866="","",IF(MONTH(B866)=8,"X",""))</f>
        <v/>
      </c>
      <c r="R866" s="34" t="str">
        <f aca="false">IF(B866="","",IF(MONTH(B866)=9,"X",""))</f>
        <v/>
      </c>
      <c r="S866" s="34" t="str">
        <f aca="false">IF(B866="","",IF(MONTH(B866)=10,"X",""))</f>
        <v/>
      </c>
      <c r="T866" s="34" t="str">
        <f aca="false">IF(B866="","",IF(MONTH(B866)=11,"X",""))</f>
        <v/>
      </c>
      <c r="U866" s="34" t="str">
        <f aca="false">IF(B866="","",IF(MONTH(B866)=12,"X",""))</f>
        <v/>
      </c>
      <c r="V866" s="24" t="str">
        <f aca="false">IF(E866="","",COUNTIF($E$5:$E$1000,E866))</f>
        <v/>
      </c>
      <c r="W866" s="35" t="str">
        <f aca="false">IF(E866="","",_xlfn.TEXTJOIN(" + ",TRUE(),IF(COUNTIFS($E$5:$E$1000,E866,$C$5:$C$1000,"Auditoría Interna")&gt;0,"Interna",""),IF(COUNTIFS($E$5:$E$1000,E866,$C$5:$C$1000,"Auditoría Externa")&gt;0,"Externa",""),IF(COUNTIFS($E$5:$E$1000,E866,$C$5:$C$1000,"SSF")&gt;0,"SSF",""),IF(COUNTIFS($E$5:$E$1000,E866,$C$5:$C$1000,"Comité de Supervisión")&gt;0,"Comité Sup.",""),IF(COUNTIFS($E$5:$E$1000,E866,$C$5:$C$1000,"Consejo de Administración")&gt;0,"Consejo",""),IF(COUNTIFS($E$5:$E$1000,E866,$C$5:$C$1000,"Otros")&gt;0,"Otros","")))</f>
        <v/>
      </c>
      <c r="X866" s="24" t="str">
        <f aca="false">IF(E866="","",COUNTIFS($E$5:$E$1000,E866,$AB$5:$AB$1000,AB866,$C$5:$C$1000,"&lt;&gt;"&amp;C866))</f>
        <v/>
      </c>
      <c r="Y866" s="33"/>
      <c r="Z866" s="31"/>
      <c r="AA866" s="33"/>
      <c r="AB866" s="37" t="str">
        <f aca="false">IF(B866="","",YEAR(B866)*100+MONTH(B866))</f>
        <v/>
      </c>
      <c r="AC866" s="37" t="str">
        <f aca="false">IF(AND(E866&lt;&gt;"",E866=Cruce!$C$5),COUNTIF($E$5:E866,E866),"")</f>
        <v/>
      </c>
      <c r="AD866" s="37" t="str">
        <f aca="false">IF(E866="","",C866&amp;"|"&amp;Y866&amp;"|"&amp;IF(B866="","s/f",TEXT(B866,"yyyymmdd")))</f>
        <v/>
      </c>
      <c r="AE866" s="37" t="n">
        <f aca="false">IF(E866="",0,IF(COUNTIFS($E$5:E866,E866,$AD$5:AD866,AD866)=1,1,0))</f>
        <v>0</v>
      </c>
    </row>
    <row r="867" customFormat="false" ht="15" hidden="false" customHeight="true" outlineLevel="0" collapsed="false">
      <c r="A867" s="31"/>
      <c r="B867" s="30"/>
      <c r="C867" s="31"/>
      <c r="D867" s="31"/>
      <c r="E867" s="32"/>
      <c r="F867" s="32"/>
      <c r="G867" s="33"/>
      <c r="H867" s="31"/>
      <c r="I867" s="24" t="str">
        <f aca="false">IF(B867="","",YEAR(B867))</f>
        <v/>
      </c>
      <c r="J867" s="34" t="str">
        <f aca="false">IF(B867="","",IF(MONTH(B867)=1,"X",""))</f>
        <v/>
      </c>
      <c r="K867" s="34" t="str">
        <f aca="false">IF(B867="","",IF(MONTH(B867)=2,"X",""))</f>
        <v/>
      </c>
      <c r="L867" s="34" t="str">
        <f aca="false">IF(B867="","",IF(MONTH(B867)=3,"X",""))</f>
        <v/>
      </c>
      <c r="M867" s="34" t="str">
        <f aca="false">IF(B867="","",IF(MONTH(B867)=4,"X",""))</f>
        <v/>
      </c>
      <c r="N867" s="34" t="str">
        <f aca="false">IF(B867="","",IF(MONTH(B867)=5,"X",""))</f>
        <v/>
      </c>
      <c r="O867" s="34" t="str">
        <f aca="false">IF(B867="","",IF(MONTH(B867)=6,"X",""))</f>
        <v/>
      </c>
      <c r="P867" s="34" t="str">
        <f aca="false">IF(B867="","",IF(MONTH(B867)=7,"X",""))</f>
        <v/>
      </c>
      <c r="Q867" s="34" t="str">
        <f aca="false">IF(B867="","",IF(MONTH(B867)=8,"X",""))</f>
        <v/>
      </c>
      <c r="R867" s="34" t="str">
        <f aca="false">IF(B867="","",IF(MONTH(B867)=9,"X",""))</f>
        <v/>
      </c>
      <c r="S867" s="34" t="str">
        <f aca="false">IF(B867="","",IF(MONTH(B867)=10,"X",""))</f>
        <v/>
      </c>
      <c r="T867" s="34" t="str">
        <f aca="false">IF(B867="","",IF(MONTH(B867)=11,"X",""))</f>
        <v/>
      </c>
      <c r="U867" s="34" t="str">
        <f aca="false">IF(B867="","",IF(MONTH(B867)=12,"X",""))</f>
        <v/>
      </c>
      <c r="V867" s="24" t="str">
        <f aca="false">IF(E867="","",COUNTIF($E$5:$E$1000,E867))</f>
        <v/>
      </c>
      <c r="W867" s="35" t="str">
        <f aca="false">IF(E867="","",_xlfn.TEXTJOIN(" + ",TRUE(),IF(COUNTIFS($E$5:$E$1000,E867,$C$5:$C$1000,"Auditoría Interna")&gt;0,"Interna",""),IF(COUNTIFS($E$5:$E$1000,E867,$C$5:$C$1000,"Auditoría Externa")&gt;0,"Externa",""),IF(COUNTIFS($E$5:$E$1000,E867,$C$5:$C$1000,"SSF")&gt;0,"SSF",""),IF(COUNTIFS($E$5:$E$1000,E867,$C$5:$C$1000,"Comité de Supervisión")&gt;0,"Comité Sup.",""),IF(COUNTIFS($E$5:$E$1000,E867,$C$5:$C$1000,"Consejo de Administración")&gt;0,"Consejo",""),IF(COUNTIFS($E$5:$E$1000,E867,$C$5:$C$1000,"Otros")&gt;0,"Otros","")))</f>
        <v/>
      </c>
      <c r="X867" s="24" t="str">
        <f aca="false">IF(E867="","",COUNTIFS($E$5:$E$1000,E867,$AB$5:$AB$1000,AB867,$C$5:$C$1000,"&lt;&gt;"&amp;C867))</f>
        <v/>
      </c>
      <c r="Y867" s="33"/>
      <c r="Z867" s="31"/>
      <c r="AA867" s="33"/>
      <c r="AB867" s="37" t="str">
        <f aca="false">IF(B867="","",YEAR(B867)*100+MONTH(B867))</f>
        <v/>
      </c>
      <c r="AC867" s="37" t="str">
        <f aca="false">IF(AND(E867&lt;&gt;"",E867=Cruce!$C$5),COUNTIF($E$5:E867,E867),"")</f>
        <v/>
      </c>
      <c r="AD867" s="37" t="str">
        <f aca="false">IF(E867="","",C867&amp;"|"&amp;Y867&amp;"|"&amp;IF(B867="","s/f",TEXT(B867,"yyyymmdd")))</f>
        <v/>
      </c>
      <c r="AE867" s="37" t="n">
        <f aca="false">IF(E867="",0,IF(COUNTIFS($E$5:E867,E867,$AD$5:AD867,AD867)=1,1,0))</f>
        <v>0</v>
      </c>
    </row>
    <row r="868" customFormat="false" ht="15" hidden="false" customHeight="true" outlineLevel="0" collapsed="false">
      <c r="A868" s="31"/>
      <c r="B868" s="30"/>
      <c r="C868" s="31"/>
      <c r="D868" s="31"/>
      <c r="E868" s="32"/>
      <c r="F868" s="32"/>
      <c r="G868" s="33"/>
      <c r="H868" s="31"/>
      <c r="I868" s="24" t="str">
        <f aca="false">IF(B868="","",YEAR(B868))</f>
        <v/>
      </c>
      <c r="J868" s="34" t="str">
        <f aca="false">IF(B868="","",IF(MONTH(B868)=1,"X",""))</f>
        <v/>
      </c>
      <c r="K868" s="34" t="str">
        <f aca="false">IF(B868="","",IF(MONTH(B868)=2,"X",""))</f>
        <v/>
      </c>
      <c r="L868" s="34" t="str">
        <f aca="false">IF(B868="","",IF(MONTH(B868)=3,"X",""))</f>
        <v/>
      </c>
      <c r="M868" s="34" t="str">
        <f aca="false">IF(B868="","",IF(MONTH(B868)=4,"X",""))</f>
        <v/>
      </c>
      <c r="N868" s="34" t="str">
        <f aca="false">IF(B868="","",IF(MONTH(B868)=5,"X",""))</f>
        <v/>
      </c>
      <c r="O868" s="34" t="str">
        <f aca="false">IF(B868="","",IF(MONTH(B868)=6,"X",""))</f>
        <v/>
      </c>
      <c r="P868" s="34" t="str">
        <f aca="false">IF(B868="","",IF(MONTH(B868)=7,"X",""))</f>
        <v/>
      </c>
      <c r="Q868" s="34" t="str">
        <f aca="false">IF(B868="","",IF(MONTH(B868)=8,"X",""))</f>
        <v/>
      </c>
      <c r="R868" s="34" t="str">
        <f aca="false">IF(B868="","",IF(MONTH(B868)=9,"X",""))</f>
        <v/>
      </c>
      <c r="S868" s="34" t="str">
        <f aca="false">IF(B868="","",IF(MONTH(B868)=10,"X",""))</f>
        <v/>
      </c>
      <c r="T868" s="34" t="str">
        <f aca="false">IF(B868="","",IF(MONTH(B868)=11,"X",""))</f>
        <v/>
      </c>
      <c r="U868" s="34" t="str">
        <f aca="false">IF(B868="","",IF(MONTH(B868)=12,"X",""))</f>
        <v/>
      </c>
      <c r="V868" s="24" t="str">
        <f aca="false">IF(E868="","",COUNTIF($E$5:$E$1000,E868))</f>
        <v/>
      </c>
      <c r="W868" s="35" t="str">
        <f aca="false">IF(E868="","",_xlfn.TEXTJOIN(" + ",TRUE(),IF(COUNTIFS($E$5:$E$1000,E868,$C$5:$C$1000,"Auditoría Interna")&gt;0,"Interna",""),IF(COUNTIFS($E$5:$E$1000,E868,$C$5:$C$1000,"Auditoría Externa")&gt;0,"Externa",""),IF(COUNTIFS($E$5:$E$1000,E868,$C$5:$C$1000,"SSF")&gt;0,"SSF",""),IF(COUNTIFS($E$5:$E$1000,E868,$C$5:$C$1000,"Comité de Supervisión")&gt;0,"Comité Sup.",""),IF(COUNTIFS($E$5:$E$1000,E868,$C$5:$C$1000,"Consejo de Administración")&gt;0,"Consejo",""),IF(COUNTIFS($E$5:$E$1000,E868,$C$5:$C$1000,"Otros")&gt;0,"Otros","")))</f>
        <v/>
      </c>
      <c r="X868" s="24" t="str">
        <f aca="false">IF(E868="","",COUNTIFS($E$5:$E$1000,E868,$AB$5:$AB$1000,AB868,$C$5:$C$1000,"&lt;&gt;"&amp;C868))</f>
        <v/>
      </c>
      <c r="Y868" s="33"/>
      <c r="Z868" s="31"/>
      <c r="AA868" s="33"/>
      <c r="AB868" s="37" t="str">
        <f aca="false">IF(B868="","",YEAR(B868)*100+MONTH(B868))</f>
        <v/>
      </c>
      <c r="AC868" s="37" t="str">
        <f aca="false">IF(AND(E868&lt;&gt;"",E868=Cruce!$C$5),COUNTIF($E$5:E868,E868),"")</f>
        <v/>
      </c>
      <c r="AD868" s="37" t="str">
        <f aca="false">IF(E868="","",C868&amp;"|"&amp;Y868&amp;"|"&amp;IF(B868="","s/f",TEXT(B868,"yyyymmdd")))</f>
        <v/>
      </c>
      <c r="AE868" s="37" t="n">
        <f aca="false">IF(E868="",0,IF(COUNTIFS($E$5:E868,E868,$AD$5:AD868,AD868)=1,1,0))</f>
        <v>0</v>
      </c>
    </row>
    <row r="869" customFormat="false" ht="15" hidden="false" customHeight="true" outlineLevel="0" collapsed="false">
      <c r="A869" s="31"/>
      <c r="B869" s="30"/>
      <c r="C869" s="31"/>
      <c r="D869" s="31"/>
      <c r="E869" s="32"/>
      <c r="F869" s="32"/>
      <c r="G869" s="33"/>
      <c r="H869" s="31"/>
      <c r="I869" s="24" t="str">
        <f aca="false">IF(B869="","",YEAR(B869))</f>
        <v/>
      </c>
      <c r="J869" s="34" t="str">
        <f aca="false">IF(B869="","",IF(MONTH(B869)=1,"X",""))</f>
        <v/>
      </c>
      <c r="K869" s="34" t="str">
        <f aca="false">IF(B869="","",IF(MONTH(B869)=2,"X",""))</f>
        <v/>
      </c>
      <c r="L869" s="34" t="str">
        <f aca="false">IF(B869="","",IF(MONTH(B869)=3,"X",""))</f>
        <v/>
      </c>
      <c r="M869" s="34" t="str">
        <f aca="false">IF(B869="","",IF(MONTH(B869)=4,"X",""))</f>
        <v/>
      </c>
      <c r="N869" s="34" t="str">
        <f aca="false">IF(B869="","",IF(MONTH(B869)=5,"X",""))</f>
        <v/>
      </c>
      <c r="O869" s="34" t="str">
        <f aca="false">IF(B869="","",IF(MONTH(B869)=6,"X",""))</f>
        <v/>
      </c>
      <c r="P869" s="34" t="str">
        <f aca="false">IF(B869="","",IF(MONTH(B869)=7,"X",""))</f>
        <v/>
      </c>
      <c r="Q869" s="34" t="str">
        <f aca="false">IF(B869="","",IF(MONTH(B869)=8,"X",""))</f>
        <v/>
      </c>
      <c r="R869" s="34" t="str">
        <f aca="false">IF(B869="","",IF(MONTH(B869)=9,"X",""))</f>
        <v/>
      </c>
      <c r="S869" s="34" t="str">
        <f aca="false">IF(B869="","",IF(MONTH(B869)=10,"X",""))</f>
        <v/>
      </c>
      <c r="T869" s="34" t="str">
        <f aca="false">IF(B869="","",IF(MONTH(B869)=11,"X",""))</f>
        <v/>
      </c>
      <c r="U869" s="34" t="str">
        <f aca="false">IF(B869="","",IF(MONTH(B869)=12,"X",""))</f>
        <v/>
      </c>
      <c r="V869" s="24" t="str">
        <f aca="false">IF(E869="","",COUNTIF($E$5:$E$1000,E869))</f>
        <v/>
      </c>
      <c r="W869" s="35" t="str">
        <f aca="false">IF(E869="","",_xlfn.TEXTJOIN(" + ",TRUE(),IF(COUNTIFS($E$5:$E$1000,E869,$C$5:$C$1000,"Auditoría Interna")&gt;0,"Interna",""),IF(COUNTIFS($E$5:$E$1000,E869,$C$5:$C$1000,"Auditoría Externa")&gt;0,"Externa",""),IF(COUNTIFS($E$5:$E$1000,E869,$C$5:$C$1000,"SSF")&gt;0,"SSF",""),IF(COUNTIFS($E$5:$E$1000,E869,$C$5:$C$1000,"Comité de Supervisión")&gt;0,"Comité Sup.",""),IF(COUNTIFS($E$5:$E$1000,E869,$C$5:$C$1000,"Consejo de Administración")&gt;0,"Consejo",""),IF(COUNTIFS($E$5:$E$1000,E869,$C$5:$C$1000,"Otros")&gt;0,"Otros","")))</f>
        <v/>
      </c>
      <c r="X869" s="24" t="str">
        <f aca="false">IF(E869="","",COUNTIFS($E$5:$E$1000,E869,$AB$5:$AB$1000,AB869,$C$5:$C$1000,"&lt;&gt;"&amp;C869))</f>
        <v/>
      </c>
      <c r="Y869" s="33"/>
      <c r="Z869" s="31"/>
      <c r="AA869" s="33"/>
      <c r="AB869" s="37" t="str">
        <f aca="false">IF(B869="","",YEAR(B869)*100+MONTH(B869))</f>
        <v/>
      </c>
      <c r="AC869" s="37" t="str">
        <f aca="false">IF(AND(E869&lt;&gt;"",E869=Cruce!$C$5),COUNTIF($E$5:E869,E869),"")</f>
        <v/>
      </c>
      <c r="AD869" s="37" t="str">
        <f aca="false">IF(E869="","",C869&amp;"|"&amp;Y869&amp;"|"&amp;IF(B869="","s/f",TEXT(B869,"yyyymmdd")))</f>
        <v/>
      </c>
      <c r="AE869" s="37" t="n">
        <f aca="false">IF(E869="",0,IF(COUNTIFS($E$5:E869,E869,$AD$5:AD869,AD869)=1,1,0))</f>
        <v>0</v>
      </c>
    </row>
    <row r="870" customFormat="false" ht="15" hidden="false" customHeight="true" outlineLevel="0" collapsed="false">
      <c r="A870" s="31"/>
      <c r="B870" s="30"/>
      <c r="C870" s="31"/>
      <c r="D870" s="31"/>
      <c r="E870" s="32"/>
      <c r="F870" s="32"/>
      <c r="G870" s="33"/>
      <c r="H870" s="31"/>
      <c r="I870" s="24" t="str">
        <f aca="false">IF(B870="","",YEAR(B870))</f>
        <v/>
      </c>
      <c r="J870" s="34" t="str">
        <f aca="false">IF(B870="","",IF(MONTH(B870)=1,"X",""))</f>
        <v/>
      </c>
      <c r="K870" s="34" t="str">
        <f aca="false">IF(B870="","",IF(MONTH(B870)=2,"X",""))</f>
        <v/>
      </c>
      <c r="L870" s="34" t="str">
        <f aca="false">IF(B870="","",IF(MONTH(B870)=3,"X",""))</f>
        <v/>
      </c>
      <c r="M870" s="34" t="str">
        <f aca="false">IF(B870="","",IF(MONTH(B870)=4,"X",""))</f>
        <v/>
      </c>
      <c r="N870" s="34" t="str">
        <f aca="false">IF(B870="","",IF(MONTH(B870)=5,"X",""))</f>
        <v/>
      </c>
      <c r="O870" s="34" t="str">
        <f aca="false">IF(B870="","",IF(MONTH(B870)=6,"X",""))</f>
        <v/>
      </c>
      <c r="P870" s="34" t="str">
        <f aca="false">IF(B870="","",IF(MONTH(B870)=7,"X",""))</f>
        <v/>
      </c>
      <c r="Q870" s="34" t="str">
        <f aca="false">IF(B870="","",IF(MONTH(B870)=8,"X",""))</f>
        <v/>
      </c>
      <c r="R870" s="34" t="str">
        <f aca="false">IF(B870="","",IF(MONTH(B870)=9,"X",""))</f>
        <v/>
      </c>
      <c r="S870" s="34" t="str">
        <f aca="false">IF(B870="","",IF(MONTH(B870)=10,"X",""))</f>
        <v/>
      </c>
      <c r="T870" s="34" t="str">
        <f aca="false">IF(B870="","",IF(MONTH(B870)=11,"X",""))</f>
        <v/>
      </c>
      <c r="U870" s="34" t="str">
        <f aca="false">IF(B870="","",IF(MONTH(B870)=12,"X",""))</f>
        <v/>
      </c>
      <c r="V870" s="24" t="str">
        <f aca="false">IF(E870="","",COUNTIF($E$5:$E$1000,E870))</f>
        <v/>
      </c>
      <c r="W870" s="35" t="str">
        <f aca="false">IF(E870="","",_xlfn.TEXTJOIN(" + ",TRUE(),IF(COUNTIFS($E$5:$E$1000,E870,$C$5:$C$1000,"Auditoría Interna")&gt;0,"Interna",""),IF(COUNTIFS($E$5:$E$1000,E870,$C$5:$C$1000,"Auditoría Externa")&gt;0,"Externa",""),IF(COUNTIFS($E$5:$E$1000,E870,$C$5:$C$1000,"SSF")&gt;0,"SSF",""),IF(COUNTIFS($E$5:$E$1000,E870,$C$5:$C$1000,"Comité de Supervisión")&gt;0,"Comité Sup.",""),IF(COUNTIFS($E$5:$E$1000,E870,$C$5:$C$1000,"Consejo de Administración")&gt;0,"Consejo",""),IF(COUNTIFS($E$5:$E$1000,E870,$C$5:$C$1000,"Otros")&gt;0,"Otros","")))</f>
        <v/>
      </c>
      <c r="X870" s="24" t="str">
        <f aca="false">IF(E870="","",COUNTIFS($E$5:$E$1000,E870,$AB$5:$AB$1000,AB870,$C$5:$C$1000,"&lt;&gt;"&amp;C870))</f>
        <v/>
      </c>
      <c r="Y870" s="33"/>
      <c r="Z870" s="31"/>
      <c r="AA870" s="33"/>
      <c r="AB870" s="37" t="str">
        <f aca="false">IF(B870="","",YEAR(B870)*100+MONTH(B870))</f>
        <v/>
      </c>
      <c r="AC870" s="37" t="str">
        <f aca="false">IF(AND(E870&lt;&gt;"",E870=Cruce!$C$5),COUNTIF($E$5:E870,E870),"")</f>
        <v/>
      </c>
      <c r="AD870" s="37" t="str">
        <f aca="false">IF(E870="","",C870&amp;"|"&amp;Y870&amp;"|"&amp;IF(B870="","s/f",TEXT(B870,"yyyymmdd")))</f>
        <v/>
      </c>
      <c r="AE870" s="37" t="n">
        <f aca="false">IF(E870="",0,IF(COUNTIFS($E$5:E870,E870,$AD$5:AD870,AD870)=1,1,0))</f>
        <v>0</v>
      </c>
    </row>
    <row r="871" customFormat="false" ht="15" hidden="false" customHeight="true" outlineLevel="0" collapsed="false">
      <c r="A871" s="31"/>
      <c r="B871" s="30"/>
      <c r="C871" s="31"/>
      <c r="D871" s="31"/>
      <c r="E871" s="32"/>
      <c r="F871" s="32"/>
      <c r="G871" s="33"/>
      <c r="H871" s="31"/>
      <c r="I871" s="24" t="str">
        <f aca="false">IF(B871="","",YEAR(B871))</f>
        <v/>
      </c>
      <c r="J871" s="34" t="str">
        <f aca="false">IF(B871="","",IF(MONTH(B871)=1,"X",""))</f>
        <v/>
      </c>
      <c r="K871" s="34" t="str">
        <f aca="false">IF(B871="","",IF(MONTH(B871)=2,"X",""))</f>
        <v/>
      </c>
      <c r="L871" s="34" t="str">
        <f aca="false">IF(B871="","",IF(MONTH(B871)=3,"X",""))</f>
        <v/>
      </c>
      <c r="M871" s="34" t="str">
        <f aca="false">IF(B871="","",IF(MONTH(B871)=4,"X",""))</f>
        <v/>
      </c>
      <c r="N871" s="34" t="str">
        <f aca="false">IF(B871="","",IF(MONTH(B871)=5,"X",""))</f>
        <v/>
      </c>
      <c r="O871" s="34" t="str">
        <f aca="false">IF(B871="","",IF(MONTH(B871)=6,"X",""))</f>
        <v/>
      </c>
      <c r="P871" s="34" t="str">
        <f aca="false">IF(B871="","",IF(MONTH(B871)=7,"X",""))</f>
        <v/>
      </c>
      <c r="Q871" s="34" t="str">
        <f aca="false">IF(B871="","",IF(MONTH(B871)=8,"X",""))</f>
        <v/>
      </c>
      <c r="R871" s="34" t="str">
        <f aca="false">IF(B871="","",IF(MONTH(B871)=9,"X",""))</f>
        <v/>
      </c>
      <c r="S871" s="34" t="str">
        <f aca="false">IF(B871="","",IF(MONTH(B871)=10,"X",""))</f>
        <v/>
      </c>
      <c r="T871" s="34" t="str">
        <f aca="false">IF(B871="","",IF(MONTH(B871)=11,"X",""))</f>
        <v/>
      </c>
      <c r="U871" s="34" t="str">
        <f aca="false">IF(B871="","",IF(MONTH(B871)=12,"X",""))</f>
        <v/>
      </c>
      <c r="V871" s="24" t="str">
        <f aca="false">IF(E871="","",COUNTIF($E$5:$E$1000,E871))</f>
        <v/>
      </c>
      <c r="W871" s="35" t="str">
        <f aca="false">IF(E871="","",_xlfn.TEXTJOIN(" + ",TRUE(),IF(COUNTIFS($E$5:$E$1000,E871,$C$5:$C$1000,"Auditoría Interna")&gt;0,"Interna",""),IF(COUNTIFS($E$5:$E$1000,E871,$C$5:$C$1000,"Auditoría Externa")&gt;0,"Externa",""),IF(COUNTIFS($E$5:$E$1000,E871,$C$5:$C$1000,"SSF")&gt;0,"SSF",""),IF(COUNTIFS($E$5:$E$1000,E871,$C$5:$C$1000,"Comité de Supervisión")&gt;0,"Comité Sup.",""),IF(COUNTIFS($E$5:$E$1000,E871,$C$5:$C$1000,"Consejo de Administración")&gt;0,"Consejo",""),IF(COUNTIFS($E$5:$E$1000,E871,$C$5:$C$1000,"Otros")&gt;0,"Otros","")))</f>
        <v/>
      </c>
      <c r="X871" s="24" t="str">
        <f aca="false">IF(E871="","",COUNTIFS($E$5:$E$1000,E871,$AB$5:$AB$1000,AB871,$C$5:$C$1000,"&lt;&gt;"&amp;C871))</f>
        <v/>
      </c>
      <c r="Y871" s="33"/>
      <c r="Z871" s="31"/>
      <c r="AA871" s="33"/>
      <c r="AB871" s="37" t="str">
        <f aca="false">IF(B871="","",YEAR(B871)*100+MONTH(B871))</f>
        <v/>
      </c>
      <c r="AC871" s="37" t="str">
        <f aca="false">IF(AND(E871&lt;&gt;"",E871=Cruce!$C$5),COUNTIF($E$5:E871,E871),"")</f>
        <v/>
      </c>
      <c r="AD871" s="37" t="str">
        <f aca="false">IF(E871="","",C871&amp;"|"&amp;Y871&amp;"|"&amp;IF(B871="","s/f",TEXT(B871,"yyyymmdd")))</f>
        <v/>
      </c>
      <c r="AE871" s="37" t="n">
        <f aca="false">IF(E871="",0,IF(COUNTIFS($E$5:E871,E871,$AD$5:AD871,AD871)=1,1,0))</f>
        <v>0</v>
      </c>
    </row>
    <row r="872" customFormat="false" ht="15" hidden="false" customHeight="true" outlineLevel="0" collapsed="false">
      <c r="A872" s="31"/>
      <c r="B872" s="30"/>
      <c r="C872" s="31"/>
      <c r="D872" s="31"/>
      <c r="E872" s="32"/>
      <c r="F872" s="32"/>
      <c r="G872" s="33"/>
      <c r="H872" s="31"/>
      <c r="I872" s="24" t="str">
        <f aca="false">IF(B872="","",YEAR(B872))</f>
        <v/>
      </c>
      <c r="J872" s="34" t="str">
        <f aca="false">IF(B872="","",IF(MONTH(B872)=1,"X",""))</f>
        <v/>
      </c>
      <c r="K872" s="34" t="str">
        <f aca="false">IF(B872="","",IF(MONTH(B872)=2,"X",""))</f>
        <v/>
      </c>
      <c r="L872" s="34" t="str">
        <f aca="false">IF(B872="","",IF(MONTH(B872)=3,"X",""))</f>
        <v/>
      </c>
      <c r="M872" s="34" t="str">
        <f aca="false">IF(B872="","",IF(MONTH(B872)=4,"X",""))</f>
        <v/>
      </c>
      <c r="N872" s="34" t="str">
        <f aca="false">IF(B872="","",IF(MONTH(B872)=5,"X",""))</f>
        <v/>
      </c>
      <c r="O872" s="34" t="str">
        <f aca="false">IF(B872="","",IF(MONTH(B872)=6,"X",""))</f>
        <v/>
      </c>
      <c r="P872" s="34" t="str">
        <f aca="false">IF(B872="","",IF(MONTH(B872)=7,"X",""))</f>
        <v/>
      </c>
      <c r="Q872" s="34" t="str">
        <f aca="false">IF(B872="","",IF(MONTH(B872)=8,"X",""))</f>
        <v/>
      </c>
      <c r="R872" s="34" t="str">
        <f aca="false">IF(B872="","",IF(MONTH(B872)=9,"X",""))</f>
        <v/>
      </c>
      <c r="S872" s="34" t="str">
        <f aca="false">IF(B872="","",IF(MONTH(B872)=10,"X",""))</f>
        <v/>
      </c>
      <c r="T872" s="34" t="str">
        <f aca="false">IF(B872="","",IF(MONTH(B872)=11,"X",""))</f>
        <v/>
      </c>
      <c r="U872" s="34" t="str">
        <f aca="false">IF(B872="","",IF(MONTH(B872)=12,"X",""))</f>
        <v/>
      </c>
      <c r="V872" s="24" t="str">
        <f aca="false">IF(E872="","",COUNTIF($E$5:$E$1000,E872))</f>
        <v/>
      </c>
      <c r="W872" s="35" t="str">
        <f aca="false">IF(E872="","",_xlfn.TEXTJOIN(" + ",TRUE(),IF(COUNTIFS($E$5:$E$1000,E872,$C$5:$C$1000,"Auditoría Interna")&gt;0,"Interna",""),IF(COUNTIFS($E$5:$E$1000,E872,$C$5:$C$1000,"Auditoría Externa")&gt;0,"Externa",""),IF(COUNTIFS($E$5:$E$1000,E872,$C$5:$C$1000,"SSF")&gt;0,"SSF",""),IF(COUNTIFS($E$5:$E$1000,E872,$C$5:$C$1000,"Comité de Supervisión")&gt;0,"Comité Sup.",""),IF(COUNTIFS($E$5:$E$1000,E872,$C$5:$C$1000,"Consejo de Administración")&gt;0,"Consejo",""),IF(COUNTIFS($E$5:$E$1000,E872,$C$5:$C$1000,"Otros")&gt;0,"Otros","")))</f>
        <v/>
      </c>
      <c r="X872" s="24" t="str">
        <f aca="false">IF(E872="","",COUNTIFS($E$5:$E$1000,E872,$AB$5:$AB$1000,AB872,$C$5:$C$1000,"&lt;&gt;"&amp;C872))</f>
        <v/>
      </c>
      <c r="Y872" s="33"/>
      <c r="Z872" s="31"/>
      <c r="AA872" s="33"/>
      <c r="AB872" s="37" t="str">
        <f aca="false">IF(B872="","",YEAR(B872)*100+MONTH(B872))</f>
        <v/>
      </c>
      <c r="AC872" s="37" t="str">
        <f aca="false">IF(AND(E872&lt;&gt;"",E872=Cruce!$C$5),COUNTIF($E$5:E872,E872),"")</f>
        <v/>
      </c>
      <c r="AD872" s="37" t="str">
        <f aca="false">IF(E872="","",C872&amp;"|"&amp;Y872&amp;"|"&amp;IF(B872="","s/f",TEXT(B872,"yyyymmdd")))</f>
        <v/>
      </c>
      <c r="AE872" s="37" t="n">
        <f aca="false">IF(E872="",0,IF(COUNTIFS($E$5:E872,E872,$AD$5:AD872,AD872)=1,1,0))</f>
        <v>0</v>
      </c>
    </row>
    <row r="873" customFormat="false" ht="15" hidden="false" customHeight="true" outlineLevel="0" collapsed="false">
      <c r="A873" s="31"/>
      <c r="B873" s="30"/>
      <c r="C873" s="31"/>
      <c r="D873" s="31"/>
      <c r="E873" s="32"/>
      <c r="F873" s="32"/>
      <c r="G873" s="33"/>
      <c r="H873" s="31"/>
      <c r="I873" s="24" t="str">
        <f aca="false">IF(B873="","",YEAR(B873))</f>
        <v/>
      </c>
      <c r="J873" s="34" t="str">
        <f aca="false">IF(B873="","",IF(MONTH(B873)=1,"X",""))</f>
        <v/>
      </c>
      <c r="K873" s="34" t="str">
        <f aca="false">IF(B873="","",IF(MONTH(B873)=2,"X",""))</f>
        <v/>
      </c>
      <c r="L873" s="34" t="str">
        <f aca="false">IF(B873="","",IF(MONTH(B873)=3,"X",""))</f>
        <v/>
      </c>
      <c r="M873" s="34" t="str">
        <f aca="false">IF(B873="","",IF(MONTH(B873)=4,"X",""))</f>
        <v/>
      </c>
      <c r="N873" s="34" t="str">
        <f aca="false">IF(B873="","",IF(MONTH(B873)=5,"X",""))</f>
        <v/>
      </c>
      <c r="O873" s="34" t="str">
        <f aca="false">IF(B873="","",IF(MONTH(B873)=6,"X",""))</f>
        <v/>
      </c>
      <c r="P873" s="34" t="str">
        <f aca="false">IF(B873="","",IF(MONTH(B873)=7,"X",""))</f>
        <v/>
      </c>
      <c r="Q873" s="34" t="str">
        <f aca="false">IF(B873="","",IF(MONTH(B873)=8,"X",""))</f>
        <v/>
      </c>
      <c r="R873" s="34" t="str">
        <f aca="false">IF(B873="","",IF(MONTH(B873)=9,"X",""))</f>
        <v/>
      </c>
      <c r="S873" s="34" t="str">
        <f aca="false">IF(B873="","",IF(MONTH(B873)=10,"X",""))</f>
        <v/>
      </c>
      <c r="T873" s="34" t="str">
        <f aca="false">IF(B873="","",IF(MONTH(B873)=11,"X",""))</f>
        <v/>
      </c>
      <c r="U873" s="34" t="str">
        <f aca="false">IF(B873="","",IF(MONTH(B873)=12,"X",""))</f>
        <v/>
      </c>
      <c r="V873" s="24" t="str">
        <f aca="false">IF(E873="","",COUNTIF($E$5:$E$1000,E873))</f>
        <v/>
      </c>
      <c r="W873" s="35" t="str">
        <f aca="false">IF(E873="","",_xlfn.TEXTJOIN(" + ",TRUE(),IF(COUNTIFS($E$5:$E$1000,E873,$C$5:$C$1000,"Auditoría Interna")&gt;0,"Interna",""),IF(COUNTIFS($E$5:$E$1000,E873,$C$5:$C$1000,"Auditoría Externa")&gt;0,"Externa",""),IF(COUNTIFS($E$5:$E$1000,E873,$C$5:$C$1000,"SSF")&gt;0,"SSF",""),IF(COUNTIFS($E$5:$E$1000,E873,$C$5:$C$1000,"Comité de Supervisión")&gt;0,"Comité Sup.",""),IF(COUNTIFS($E$5:$E$1000,E873,$C$5:$C$1000,"Consejo de Administración")&gt;0,"Consejo",""),IF(COUNTIFS($E$5:$E$1000,E873,$C$5:$C$1000,"Otros")&gt;0,"Otros","")))</f>
        <v/>
      </c>
      <c r="X873" s="24" t="str">
        <f aca="false">IF(E873="","",COUNTIFS($E$5:$E$1000,E873,$AB$5:$AB$1000,AB873,$C$5:$C$1000,"&lt;&gt;"&amp;C873))</f>
        <v/>
      </c>
      <c r="Y873" s="33"/>
      <c r="Z873" s="31"/>
      <c r="AA873" s="33"/>
      <c r="AB873" s="37" t="str">
        <f aca="false">IF(B873="","",YEAR(B873)*100+MONTH(B873))</f>
        <v/>
      </c>
      <c r="AC873" s="37" t="str">
        <f aca="false">IF(AND(E873&lt;&gt;"",E873=Cruce!$C$5),COUNTIF($E$5:E873,E873),"")</f>
        <v/>
      </c>
      <c r="AD873" s="37" t="str">
        <f aca="false">IF(E873="","",C873&amp;"|"&amp;Y873&amp;"|"&amp;IF(B873="","s/f",TEXT(B873,"yyyymmdd")))</f>
        <v/>
      </c>
      <c r="AE873" s="37" t="n">
        <f aca="false">IF(E873="",0,IF(COUNTIFS($E$5:E873,E873,$AD$5:AD873,AD873)=1,1,0))</f>
        <v>0</v>
      </c>
    </row>
    <row r="874" customFormat="false" ht="15" hidden="false" customHeight="true" outlineLevel="0" collapsed="false">
      <c r="A874" s="31"/>
      <c r="B874" s="30"/>
      <c r="C874" s="31"/>
      <c r="D874" s="31"/>
      <c r="E874" s="32"/>
      <c r="F874" s="32"/>
      <c r="G874" s="33"/>
      <c r="H874" s="31"/>
      <c r="I874" s="24" t="str">
        <f aca="false">IF(B874="","",YEAR(B874))</f>
        <v/>
      </c>
      <c r="J874" s="34" t="str">
        <f aca="false">IF(B874="","",IF(MONTH(B874)=1,"X",""))</f>
        <v/>
      </c>
      <c r="K874" s="34" t="str">
        <f aca="false">IF(B874="","",IF(MONTH(B874)=2,"X",""))</f>
        <v/>
      </c>
      <c r="L874" s="34" t="str">
        <f aca="false">IF(B874="","",IF(MONTH(B874)=3,"X",""))</f>
        <v/>
      </c>
      <c r="M874" s="34" t="str">
        <f aca="false">IF(B874="","",IF(MONTH(B874)=4,"X",""))</f>
        <v/>
      </c>
      <c r="N874" s="34" t="str">
        <f aca="false">IF(B874="","",IF(MONTH(B874)=5,"X",""))</f>
        <v/>
      </c>
      <c r="O874" s="34" t="str">
        <f aca="false">IF(B874="","",IF(MONTH(B874)=6,"X",""))</f>
        <v/>
      </c>
      <c r="P874" s="34" t="str">
        <f aca="false">IF(B874="","",IF(MONTH(B874)=7,"X",""))</f>
        <v/>
      </c>
      <c r="Q874" s="34" t="str">
        <f aca="false">IF(B874="","",IF(MONTH(B874)=8,"X",""))</f>
        <v/>
      </c>
      <c r="R874" s="34" t="str">
        <f aca="false">IF(B874="","",IF(MONTH(B874)=9,"X",""))</f>
        <v/>
      </c>
      <c r="S874" s="34" t="str">
        <f aca="false">IF(B874="","",IF(MONTH(B874)=10,"X",""))</f>
        <v/>
      </c>
      <c r="T874" s="34" t="str">
        <f aca="false">IF(B874="","",IF(MONTH(B874)=11,"X",""))</f>
        <v/>
      </c>
      <c r="U874" s="34" t="str">
        <f aca="false">IF(B874="","",IF(MONTH(B874)=12,"X",""))</f>
        <v/>
      </c>
      <c r="V874" s="24" t="str">
        <f aca="false">IF(E874="","",COUNTIF($E$5:$E$1000,E874))</f>
        <v/>
      </c>
      <c r="W874" s="35" t="str">
        <f aca="false">IF(E874="","",_xlfn.TEXTJOIN(" + ",TRUE(),IF(COUNTIFS($E$5:$E$1000,E874,$C$5:$C$1000,"Auditoría Interna")&gt;0,"Interna",""),IF(COUNTIFS($E$5:$E$1000,E874,$C$5:$C$1000,"Auditoría Externa")&gt;0,"Externa",""),IF(COUNTIFS($E$5:$E$1000,E874,$C$5:$C$1000,"SSF")&gt;0,"SSF",""),IF(COUNTIFS($E$5:$E$1000,E874,$C$5:$C$1000,"Comité de Supervisión")&gt;0,"Comité Sup.",""),IF(COUNTIFS($E$5:$E$1000,E874,$C$5:$C$1000,"Consejo de Administración")&gt;0,"Consejo",""),IF(COUNTIFS($E$5:$E$1000,E874,$C$5:$C$1000,"Otros")&gt;0,"Otros","")))</f>
        <v/>
      </c>
      <c r="X874" s="24" t="str">
        <f aca="false">IF(E874="","",COUNTIFS($E$5:$E$1000,E874,$AB$5:$AB$1000,AB874,$C$5:$C$1000,"&lt;&gt;"&amp;C874))</f>
        <v/>
      </c>
      <c r="Y874" s="33"/>
      <c r="Z874" s="31"/>
      <c r="AA874" s="33"/>
      <c r="AB874" s="37" t="str">
        <f aca="false">IF(B874="","",YEAR(B874)*100+MONTH(B874))</f>
        <v/>
      </c>
      <c r="AC874" s="37" t="str">
        <f aca="false">IF(AND(E874&lt;&gt;"",E874=Cruce!$C$5),COUNTIF($E$5:E874,E874),"")</f>
        <v/>
      </c>
      <c r="AD874" s="37" t="str">
        <f aca="false">IF(E874="","",C874&amp;"|"&amp;Y874&amp;"|"&amp;IF(B874="","s/f",TEXT(B874,"yyyymmdd")))</f>
        <v/>
      </c>
      <c r="AE874" s="37" t="n">
        <f aca="false">IF(E874="",0,IF(COUNTIFS($E$5:E874,E874,$AD$5:AD874,AD874)=1,1,0))</f>
        <v>0</v>
      </c>
    </row>
    <row r="875" customFormat="false" ht="15" hidden="false" customHeight="true" outlineLevel="0" collapsed="false">
      <c r="A875" s="31"/>
      <c r="B875" s="30"/>
      <c r="C875" s="31"/>
      <c r="D875" s="31"/>
      <c r="E875" s="32"/>
      <c r="F875" s="32"/>
      <c r="G875" s="33"/>
      <c r="H875" s="31"/>
      <c r="I875" s="24" t="str">
        <f aca="false">IF(B875="","",YEAR(B875))</f>
        <v/>
      </c>
      <c r="J875" s="34" t="str">
        <f aca="false">IF(B875="","",IF(MONTH(B875)=1,"X",""))</f>
        <v/>
      </c>
      <c r="K875" s="34" t="str">
        <f aca="false">IF(B875="","",IF(MONTH(B875)=2,"X",""))</f>
        <v/>
      </c>
      <c r="L875" s="34" t="str">
        <f aca="false">IF(B875="","",IF(MONTH(B875)=3,"X",""))</f>
        <v/>
      </c>
      <c r="M875" s="34" t="str">
        <f aca="false">IF(B875="","",IF(MONTH(B875)=4,"X",""))</f>
        <v/>
      </c>
      <c r="N875" s="34" t="str">
        <f aca="false">IF(B875="","",IF(MONTH(B875)=5,"X",""))</f>
        <v/>
      </c>
      <c r="O875" s="34" t="str">
        <f aca="false">IF(B875="","",IF(MONTH(B875)=6,"X",""))</f>
        <v/>
      </c>
      <c r="P875" s="34" t="str">
        <f aca="false">IF(B875="","",IF(MONTH(B875)=7,"X",""))</f>
        <v/>
      </c>
      <c r="Q875" s="34" t="str">
        <f aca="false">IF(B875="","",IF(MONTH(B875)=8,"X",""))</f>
        <v/>
      </c>
      <c r="R875" s="34" t="str">
        <f aca="false">IF(B875="","",IF(MONTH(B875)=9,"X",""))</f>
        <v/>
      </c>
      <c r="S875" s="34" t="str">
        <f aca="false">IF(B875="","",IF(MONTH(B875)=10,"X",""))</f>
        <v/>
      </c>
      <c r="T875" s="34" t="str">
        <f aca="false">IF(B875="","",IF(MONTH(B875)=11,"X",""))</f>
        <v/>
      </c>
      <c r="U875" s="34" t="str">
        <f aca="false">IF(B875="","",IF(MONTH(B875)=12,"X",""))</f>
        <v/>
      </c>
      <c r="V875" s="24" t="str">
        <f aca="false">IF(E875="","",COUNTIF($E$5:$E$1000,E875))</f>
        <v/>
      </c>
      <c r="W875" s="35" t="str">
        <f aca="false">IF(E875="","",_xlfn.TEXTJOIN(" + ",TRUE(),IF(COUNTIFS($E$5:$E$1000,E875,$C$5:$C$1000,"Auditoría Interna")&gt;0,"Interna",""),IF(COUNTIFS($E$5:$E$1000,E875,$C$5:$C$1000,"Auditoría Externa")&gt;0,"Externa",""),IF(COUNTIFS($E$5:$E$1000,E875,$C$5:$C$1000,"SSF")&gt;0,"SSF",""),IF(COUNTIFS($E$5:$E$1000,E875,$C$5:$C$1000,"Comité de Supervisión")&gt;0,"Comité Sup.",""),IF(COUNTIFS($E$5:$E$1000,E875,$C$5:$C$1000,"Consejo de Administración")&gt;0,"Consejo",""),IF(COUNTIFS($E$5:$E$1000,E875,$C$5:$C$1000,"Otros")&gt;0,"Otros","")))</f>
        <v/>
      </c>
      <c r="X875" s="24" t="str">
        <f aca="false">IF(E875="","",COUNTIFS($E$5:$E$1000,E875,$AB$5:$AB$1000,AB875,$C$5:$C$1000,"&lt;&gt;"&amp;C875))</f>
        <v/>
      </c>
      <c r="Y875" s="33"/>
      <c r="Z875" s="31"/>
      <c r="AA875" s="33"/>
      <c r="AB875" s="37" t="str">
        <f aca="false">IF(B875="","",YEAR(B875)*100+MONTH(B875))</f>
        <v/>
      </c>
      <c r="AC875" s="37" t="str">
        <f aca="false">IF(AND(E875&lt;&gt;"",E875=Cruce!$C$5),COUNTIF($E$5:E875,E875),"")</f>
        <v/>
      </c>
      <c r="AD875" s="37" t="str">
        <f aca="false">IF(E875="","",C875&amp;"|"&amp;Y875&amp;"|"&amp;IF(B875="","s/f",TEXT(B875,"yyyymmdd")))</f>
        <v/>
      </c>
      <c r="AE875" s="37" t="n">
        <f aca="false">IF(E875="",0,IF(COUNTIFS($E$5:E875,E875,$AD$5:AD875,AD875)=1,1,0))</f>
        <v>0</v>
      </c>
    </row>
    <row r="876" customFormat="false" ht="15" hidden="false" customHeight="true" outlineLevel="0" collapsed="false">
      <c r="A876" s="31"/>
      <c r="B876" s="30"/>
      <c r="C876" s="31"/>
      <c r="D876" s="31"/>
      <c r="E876" s="32"/>
      <c r="F876" s="32"/>
      <c r="G876" s="33"/>
      <c r="H876" s="31"/>
      <c r="I876" s="24" t="str">
        <f aca="false">IF(B876="","",YEAR(B876))</f>
        <v/>
      </c>
      <c r="J876" s="34" t="str">
        <f aca="false">IF(B876="","",IF(MONTH(B876)=1,"X",""))</f>
        <v/>
      </c>
      <c r="K876" s="34" t="str">
        <f aca="false">IF(B876="","",IF(MONTH(B876)=2,"X",""))</f>
        <v/>
      </c>
      <c r="L876" s="34" t="str">
        <f aca="false">IF(B876="","",IF(MONTH(B876)=3,"X",""))</f>
        <v/>
      </c>
      <c r="M876" s="34" t="str">
        <f aca="false">IF(B876="","",IF(MONTH(B876)=4,"X",""))</f>
        <v/>
      </c>
      <c r="N876" s="34" t="str">
        <f aca="false">IF(B876="","",IF(MONTH(B876)=5,"X",""))</f>
        <v/>
      </c>
      <c r="O876" s="34" t="str">
        <f aca="false">IF(B876="","",IF(MONTH(B876)=6,"X",""))</f>
        <v/>
      </c>
      <c r="P876" s="34" t="str">
        <f aca="false">IF(B876="","",IF(MONTH(B876)=7,"X",""))</f>
        <v/>
      </c>
      <c r="Q876" s="34" t="str">
        <f aca="false">IF(B876="","",IF(MONTH(B876)=8,"X",""))</f>
        <v/>
      </c>
      <c r="R876" s="34" t="str">
        <f aca="false">IF(B876="","",IF(MONTH(B876)=9,"X",""))</f>
        <v/>
      </c>
      <c r="S876" s="34" t="str">
        <f aca="false">IF(B876="","",IF(MONTH(B876)=10,"X",""))</f>
        <v/>
      </c>
      <c r="T876" s="34" t="str">
        <f aca="false">IF(B876="","",IF(MONTH(B876)=11,"X",""))</f>
        <v/>
      </c>
      <c r="U876" s="34" t="str">
        <f aca="false">IF(B876="","",IF(MONTH(B876)=12,"X",""))</f>
        <v/>
      </c>
      <c r="V876" s="24" t="str">
        <f aca="false">IF(E876="","",COUNTIF($E$5:$E$1000,E876))</f>
        <v/>
      </c>
      <c r="W876" s="35" t="str">
        <f aca="false">IF(E876="","",_xlfn.TEXTJOIN(" + ",TRUE(),IF(COUNTIFS($E$5:$E$1000,E876,$C$5:$C$1000,"Auditoría Interna")&gt;0,"Interna",""),IF(COUNTIFS($E$5:$E$1000,E876,$C$5:$C$1000,"Auditoría Externa")&gt;0,"Externa",""),IF(COUNTIFS($E$5:$E$1000,E876,$C$5:$C$1000,"SSF")&gt;0,"SSF",""),IF(COUNTIFS($E$5:$E$1000,E876,$C$5:$C$1000,"Comité de Supervisión")&gt;0,"Comité Sup.",""),IF(COUNTIFS($E$5:$E$1000,E876,$C$5:$C$1000,"Consejo de Administración")&gt;0,"Consejo",""),IF(COUNTIFS($E$5:$E$1000,E876,$C$5:$C$1000,"Otros")&gt;0,"Otros","")))</f>
        <v/>
      </c>
      <c r="X876" s="24" t="str">
        <f aca="false">IF(E876="","",COUNTIFS($E$5:$E$1000,E876,$AB$5:$AB$1000,AB876,$C$5:$C$1000,"&lt;&gt;"&amp;C876))</f>
        <v/>
      </c>
      <c r="Y876" s="33"/>
      <c r="Z876" s="31"/>
      <c r="AA876" s="33"/>
      <c r="AB876" s="37" t="str">
        <f aca="false">IF(B876="","",YEAR(B876)*100+MONTH(B876))</f>
        <v/>
      </c>
      <c r="AC876" s="37" t="str">
        <f aca="false">IF(AND(E876&lt;&gt;"",E876=Cruce!$C$5),COUNTIF($E$5:E876,E876),"")</f>
        <v/>
      </c>
      <c r="AD876" s="37" t="str">
        <f aca="false">IF(E876="","",C876&amp;"|"&amp;Y876&amp;"|"&amp;IF(B876="","s/f",TEXT(B876,"yyyymmdd")))</f>
        <v/>
      </c>
      <c r="AE876" s="37" t="n">
        <f aca="false">IF(E876="",0,IF(COUNTIFS($E$5:E876,E876,$AD$5:AD876,AD876)=1,1,0))</f>
        <v>0</v>
      </c>
    </row>
    <row r="877" customFormat="false" ht="15" hidden="false" customHeight="true" outlineLevel="0" collapsed="false">
      <c r="A877" s="31"/>
      <c r="B877" s="30"/>
      <c r="C877" s="31"/>
      <c r="D877" s="31"/>
      <c r="E877" s="32"/>
      <c r="F877" s="32"/>
      <c r="G877" s="33"/>
      <c r="H877" s="31"/>
      <c r="I877" s="24" t="str">
        <f aca="false">IF(B877="","",YEAR(B877))</f>
        <v/>
      </c>
      <c r="J877" s="34" t="str">
        <f aca="false">IF(B877="","",IF(MONTH(B877)=1,"X",""))</f>
        <v/>
      </c>
      <c r="K877" s="34" t="str">
        <f aca="false">IF(B877="","",IF(MONTH(B877)=2,"X",""))</f>
        <v/>
      </c>
      <c r="L877" s="34" t="str">
        <f aca="false">IF(B877="","",IF(MONTH(B877)=3,"X",""))</f>
        <v/>
      </c>
      <c r="M877" s="34" t="str">
        <f aca="false">IF(B877="","",IF(MONTH(B877)=4,"X",""))</f>
        <v/>
      </c>
      <c r="N877" s="34" t="str">
        <f aca="false">IF(B877="","",IF(MONTH(B877)=5,"X",""))</f>
        <v/>
      </c>
      <c r="O877" s="34" t="str">
        <f aca="false">IF(B877="","",IF(MONTH(B877)=6,"X",""))</f>
        <v/>
      </c>
      <c r="P877" s="34" t="str">
        <f aca="false">IF(B877="","",IF(MONTH(B877)=7,"X",""))</f>
        <v/>
      </c>
      <c r="Q877" s="34" t="str">
        <f aca="false">IF(B877="","",IF(MONTH(B877)=8,"X",""))</f>
        <v/>
      </c>
      <c r="R877" s="34" t="str">
        <f aca="false">IF(B877="","",IF(MONTH(B877)=9,"X",""))</f>
        <v/>
      </c>
      <c r="S877" s="34" t="str">
        <f aca="false">IF(B877="","",IF(MONTH(B877)=10,"X",""))</f>
        <v/>
      </c>
      <c r="T877" s="34" t="str">
        <f aca="false">IF(B877="","",IF(MONTH(B877)=11,"X",""))</f>
        <v/>
      </c>
      <c r="U877" s="34" t="str">
        <f aca="false">IF(B877="","",IF(MONTH(B877)=12,"X",""))</f>
        <v/>
      </c>
      <c r="V877" s="24" t="str">
        <f aca="false">IF(E877="","",COUNTIF($E$5:$E$1000,E877))</f>
        <v/>
      </c>
      <c r="W877" s="35" t="str">
        <f aca="false">IF(E877="","",_xlfn.TEXTJOIN(" + ",TRUE(),IF(COUNTIFS($E$5:$E$1000,E877,$C$5:$C$1000,"Auditoría Interna")&gt;0,"Interna",""),IF(COUNTIFS($E$5:$E$1000,E877,$C$5:$C$1000,"Auditoría Externa")&gt;0,"Externa",""),IF(COUNTIFS($E$5:$E$1000,E877,$C$5:$C$1000,"SSF")&gt;0,"SSF",""),IF(COUNTIFS($E$5:$E$1000,E877,$C$5:$C$1000,"Comité de Supervisión")&gt;0,"Comité Sup.",""),IF(COUNTIFS($E$5:$E$1000,E877,$C$5:$C$1000,"Consejo de Administración")&gt;0,"Consejo",""),IF(COUNTIFS($E$5:$E$1000,E877,$C$5:$C$1000,"Otros")&gt;0,"Otros","")))</f>
        <v/>
      </c>
      <c r="X877" s="24" t="str">
        <f aca="false">IF(E877="","",COUNTIFS($E$5:$E$1000,E877,$AB$5:$AB$1000,AB877,$C$5:$C$1000,"&lt;&gt;"&amp;C877))</f>
        <v/>
      </c>
      <c r="Y877" s="33"/>
      <c r="Z877" s="31"/>
      <c r="AA877" s="33"/>
      <c r="AB877" s="37" t="str">
        <f aca="false">IF(B877="","",YEAR(B877)*100+MONTH(B877))</f>
        <v/>
      </c>
      <c r="AC877" s="37" t="str">
        <f aca="false">IF(AND(E877&lt;&gt;"",E877=Cruce!$C$5),COUNTIF($E$5:E877,E877),"")</f>
        <v/>
      </c>
      <c r="AD877" s="37" t="str">
        <f aca="false">IF(E877="","",C877&amp;"|"&amp;Y877&amp;"|"&amp;IF(B877="","s/f",TEXT(B877,"yyyymmdd")))</f>
        <v/>
      </c>
      <c r="AE877" s="37" t="n">
        <f aca="false">IF(E877="",0,IF(COUNTIFS($E$5:E877,E877,$AD$5:AD877,AD877)=1,1,0))</f>
        <v>0</v>
      </c>
    </row>
    <row r="878" customFormat="false" ht="15" hidden="false" customHeight="true" outlineLevel="0" collapsed="false">
      <c r="A878" s="31"/>
      <c r="B878" s="30"/>
      <c r="C878" s="31"/>
      <c r="D878" s="31"/>
      <c r="E878" s="32"/>
      <c r="F878" s="32"/>
      <c r="G878" s="33"/>
      <c r="H878" s="31"/>
      <c r="I878" s="24" t="str">
        <f aca="false">IF(B878="","",YEAR(B878))</f>
        <v/>
      </c>
      <c r="J878" s="34" t="str">
        <f aca="false">IF(B878="","",IF(MONTH(B878)=1,"X",""))</f>
        <v/>
      </c>
      <c r="K878" s="34" t="str">
        <f aca="false">IF(B878="","",IF(MONTH(B878)=2,"X",""))</f>
        <v/>
      </c>
      <c r="L878" s="34" t="str">
        <f aca="false">IF(B878="","",IF(MONTH(B878)=3,"X",""))</f>
        <v/>
      </c>
      <c r="M878" s="34" t="str">
        <f aca="false">IF(B878="","",IF(MONTH(B878)=4,"X",""))</f>
        <v/>
      </c>
      <c r="N878" s="34" t="str">
        <f aca="false">IF(B878="","",IF(MONTH(B878)=5,"X",""))</f>
        <v/>
      </c>
      <c r="O878" s="34" t="str">
        <f aca="false">IF(B878="","",IF(MONTH(B878)=6,"X",""))</f>
        <v/>
      </c>
      <c r="P878" s="34" t="str">
        <f aca="false">IF(B878="","",IF(MONTH(B878)=7,"X",""))</f>
        <v/>
      </c>
      <c r="Q878" s="34" t="str">
        <f aca="false">IF(B878="","",IF(MONTH(B878)=8,"X",""))</f>
        <v/>
      </c>
      <c r="R878" s="34" t="str">
        <f aca="false">IF(B878="","",IF(MONTH(B878)=9,"X",""))</f>
        <v/>
      </c>
      <c r="S878" s="34" t="str">
        <f aca="false">IF(B878="","",IF(MONTH(B878)=10,"X",""))</f>
        <v/>
      </c>
      <c r="T878" s="34" t="str">
        <f aca="false">IF(B878="","",IF(MONTH(B878)=11,"X",""))</f>
        <v/>
      </c>
      <c r="U878" s="34" t="str">
        <f aca="false">IF(B878="","",IF(MONTH(B878)=12,"X",""))</f>
        <v/>
      </c>
      <c r="V878" s="24" t="str">
        <f aca="false">IF(E878="","",COUNTIF($E$5:$E$1000,E878))</f>
        <v/>
      </c>
      <c r="W878" s="35" t="str">
        <f aca="false">IF(E878="","",_xlfn.TEXTJOIN(" + ",TRUE(),IF(COUNTIFS($E$5:$E$1000,E878,$C$5:$C$1000,"Auditoría Interna")&gt;0,"Interna",""),IF(COUNTIFS($E$5:$E$1000,E878,$C$5:$C$1000,"Auditoría Externa")&gt;0,"Externa",""),IF(COUNTIFS($E$5:$E$1000,E878,$C$5:$C$1000,"SSF")&gt;0,"SSF",""),IF(COUNTIFS($E$5:$E$1000,E878,$C$5:$C$1000,"Comité de Supervisión")&gt;0,"Comité Sup.",""),IF(COUNTIFS($E$5:$E$1000,E878,$C$5:$C$1000,"Consejo de Administración")&gt;0,"Consejo",""),IF(COUNTIFS($E$5:$E$1000,E878,$C$5:$C$1000,"Otros")&gt;0,"Otros","")))</f>
        <v/>
      </c>
      <c r="X878" s="24" t="str">
        <f aca="false">IF(E878="","",COUNTIFS($E$5:$E$1000,E878,$AB$5:$AB$1000,AB878,$C$5:$C$1000,"&lt;&gt;"&amp;C878))</f>
        <v/>
      </c>
      <c r="Y878" s="33"/>
      <c r="Z878" s="31"/>
      <c r="AA878" s="33"/>
      <c r="AB878" s="37" t="str">
        <f aca="false">IF(B878="","",YEAR(B878)*100+MONTH(B878))</f>
        <v/>
      </c>
      <c r="AC878" s="37" t="str">
        <f aca="false">IF(AND(E878&lt;&gt;"",E878=Cruce!$C$5),COUNTIF($E$5:E878,E878),"")</f>
        <v/>
      </c>
      <c r="AD878" s="37" t="str">
        <f aca="false">IF(E878="","",C878&amp;"|"&amp;Y878&amp;"|"&amp;IF(B878="","s/f",TEXT(B878,"yyyymmdd")))</f>
        <v/>
      </c>
      <c r="AE878" s="37" t="n">
        <f aca="false">IF(E878="",0,IF(COUNTIFS($E$5:E878,E878,$AD$5:AD878,AD878)=1,1,0))</f>
        <v>0</v>
      </c>
    </row>
    <row r="879" customFormat="false" ht="15" hidden="false" customHeight="true" outlineLevel="0" collapsed="false">
      <c r="A879" s="31"/>
      <c r="B879" s="30"/>
      <c r="C879" s="31"/>
      <c r="D879" s="31"/>
      <c r="E879" s="32"/>
      <c r="F879" s="32"/>
      <c r="G879" s="33"/>
      <c r="H879" s="31"/>
      <c r="I879" s="24" t="str">
        <f aca="false">IF(B879="","",YEAR(B879))</f>
        <v/>
      </c>
      <c r="J879" s="34" t="str">
        <f aca="false">IF(B879="","",IF(MONTH(B879)=1,"X",""))</f>
        <v/>
      </c>
      <c r="K879" s="34" t="str">
        <f aca="false">IF(B879="","",IF(MONTH(B879)=2,"X",""))</f>
        <v/>
      </c>
      <c r="L879" s="34" t="str">
        <f aca="false">IF(B879="","",IF(MONTH(B879)=3,"X",""))</f>
        <v/>
      </c>
      <c r="M879" s="34" t="str">
        <f aca="false">IF(B879="","",IF(MONTH(B879)=4,"X",""))</f>
        <v/>
      </c>
      <c r="N879" s="34" t="str">
        <f aca="false">IF(B879="","",IF(MONTH(B879)=5,"X",""))</f>
        <v/>
      </c>
      <c r="O879" s="34" t="str">
        <f aca="false">IF(B879="","",IF(MONTH(B879)=6,"X",""))</f>
        <v/>
      </c>
      <c r="P879" s="34" t="str">
        <f aca="false">IF(B879="","",IF(MONTH(B879)=7,"X",""))</f>
        <v/>
      </c>
      <c r="Q879" s="34" t="str">
        <f aca="false">IF(B879="","",IF(MONTH(B879)=8,"X",""))</f>
        <v/>
      </c>
      <c r="R879" s="34" t="str">
        <f aca="false">IF(B879="","",IF(MONTH(B879)=9,"X",""))</f>
        <v/>
      </c>
      <c r="S879" s="34" t="str">
        <f aca="false">IF(B879="","",IF(MONTH(B879)=10,"X",""))</f>
        <v/>
      </c>
      <c r="T879" s="34" t="str">
        <f aca="false">IF(B879="","",IF(MONTH(B879)=11,"X",""))</f>
        <v/>
      </c>
      <c r="U879" s="34" t="str">
        <f aca="false">IF(B879="","",IF(MONTH(B879)=12,"X",""))</f>
        <v/>
      </c>
      <c r="V879" s="24" t="str">
        <f aca="false">IF(E879="","",COUNTIF($E$5:$E$1000,E879))</f>
        <v/>
      </c>
      <c r="W879" s="35" t="str">
        <f aca="false">IF(E879="","",_xlfn.TEXTJOIN(" + ",TRUE(),IF(COUNTIFS($E$5:$E$1000,E879,$C$5:$C$1000,"Auditoría Interna")&gt;0,"Interna",""),IF(COUNTIFS($E$5:$E$1000,E879,$C$5:$C$1000,"Auditoría Externa")&gt;0,"Externa",""),IF(COUNTIFS($E$5:$E$1000,E879,$C$5:$C$1000,"SSF")&gt;0,"SSF",""),IF(COUNTIFS($E$5:$E$1000,E879,$C$5:$C$1000,"Comité de Supervisión")&gt;0,"Comité Sup.",""),IF(COUNTIFS($E$5:$E$1000,E879,$C$5:$C$1000,"Consejo de Administración")&gt;0,"Consejo",""),IF(COUNTIFS($E$5:$E$1000,E879,$C$5:$C$1000,"Otros")&gt;0,"Otros","")))</f>
        <v/>
      </c>
      <c r="X879" s="24" t="str">
        <f aca="false">IF(E879="","",COUNTIFS($E$5:$E$1000,E879,$AB$5:$AB$1000,AB879,$C$5:$C$1000,"&lt;&gt;"&amp;C879))</f>
        <v/>
      </c>
      <c r="Y879" s="33"/>
      <c r="Z879" s="31"/>
      <c r="AA879" s="33"/>
      <c r="AB879" s="37" t="str">
        <f aca="false">IF(B879="","",YEAR(B879)*100+MONTH(B879))</f>
        <v/>
      </c>
      <c r="AC879" s="37" t="str">
        <f aca="false">IF(AND(E879&lt;&gt;"",E879=Cruce!$C$5),COUNTIF($E$5:E879,E879),"")</f>
        <v/>
      </c>
      <c r="AD879" s="37" t="str">
        <f aca="false">IF(E879="","",C879&amp;"|"&amp;Y879&amp;"|"&amp;IF(B879="","s/f",TEXT(B879,"yyyymmdd")))</f>
        <v/>
      </c>
      <c r="AE879" s="37" t="n">
        <f aca="false">IF(E879="",0,IF(COUNTIFS($E$5:E879,E879,$AD$5:AD879,AD879)=1,1,0))</f>
        <v>0</v>
      </c>
    </row>
    <row r="880" customFormat="false" ht="15" hidden="false" customHeight="true" outlineLevel="0" collapsed="false">
      <c r="A880" s="31"/>
      <c r="B880" s="30"/>
      <c r="C880" s="31"/>
      <c r="D880" s="31"/>
      <c r="E880" s="32"/>
      <c r="F880" s="32"/>
      <c r="G880" s="33"/>
      <c r="H880" s="31"/>
      <c r="I880" s="24" t="str">
        <f aca="false">IF(B880="","",YEAR(B880))</f>
        <v/>
      </c>
      <c r="J880" s="34" t="str">
        <f aca="false">IF(B880="","",IF(MONTH(B880)=1,"X",""))</f>
        <v/>
      </c>
      <c r="K880" s="34" t="str">
        <f aca="false">IF(B880="","",IF(MONTH(B880)=2,"X",""))</f>
        <v/>
      </c>
      <c r="L880" s="34" t="str">
        <f aca="false">IF(B880="","",IF(MONTH(B880)=3,"X",""))</f>
        <v/>
      </c>
      <c r="M880" s="34" t="str">
        <f aca="false">IF(B880="","",IF(MONTH(B880)=4,"X",""))</f>
        <v/>
      </c>
      <c r="N880" s="34" t="str">
        <f aca="false">IF(B880="","",IF(MONTH(B880)=5,"X",""))</f>
        <v/>
      </c>
      <c r="O880" s="34" t="str">
        <f aca="false">IF(B880="","",IF(MONTH(B880)=6,"X",""))</f>
        <v/>
      </c>
      <c r="P880" s="34" t="str">
        <f aca="false">IF(B880="","",IF(MONTH(B880)=7,"X",""))</f>
        <v/>
      </c>
      <c r="Q880" s="34" t="str">
        <f aca="false">IF(B880="","",IF(MONTH(B880)=8,"X",""))</f>
        <v/>
      </c>
      <c r="R880" s="34" t="str">
        <f aca="false">IF(B880="","",IF(MONTH(B880)=9,"X",""))</f>
        <v/>
      </c>
      <c r="S880" s="34" t="str">
        <f aca="false">IF(B880="","",IF(MONTH(B880)=10,"X",""))</f>
        <v/>
      </c>
      <c r="T880" s="34" t="str">
        <f aca="false">IF(B880="","",IF(MONTH(B880)=11,"X",""))</f>
        <v/>
      </c>
      <c r="U880" s="34" t="str">
        <f aca="false">IF(B880="","",IF(MONTH(B880)=12,"X",""))</f>
        <v/>
      </c>
      <c r="V880" s="24" t="str">
        <f aca="false">IF(E880="","",COUNTIF($E$5:$E$1000,E880))</f>
        <v/>
      </c>
      <c r="W880" s="35" t="str">
        <f aca="false">IF(E880="","",_xlfn.TEXTJOIN(" + ",TRUE(),IF(COUNTIFS($E$5:$E$1000,E880,$C$5:$C$1000,"Auditoría Interna")&gt;0,"Interna",""),IF(COUNTIFS($E$5:$E$1000,E880,$C$5:$C$1000,"Auditoría Externa")&gt;0,"Externa",""),IF(COUNTIFS($E$5:$E$1000,E880,$C$5:$C$1000,"SSF")&gt;0,"SSF",""),IF(COUNTIFS($E$5:$E$1000,E880,$C$5:$C$1000,"Comité de Supervisión")&gt;0,"Comité Sup.",""),IF(COUNTIFS($E$5:$E$1000,E880,$C$5:$C$1000,"Consejo de Administración")&gt;0,"Consejo",""),IF(COUNTIFS($E$5:$E$1000,E880,$C$5:$C$1000,"Otros")&gt;0,"Otros","")))</f>
        <v/>
      </c>
      <c r="X880" s="24" t="str">
        <f aca="false">IF(E880="","",COUNTIFS($E$5:$E$1000,E880,$AB$5:$AB$1000,AB880,$C$5:$C$1000,"&lt;&gt;"&amp;C880))</f>
        <v/>
      </c>
      <c r="Y880" s="33"/>
      <c r="Z880" s="31"/>
      <c r="AA880" s="33"/>
      <c r="AB880" s="37" t="str">
        <f aca="false">IF(B880="","",YEAR(B880)*100+MONTH(B880))</f>
        <v/>
      </c>
      <c r="AC880" s="37" t="str">
        <f aca="false">IF(AND(E880&lt;&gt;"",E880=Cruce!$C$5),COUNTIF($E$5:E880,E880),"")</f>
        <v/>
      </c>
      <c r="AD880" s="37" t="str">
        <f aca="false">IF(E880="","",C880&amp;"|"&amp;Y880&amp;"|"&amp;IF(B880="","s/f",TEXT(B880,"yyyymmdd")))</f>
        <v/>
      </c>
      <c r="AE880" s="37" t="n">
        <f aca="false">IF(E880="",0,IF(COUNTIFS($E$5:E880,E880,$AD$5:AD880,AD880)=1,1,0))</f>
        <v>0</v>
      </c>
    </row>
    <row r="881" customFormat="false" ht="15" hidden="false" customHeight="true" outlineLevel="0" collapsed="false">
      <c r="A881" s="31"/>
      <c r="B881" s="30"/>
      <c r="C881" s="31"/>
      <c r="D881" s="31"/>
      <c r="E881" s="32"/>
      <c r="F881" s="32"/>
      <c r="G881" s="33"/>
      <c r="H881" s="31"/>
      <c r="I881" s="24" t="str">
        <f aca="false">IF(B881="","",YEAR(B881))</f>
        <v/>
      </c>
      <c r="J881" s="34" t="str">
        <f aca="false">IF(B881="","",IF(MONTH(B881)=1,"X",""))</f>
        <v/>
      </c>
      <c r="K881" s="34" t="str">
        <f aca="false">IF(B881="","",IF(MONTH(B881)=2,"X",""))</f>
        <v/>
      </c>
      <c r="L881" s="34" t="str">
        <f aca="false">IF(B881="","",IF(MONTH(B881)=3,"X",""))</f>
        <v/>
      </c>
      <c r="M881" s="34" t="str">
        <f aca="false">IF(B881="","",IF(MONTH(B881)=4,"X",""))</f>
        <v/>
      </c>
      <c r="N881" s="34" t="str">
        <f aca="false">IF(B881="","",IF(MONTH(B881)=5,"X",""))</f>
        <v/>
      </c>
      <c r="O881" s="34" t="str">
        <f aca="false">IF(B881="","",IF(MONTH(B881)=6,"X",""))</f>
        <v/>
      </c>
      <c r="P881" s="34" t="str">
        <f aca="false">IF(B881="","",IF(MONTH(B881)=7,"X",""))</f>
        <v/>
      </c>
      <c r="Q881" s="34" t="str">
        <f aca="false">IF(B881="","",IF(MONTH(B881)=8,"X",""))</f>
        <v/>
      </c>
      <c r="R881" s="34" t="str">
        <f aca="false">IF(B881="","",IF(MONTH(B881)=9,"X",""))</f>
        <v/>
      </c>
      <c r="S881" s="34" t="str">
        <f aca="false">IF(B881="","",IF(MONTH(B881)=10,"X",""))</f>
        <v/>
      </c>
      <c r="T881" s="34" t="str">
        <f aca="false">IF(B881="","",IF(MONTH(B881)=11,"X",""))</f>
        <v/>
      </c>
      <c r="U881" s="34" t="str">
        <f aca="false">IF(B881="","",IF(MONTH(B881)=12,"X",""))</f>
        <v/>
      </c>
      <c r="V881" s="24" t="str">
        <f aca="false">IF(E881="","",COUNTIF($E$5:$E$1000,E881))</f>
        <v/>
      </c>
      <c r="W881" s="35" t="str">
        <f aca="false">IF(E881="","",_xlfn.TEXTJOIN(" + ",TRUE(),IF(COUNTIFS($E$5:$E$1000,E881,$C$5:$C$1000,"Auditoría Interna")&gt;0,"Interna",""),IF(COUNTIFS($E$5:$E$1000,E881,$C$5:$C$1000,"Auditoría Externa")&gt;0,"Externa",""),IF(COUNTIFS($E$5:$E$1000,E881,$C$5:$C$1000,"SSF")&gt;0,"SSF",""),IF(COUNTIFS($E$5:$E$1000,E881,$C$5:$C$1000,"Comité de Supervisión")&gt;0,"Comité Sup.",""),IF(COUNTIFS($E$5:$E$1000,E881,$C$5:$C$1000,"Consejo de Administración")&gt;0,"Consejo",""),IF(COUNTIFS($E$5:$E$1000,E881,$C$5:$C$1000,"Otros")&gt;0,"Otros","")))</f>
        <v/>
      </c>
      <c r="X881" s="24" t="str">
        <f aca="false">IF(E881="","",COUNTIFS($E$5:$E$1000,E881,$AB$5:$AB$1000,AB881,$C$5:$C$1000,"&lt;&gt;"&amp;C881))</f>
        <v/>
      </c>
      <c r="Y881" s="33"/>
      <c r="Z881" s="31"/>
      <c r="AA881" s="33"/>
      <c r="AB881" s="37" t="str">
        <f aca="false">IF(B881="","",YEAR(B881)*100+MONTH(B881))</f>
        <v/>
      </c>
      <c r="AC881" s="37" t="str">
        <f aca="false">IF(AND(E881&lt;&gt;"",E881=Cruce!$C$5),COUNTIF($E$5:E881,E881),"")</f>
        <v/>
      </c>
      <c r="AD881" s="37" t="str">
        <f aca="false">IF(E881="","",C881&amp;"|"&amp;Y881&amp;"|"&amp;IF(B881="","s/f",TEXT(B881,"yyyymmdd")))</f>
        <v/>
      </c>
      <c r="AE881" s="37" t="n">
        <f aca="false">IF(E881="",0,IF(COUNTIFS($E$5:E881,E881,$AD$5:AD881,AD881)=1,1,0))</f>
        <v>0</v>
      </c>
    </row>
    <row r="882" customFormat="false" ht="15" hidden="false" customHeight="true" outlineLevel="0" collapsed="false">
      <c r="A882" s="31"/>
      <c r="B882" s="30"/>
      <c r="C882" s="31"/>
      <c r="D882" s="31"/>
      <c r="E882" s="32"/>
      <c r="F882" s="32"/>
      <c r="G882" s="33"/>
      <c r="H882" s="31"/>
      <c r="I882" s="24" t="str">
        <f aca="false">IF(B882="","",YEAR(B882))</f>
        <v/>
      </c>
      <c r="J882" s="34" t="str">
        <f aca="false">IF(B882="","",IF(MONTH(B882)=1,"X",""))</f>
        <v/>
      </c>
      <c r="K882" s="34" t="str">
        <f aca="false">IF(B882="","",IF(MONTH(B882)=2,"X",""))</f>
        <v/>
      </c>
      <c r="L882" s="34" t="str">
        <f aca="false">IF(B882="","",IF(MONTH(B882)=3,"X",""))</f>
        <v/>
      </c>
      <c r="M882" s="34" t="str">
        <f aca="false">IF(B882="","",IF(MONTH(B882)=4,"X",""))</f>
        <v/>
      </c>
      <c r="N882" s="34" t="str">
        <f aca="false">IF(B882="","",IF(MONTH(B882)=5,"X",""))</f>
        <v/>
      </c>
      <c r="O882" s="34" t="str">
        <f aca="false">IF(B882="","",IF(MONTH(B882)=6,"X",""))</f>
        <v/>
      </c>
      <c r="P882" s="34" t="str">
        <f aca="false">IF(B882="","",IF(MONTH(B882)=7,"X",""))</f>
        <v/>
      </c>
      <c r="Q882" s="34" t="str">
        <f aca="false">IF(B882="","",IF(MONTH(B882)=8,"X",""))</f>
        <v/>
      </c>
      <c r="R882" s="34" t="str">
        <f aca="false">IF(B882="","",IF(MONTH(B882)=9,"X",""))</f>
        <v/>
      </c>
      <c r="S882" s="34" t="str">
        <f aca="false">IF(B882="","",IF(MONTH(B882)=10,"X",""))</f>
        <v/>
      </c>
      <c r="T882" s="34" t="str">
        <f aca="false">IF(B882="","",IF(MONTH(B882)=11,"X",""))</f>
        <v/>
      </c>
      <c r="U882" s="34" t="str">
        <f aca="false">IF(B882="","",IF(MONTH(B882)=12,"X",""))</f>
        <v/>
      </c>
      <c r="V882" s="24" t="str">
        <f aca="false">IF(E882="","",COUNTIF($E$5:$E$1000,E882))</f>
        <v/>
      </c>
      <c r="W882" s="35" t="str">
        <f aca="false">IF(E882="","",_xlfn.TEXTJOIN(" + ",TRUE(),IF(COUNTIFS($E$5:$E$1000,E882,$C$5:$C$1000,"Auditoría Interna")&gt;0,"Interna",""),IF(COUNTIFS($E$5:$E$1000,E882,$C$5:$C$1000,"Auditoría Externa")&gt;0,"Externa",""),IF(COUNTIFS($E$5:$E$1000,E882,$C$5:$C$1000,"SSF")&gt;0,"SSF",""),IF(COUNTIFS($E$5:$E$1000,E882,$C$5:$C$1000,"Comité de Supervisión")&gt;0,"Comité Sup.",""),IF(COUNTIFS($E$5:$E$1000,E882,$C$5:$C$1000,"Consejo de Administración")&gt;0,"Consejo",""),IF(COUNTIFS($E$5:$E$1000,E882,$C$5:$C$1000,"Otros")&gt;0,"Otros","")))</f>
        <v/>
      </c>
      <c r="X882" s="24" t="str">
        <f aca="false">IF(E882="","",COUNTIFS($E$5:$E$1000,E882,$AB$5:$AB$1000,AB882,$C$5:$C$1000,"&lt;&gt;"&amp;C882))</f>
        <v/>
      </c>
      <c r="Y882" s="33"/>
      <c r="Z882" s="31"/>
      <c r="AA882" s="33"/>
      <c r="AB882" s="37" t="str">
        <f aca="false">IF(B882="","",YEAR(B882)*100+MONTH(B882))</f>
        <v/>
      </c>
      <c r="AC882" s="37" t="str">
        <f aca="false">IF(AND(E882&lt;&gt;"",E882=Cruce!$C$5),COUNTIF($E$5:E882,E882),"")</f>
        <v/>
      </c>
      <c r="AD882" s="37" t="str">
        <f aca="false">IF(E882="","",C882&amp;"|"&amp;Y882&amp;"|"&amp;IF(B882="","s/f",TEXT(B882,"yyyymmdd")))</f>
        <v/>
      </c>
      <c r="AE882" s="37" t="n">
        <f aca="false">IF(E882="",0,IF(COUNTIFS($E$5:E882,E882,$AD$5:AD882,AD882)=1,1,0))</f>
        <v>0</v>
      </c>
    </row>
    <row r="883" customFormat="false" ht="15" hidden="false" customHeight="true" outlineLevel="0" collapsed="false">
      <c r="A883" s="31"/>
      <c r="B883" s="30"/>
      <c r="C883" s="31"/>
      <c r="D883" s="31"/>
      <c r="E883" s="32"/>
      <c r="F883" s="32"/>
      <c r="G883" s="33"/>
      <c r="H883" s="31"/>
      <c r="I883" s="24" t="str">
        <f aca="false">IF(B883="","",YEAR(B883))</f>
        <v/>
      </c>
      <c r="J883" s="34" t="str">
        <f aca="false">IF(B883="","",IF(MONTH(B883)=1,"X",""))</f>
        <v/>
      </c>
      <c r="K883" s="34" t="str">
        <f aca="false">IF(B883="","",IF(MONTH(B883)=2,"X",""))</f>
        <v/>
      </c>
      <c r="L883" s="34" t="str">
        <f aca="false">IF(B883="","",IF(MONTH(B883)=3,"X",""))</f>
        <v/>
      </c>
      <c r="M883" s="34" t="str">
        <f aca="false">IF(B883="","",IF(MONTH(B883)=4,"X",""))</f>
        <v/>
      </c>
      <c r="N883" s="34" t="str">
        <f aca="false">IF(B883="","",IF(MONTH(B883)=5,"X",""))</f>
        <v/>
      </c>
      <c r="O883" s="34" t="str">
        <f aca="false">IF(B883="","",IF(MONTH(B883)=6,"X",""))</f>
        <v/>
      </c>
      <c r="P883" s="34" t="str">
        <f aca="false">IF(B883="","",IF(MONTH(B883)=7,"X",""))</f>
        <v/>
      </c>
      <c r="Q883" s="34" t="str">
        <f aca="false">IF(B883="","",IF(MONTH(B883)=8,"X",""))</f>
        <v/>
      </c>
      <c r="R883" s="34" t="str">
        <f aca="false">IF(B883="","",IF(MONTH(B883)=9,"X",""))</f>
        <v/>
      </c>
      <c r="S883" s="34" t="str">
        <f aca="false">IF(B883="","",IF(MONTH(B883)=10,"X",""))</f>
        <v/>
      </c>
      <c r="T883" s="34" t="str">
        <f aca="false">IF(B883="","",IF(MONTH(B883)=11,"X",""))</f>
        <v/>
      </c>
      <c r="U883" s="34" t="str">
        <f aca="false">IF(B883="","",IF(MONTH(B883)=12,"X",""))</f>
        <v/>
      </c>
      <c r="V883" s="24" t="str">
        <f aca="false">IF(E883="","",COUNTIF($E$5:$E$1000,E883))</f>
        <v/>
      </c>
      <c r="W883" s="35" t="str">
        <f aca="false">IF(E883="","",_xlfn.TEXTJOIN(" + ",TRUE(),IF(COUNTIFS($E$5:$E$1000,E883,$C$5:$C$1000,"Auditoría Interna")&gt;0,"Interna",""),IF(COUNTIFS($E$5:$E$1000,E883,$C$5:$C$1000,"Auditoría Externa")&gt;0,"Externa",""),IF(COUNTIFS($E$5:$E$1000,E883,$C$5:$C$1000,"SSF")&gt;0,"SSF",""),IF(COUNTIFS($E$5:$E$1000,E883,$C$5:$C$1000,"Comité de Supervisión")&gt;0,"Comité Sup.",""),IF(COUNTIFS($E$5:$E$1000,E883,$C$5:$C$1000,"Consejo de Administración")&gt;0,"Consejo",""),IF(COUNTIFS($E$5:$E$1000,E883,$C$5:$C$1000,"Otros")&gt;0,"Otros","")))</f>
        <v/>
      </c>
      <c r="X883" s="24" t="str">
        <f aca="false">IF(E883="","",COUNTIFS($E$5:$E$1000,E883,$AB$5:$AB$1000,AB883,$C$5:$C$1000,"&lt;&gt;"&amp;C883))</f>
        <v/>
      </c>
      <c r="Y883" s="33"/>
      <c r="Z883" s="31"/>
      <c r="AA883" s="33"/>
      <c r="AB883" s="37" t="str">
        <f aca="false">IF(B883="","",YEAR(B883)*100+MONTH(B883))</f>
        <v/>
      </c>
      <c r="AC883" s="37" t="str">
        <f aca="false">IF(AND(E883&lt;&gt;"",E883=Cruce!$C$5),COUNTIF($E$5:E883,E883),"")</f>
        <v/>
      </c>
      <c r="AD883" s="37" t="str">
        <f aca="false">IF(E883="","",C883&amp;"|"&amp;Y883&amp;"|"&amp;IF(B883="","s/f",TEXT(B883,"yyyymmdd")))</f>
        <v/>
      </c>
      <c r="AE883" s="37" t="n">
        <f aca="false">IF(E883="",0,IF(COUNTIFS($E$5:E883,E883,$AD$5:AD883,AD883)=1,1,0))</f>
        <v>0</v>
      </c>
    </row>
    <row r="884" customFormat="false" ht="15" hidden="false" customHeight="true" outlineLevel="0" collapsed="false">
      <c r="A884" s="31"/>
      <c r="B884" s="30"/>
      <c r="C884" s="31"/>
      <c r="D884" s="31"/>
      <c r="E884" s="32"/>
      <c r="F884" s="32"/>
      <c r="G884" s="33"/>
      <c r="H884" s="31"/>
      <c r="I884" s="24" t="str">
        <f aca="false">IF(B884="","",YEAR(B884))</f>
        <v/>
      </c>
      <c r="J884" s="34" t="str">
        <f aca="false">IF(B884="","",IF(MONTH(B884)=1,"X",""))</f>
        <v/>
      </c>
      <c r="K884" s="34" t="str">
        <f aca="false">IF(B884="","",IF(MONTH(B884)=2,"X",""))</f>
        <v/>
      </c>
      <c r="L884" s="34" t="str">
        <f aca="false">IF(B884="","",IF(MONTH(B884)=3,"X",""))</f>
        <v/>
      </c>
      <c r="M884" s="34" t="str">
        <f aca="false">IF(B884="","",IF(MONTH(B884)=4,"X",""))</f>
        <v/>
      </c>
      <c r="N884" s="34" t="str">
        <f aca="false">IF(B884="","",IF(MONTH(B884)=5,"X",""))</f>
        <v/>
      </c>
      <c r="O884" s="34" t="str">
        <f aca="false">IF(B884="","",IF(MONTH(B884)=6,"X",""))</f>
        <v/>
      </c>
      <c r="P884" s="34" t="str">
        <f aca="false">IF(B884="","",IF(MONTH(B884)=7,"X",""))</f>
        <v/>
      </c>
      <c r="Q884" s="34" t="str">
        <f aca="false">IF(B884="","",IF(MONTH(B884)=8,"X",""))</f>
        <v/>
      </c>
      <c r="R884" s="34" t="str">
        <f aca="false">IF(B884="","",IF(MONTH(B884)=9,"X",""))</f>
        <v/>
      </c>
      <c r="S884" s="34" t="str">
        <f aca="false">IF(B884="","",IF(MONTH(B884)=10,"X",""))</f>
        <v/>
      </c>
      <c r="T884" s="34" t="str">
        <f aca="false">IF(B884="","",IF(MONTH(B884)=11,"X",""))</f>
        <v/>
      </c>
      <c r="U884" s="34" t="str">
        <f aca="false">IF(B884="","",IF(MONTH(B884)=12,"X",""))</f>
        <v/>
      </c>
      <c r="V884" s="24" t="str">
        <f aca="false">IF(E884="","",COUNTIF($E$5:$E$1000,E884))</f>
        <v/>
      </c>
      <c r="W884" s="35" t="str">
        <f aca="false">IF(E884="","",_xlfn.TEXTJOIN(" + ",TRUE(),IF(COUNTIFS($E$5:$E$1000,E884,$C$5:$C$1000,"Auditoría Interna")&gt;0,"Interna",""),IF(COUNTIFS($E$5:$E$1000,E884,$C$5:$C$1000,"Auditoría Externa")&gt;0,"Externa",""),IF(COUNTIFS($E$5:$E$1000,E884,$C$5:$C$1000,"SSF")&gt;0,"SSF",""),IF(COUNTIFS($E$5:$E$1000,E884,$C$5:$C$1000,"Comité de Supervisión")&gt;0,"Comité Sup.",""),IF(COUNTIFS($E$5:$E$1000,E884,$C$5:$C$1000,"Consejo de Administración")&gt;0,"Consejo",""),IF(COUNTIFS($E$5:$E$1000,E884,$C$5:$C$1000,"Otros")&gt;0,"Otros","")))</f>
        <v/>
      </c>
      <c r="X884" s="24" t="str">
        <f aca="false">IF(E884="","",COUNTIFS($E$5:$E$1000,E884,$AB$5:$AB$1000,AB884,$C$5:$C$1000,"&lt;&gt;"&amp;C884))</f>
        <v/>
      </c>
      <c r="Y884" s="33"/>
      <c r="Z884" s="31"/>
      <c r="AA884" s="33"/>
      <c r="AB884" s="37" t="str">
        <f aca="false">IF(B884="","",YEAR(B884)*100+MONTH(B884))</f>
        <v/>
      </c>
      <c r="AC884" s="37" t="str">
        <f aca="false">IF(AND(E884&lt;&gt;"",E884=Cruce!$C$5),COUNTIF($E$5:E884,E884),"")</f>
        <v/>
      </c>
      <c r="AD884" s="37" t="str">
        <f aca="false">IF(E884="","",C884&amp;"|"&amp;Y884&amp;"|"&amp;IF(B884="","s/f",TEXT(B884,"yyyymmdd")))</f>
        <v/>
      </c>
      <c r="AE884" s="37" t="n">
        <f aca="false">IF(E884="",0,IF(COUNTIFS($E$5:E884,E884,$AD$5:AD884,AD884)=1,1,0))</f>
        <v>0</v>
      </c>
    </row>
    <row r="885" customFormat="false" ht="15" hidden="false" customHeight="true" outlineLevel="0" collapsed="false">
      <c r="A885" s="31"/>
      <c r="B885" s="30"/>
      <c r="C885" s="31"/>
      <c r="D885" s="31"/>
      <c r="E885" s="32"/>
      <c r="F885" s="32"/>
      <c r="G885" s="33"/>
      <c r="H885" s="31"/>
      <c r="I885" s="24" t="str">
        <f aca="false">IF(B885="","",YEAR(B885))</f>
        <v/>
      </c>
      <c r="J885" s="34" t="str">
        <f aca="false">IF(B885="","",IF(MONTH(B885)=1,"X",""))</f>
        <v/>
      </c>
      <c r="K885" s="34" t="str">
        <f aca="false">IF(B885="","",IF(MONTH(B885)=2,"X",""))</f>
        <v/>
      </c>
      <c r="L885" s="34" t="str">
        <f aca="false">IF(B885="","",IF(MONTH(B885)=3,"X",""))</f>
        <v/>
      </c>
      <c r="M885" s="34" t="str">
        <f aca="false">IF(B885="","",IF(MONTH(B885)=4,"X",""))</f>
        <v/>
      </c>
      <c r="N885" s="34" t="str">
        <f aca="false">IF(B885="","",IF(MONTH(B885)=5,"X",""))</f>
        <v/>
      </c>
      <c r="O885" s="34" t="str">
        <f aca="false">IF(B885="","",IF(MONTH(B885)=6,"X",""))</f>
        <v/>
      </c>
      <c r="P885" s="34" t="str">
        <f aca="false">IF(B885="","",IF(MONTH(B885)=7,"X",""))</f>
        <v/>
      </c>
      <c r="Q885" s="34" t="str">
        <f aca="false">IF(B885="","",IF(MONTH(B885)=8,"X",""))</f>
        <v/>
      </c>
      <c r="R885" s="34" t="str">
        <f aca="false">IF(B885="","",IF(MONTH(B885)=9,"X",""))</f>
        <v/>
      </c>
      <c r="S885" s="34" t="str">
        <f aca="false">IF(B885="","",IF(MONTH(B885)=10,"X",""))</f>
        <v/>
      </c>
      <c r="T885" s="34" t="str">
        <f aca="false">IF(B885="","",IF(MONTH(B885)=11,"X",""))</f>
        <v/>
      </c>
      <c r="U885" s="34" t="str">
        <f aca="false">IF(B885="","",IF(MONTH(B885)=12,"X",""))</f>
        <v/>
      </c>
      <c r="V885" s="24" t="str">
        <f aca="false">IF(E885="","",COUNTIF($E$5:$E$1000,E885))</f>
        <v/>
      </c>
      <c r="W885" s="35" t="str">
        <f aca="false">IF(E885="","",_xlfn.TEXTJOIN(" + ",TRUE(),IF(COUNTIFS($E$5:$E$1000,E885,$C$5:$C$1000,"Auditoría Interna")&gt;0,"Interna",""),IF(COUNTIFS($E$5:$E$1000,E885,$C$5:$C$1000,"Auditoría Externa")&gt;0,"Externa",""),IF(COUNTIFS($E$5:$E$1000,E885,$C$5:$C$1000,"SSF")&gt;0,"SSF",""),IF(COUNTIFS($E$5:$E$1000,E885,$C$5:$C$1000,"Comité de Supervisión")&gt;0,"Comité Sup.",""),IF(COUNTIFS($E$5:$E$1000,E885,$C$5:$C$1000,"Consejo de Administración")&gt;0,"Consejo",""),IF(COUNTIFS($E$5:$E$1000,E885,$C$5:$C$1000,"Otros")&gt;0,"Otros","")))</f>
        <v/>
      </c>
      <c r="X885" s="24" t="str">
        <f aca="false">IF(E885="","",COUNTIFS($E$5:$E$1000,E885,$AB$5:$AB$1000,AB885,$C$5:$C$1000,"&lt;&gt;"&amp;C885))</f>
        <v/>
      </c>
      <c r="Y885" s="33"/>
      <c r="Z885" s="31"/>
      <c r="AA885" s="33"/>
      <c r="AB885" s="37" t="str">
        <f aca="false">IF(B885="","",YEAR(B885)*100+MONTH(B885))</f>
        <v/>
      </c>
      <c r="AC885" s="37" t="str">
        <f aca="false">IF(AND(E885&lt;&gt;"",E885=Cruce!$C$5),COUNTIF($E$5:E885,E885),"")</f>
        <v/>
      </c>
      <c r="AD885" s="37" t="str">
        <f aca="false">IF(E885="","",C885&amp;"|"&amp;Y885&amp;"|"&amp;IF(B885="","s/f",TEXT(B885,"yyyymmdd")))</f>
        <v/>
      </c>
      <c r="AE885" s="37" t="n">
        <f aca="false">IF(E885="",0,IF(COUNTIFS($E$5:E885,E885,$AD$5:AD885,AD885)=1,1,0))</f>
        <v>0</v>
      </c>
    </row>
    <row r="886" customFormat="false" ht="15" hidden="false" customHeight="true" outlineLevel="0" collapsed="false">
      <c r="A886" s="31"/>
      <c r="B886" s="30"/>
      <c r="C886" s="31"/>
      <c r="D886" s="31"/>
      <c r="E886" s="32"/>
      <c r="F886" s="32"/>
      <c r="G886" s="33"/>
      <c r="H886" s="31"/>
      <c r="I886" s="24" t="str">
        <f aca="false">IF(B886="","",YEAR(B886))</f>
        <v/>
      </c>
      <c r="J886" s="34" t="str">
        <f aca="false">IF(B886="","",IF(MONTH(B886)=1,"X",""))</f>
        <v/>
      </c>
      <c r="K886" s="34" t="str">
        <f aca="false">IF(B886="","",IF(MONTH(B886)=2,"X",""))</f>
        <v/>
      </c>
      <c r="L886" s="34" t="str">
        <f aca="false">IF(B886="","",IF(MONTH(B886)=3,"X",""))</f>
        <v/>
      </c>
      <c r="M886" s="34" t="str">
        <f aca="false">IF(B886="","",IF(MONTH(B886)=4,"X",""))</f>
        <v/>
      </c>
      <c r="N886" s="34" t="str">
        <f aca="false">IF(B886="","",IF(MONTH(B886)=5,"X",""))</f>
        <v/>
      </c>
      <c r="O886" s="34" t="str">
        <f aca="false">IF(B886="","",IF(MONTH(B886)=6,"X",""))</f>
        <v/>
      </c>
      <c r="P886" s="34" t="str">
        <f aca="false">IF(B886="","",IF(MONTH(B886)=7,"X",""))</f>
        <v/>
      </c>
      <c r="Q886" s="34" t="str">
        <f aca="false">IF(B886="","",IF(MONTH(B886)=8,"X",""))</f>
        <v/>
      </c>
      <c r="R886" s="34" t="str">
        <f aca="false">IF(B886="","",IF(MONTH(B886)=9,"X",""))</f>
        <v/>
      </c>
      <c r="S886" s="34" t="str">
        <f aca="false">IF(B886="","",IF(MONTH(B886)=10,"X",""))</f>
        <v/>
      </c>
      <c r="T886" s="34" t="str">
        <f aca="false">IF(B886="","",IF(MONTH(B886)=11,"X",""))</f>
        <v/>
      </c>
      <c r="U886" s="34" t="str">
        <f aca="false">IF(B886="","",IF(MONTH(B886)=12,"X",""))</f>
        <v/>
      </c>
      <c r="V886" s="24" t="str">
        <f aca="false">IF(E886="","",COUNTIF($E$5:$E$1000,E886))</f>
        <v/>
      </c>
      <c r="W886" s="35" t="str">
        <f aca="false">IF(E886="","",_xlfn.TEXTJOIN(" + ",TRUE(),IF(COUNTIFS($E$5:$E$1000,E886,$C$5:$C$1000,"Auditoría Interna")&gt;0,"Interna",""),IF(COUNTIFS($E$5:$E$1000,E886,$C$5:$C$1000,"Auditoría Externa")&gt;0,"Externa",""),IF(COUNTIFS($E$5:$E$1000,E886,$C$5:$C$1000,"SSF")&gt;0,"SSF",""),IF(COUNTIFS($E$5:$E$1000,E886,$C$5:$C$1000,"Comité de Supervisión")&gt;0,"Comité Sup.",""),IF(COUNTIFS($E$5:$E$1000,E886,$C$5:$C$1000,"Consejo de Administración")&gt;0,"Consejo",""),IF(COUNTIFS($E$5:$E$1000,E886,$C$5:$C$1000,"Otros")&gt;0,"Otros","")))</f>
        <v/>
      </c>
      <c r="X886" s="24" t="str">
        <f aca="false">IF(E886="","",COUNTIFS($E$5:$E$1000,E886,$AB$5:$AB$1000,AB886,$C$5:$C$1000,"&lt;&gt;"&amp;C886))</f>
        <v/>
      </c>
      <c r="Y886" s="33"/>
      <c r="Z886" s="31"/>
      <c r="AA886" s="33"/>
      <c r="AB886" s="37" t="str">
        <f aca="false">IF(B886="","",YEAR(B886)*100+MONTH(B886))</f>
        <v/>
      </c>
      <c r="AC886" s="37" t="str">
        <f aca="false">IF(AND(E886&lt;&gt;"",E886=Cruce!$C$5),COUNTIF($E$5:E886,E886),"")</f>
        <v/>
      </c>
      <c r="AD886" s="37" t="str">
        <f aca="false">IF(E886="","",C886&amp;"|"&amp;Y886&amp;"|"&amp;IF(B886="","s/f",TEXT(B886,"yyyymmdd")))</f>
        <v/>
      </c>
      <c r="AE886" s="37" t="n">
        <f aca="false">IF(E886="",0,IF(COUNTIFS($E$5:E886,E886,$AD$5:AD886,AD886)=1,1,0))</f>
        <v>0</v>
      </c>
    </row>
    <row r="887" customFormat="false" ht="15" hidden="false" customHeight="true" outlineLevel="0" collapsed="false">
      <c r="A887" s="31"/>
      <c r="B887" s="30"/>
      <c r="C887" s="31"/>
      <c r="D887" s="31"/>
      <c r="E887" s="32"/>
      <c r="F887" s="32"/>
      <c r="G887" s="33"/>
      <c r="H887" s="31"/>
      <c r="I887" s="24" t="str">
        <f aca="false">IF(B887="","",YEAR(B887))</f>
        <v/>
      </c>
      <c r="J887" s="34" t="str">
        <f aca="false">IF(B887="","",IF(MONTH(B887)=1,"X",""))</f>
        <v/>
      </c>
      <c r="K887" s="34" t="str">
        <f aca="false">IF(B887="","",IF(MONTH(B887)=2,"X",""))</f>
        <v/>
      </c>
      <c r="L887" s="34" t="str">
        <f aca="false">IF(B887="","",IF(MONTH(B887)=3,"X",""))</f>
        <v/>
      </c>
      <c r="M887" s="34" t="str">
        <f aca="false">IF(B887="","",IF(MONTH(B887)=4,"X",""))</f>
        <v/>
      </c>
      <c r="N887" s="34" t="str">
        <f aca="false">IF(B887="","",IF(MONTH(B887)=5,"X",""))</f>
        <v/>
      </c>
      <c r="O887" s="34" t="str">
        <f aca="false">IF(B887="","",IF(MONTH(B887)=6,"X",""))</f>
        <v/>
      </c>
      <c r="P887" s="34" t="str">
        <f aca="false">IF(B887="","",IF(MONTH(B887)=7,"X",""))</f>
        <v/>
      </c>
      <c r="Q887" s="34" t="str">
        <f aca="false">IF(B887="","",IF(MONTH(B887)=8,"X",""))</f>
        <v/>
      </c>
      <c r="R887" s="34" t="str">
        <f aca="false">IF(B887="","",IF(MONTH(B887)=9,"X",""))</f>
        <v/>
      </c>
      <c r="S887" s="34" t="str">
        <f aca="false">IF(B887="","",IF(MONTH(B887)=10,"X",""))</f>
        <v/>
      </c>
      <c r="T887" s="34" t="str">
        <f aca="false">IF(B887="","",IF(MONTH(B887)=11,"X",""))</f>
        <v/>
      </c>
      <c r="U887" s="34" t="str">
        <f aca="false">IF(B887="","",IF(MONTH(B887)=12,"X",""))</f>
        <v/>
      </c>
      <c r="V887" s="24" t="str">
        <f aca="false">IF(E887="","",COUNTIF($E$5:$E$1000,E887))</f>
        <v/>
      </c>
      <c r="W887" s="35" t="str">
        <f aca="false">IF(E887="","",_xlfn.TEXTJOIN(" + ",TRUE(),IF(COUNTIFS($E$5:$E$1000,E887,$C$5:$C$1000,"Auditoría Interna")&gt;0,"Interna",""),IF(COUNTIFS($E$5:$E$1000,E887,$C$5:$C$1000,"Auditoría Externa")&gt;0,"Externa",""),IF(COUNTIFS($E$5:$E$1000,E887,$C$5:$C$1000,"SSF")&gt;0,"SSF",""),IF(COUNTIFS($E$5:$E$1000,E887,$C$5:$C$1000,"Comité de Supervisión")&gt;0,"Comité Sup.",""),IF(COUNTIFS($E$5:$E$1000,E887,$C$5:$C$1000,"Consejo de Administración")&gt;0,"Consejo",""),IF(COUNTIFS($E$5:$E$1000,E887,$C$5:$C$1000,"Otros")&gt;0,"Otros","")))</f>
        <v/>
      </c>
      <c r="X887" s="24" t="str">
        <f aca="false">IF(E887="","",COUNTIFS($E$5:$E$1000,E887,$AB$5:$AB$1000,AB887,$C$5:$C$1000,"&lt;&gt;"&amp;C887))</f>
        <v/>
      </c>
      <c r="Y887" s="33"/>
      <c r="Z887" s="31"/>
      <c r="AA887" s="33"/>
      <c r="AB887" s="37" t="str">
        <f aca="false">IF(B887="","",YEAR(B887)*100+MONTH(B887))</f>
        <v/>
      </c>
      <c r="AC887" s="37" t="str">
        <f aca="false">IF(AND(E887&lt;&gt;"",E887=Cruce!$C$5),COUNTIF($E$5:E887,E887),"")</f>
        <v/>
      </c>
      <c r="AD887" s="37" t="str">
        <f aca="false">IF(E887="","",C887&amp;"|"&amp;Y887&amp;"|"&amp;IF(B887="","s/f",TEXT(B887,"yyyymmdd")))</f>
        <v/>
      </c>
      <c r="AE887" s="37" t="n">
        <f aca="false">IF(E887="",0,IF(COUNTIFS($E$5:E887,E887,$AD$5:AD887,AD887)=1,1,0))</f>
        <v>0</v>
      </c>
    </row>
    <row r="888" customFormat="false" ht="15" hidden="false" customHeight="true" outlineLevel="0" collapsed="false">
      <c r="A888" s="31"/>
      <c r="B888" s="30"/>
      <c r="C888" s="31"/>
      <c r="D888" s="31"/>
      <c r="E888" s="32"/>
      <c r="F888" s="32"/>
      <c r="G888" s="33"/>
      <c r="H888" s="31"/>
      <c r="I888" s="24" t="str">
        <f aca="false">IF(B888="","",YEAR(B888))</f>
        <v/>
      </c>
      <c r="J888" s="34" t="str">
        <f aca="false">IF(B888="","",IF(MONTH(B888)=1,"X",""))</f>
        <v/>
      </c>
      <c r="K888" s="34" t="str">
        <f aca="false">IF(B888="","",IF(MONTH(B888)=2,"X",""))</f>
        <v/>
      </c>
      <c r="L888" s="34" t="str">
        <f aca="false">IF(B888="","",IF(MONTH(B888)=3,"X",""))</f>
        <v/>
      </c>
      <c r="M888" s="34" t="str">
        <f aca="false">IF(B888="","",IF(MONTH(B888)=4,"X",""))</f>
        <v/>
      </c>
      <c r="N888" s="34" t="str">
        <f aca="false">IF(B888="","",IF(MONTH(B888)=5,"X",""))</f>
        <v/>
      </c>
      <c r="O888" s="34" t="str">
        <f aca="false">IF(B888="","",IF(MONTH(B888)=6,"X",""))</f>
        <v/>
      </c>
      <c r="P888" s="34" t="str">
        <f aca="false">IF(B888="","",IF(MONTH(B888)=7,"X",""))</f>
        <v/>
      </c>
      <c r="Q888" s="34" t="str">
        <f aca="false">IF(B888="","",IF(MONTH(B888)=8,"X",""))</f>
        <v/>
      </c>
      <c r="R888" s="34" t="str">
        <f aca="false">IF(B888="","",IF(MONTH(B888)=9,"X",""))</f>
        <v/>
      </c>
      <c r="S888" s="34" t="str">
        <f aca="false">IF(B888="","",IF(MONTH(B888)=10,"X",""))</f>
        <v/>
      </c>
      <c r="T888" s="34" t="str">
        <f aca="false">IF(B888="","",IF(MONTH(B888)=11,"X",""))</f>
        <v/>
      </c>
      <c r="U888" s="34" t="str">
        <f aca="false">IF(B888="","",IF(MONTH(B888)=12,"X",""))</f>
        <v/>
      </c>
      <c r="V888" s="24" t="str">
        <f aca="false">IF(E888="","",COUNTIF($E$5:$E$1000,E888))</f>
        <v/>
      </c>
      <c r="W888" s="35" t="str">
        <f aca="false">IF(E888="","",_xlfn.TEXTJOIN(" + ",TRUE(),IF(COUNTIFS($E$5:$E$1000,E888,$C$5:$C$1000,"Auditoría Interna")&gt;0,"Interna",""),IF(COUNTIFS($E$5:$E$1000,E888,$C$5:$C$1000,"Auditoría Externa")&gt;0,"Externa",""),IF(COUNTIFS($E$5:$E$1000,E888,$C$5:$C$1000,"SSF")&gt;0,"SSF",""),IF(COUNTIFS($E$5:$E$1000,E888,$C$5:$C$1000,"Comité de Supervisión")&gt;0,"Comité Sup.",""),IF(COUNTIFS($E$5:$E$1000,E888,$C$5:$C$1000,"Consejo de Administración")&gt;0,"Consejo",""),IF(COUNTIFS($E$5:$E$1000,E888,$C$5:$C$1000,"Otros")&gt;0,"Otros","")))</f>
        <v/>
      </c>
      <c r="X888" s="24" t="str">
        <f aca="false">IF(E888="","",COUNTIFS($E$5:$E$1000,E888,$AB$5:$AB$1000,AB888,$C$5:$C$1000,"&lt;&gt;"&amp;C888))</f>
        <v/>
      </c>
      <c r="Y888" s="33"/>
      <c r="Z888" s="31"/>
      <c r="AA888" s="33"/>
      <c r="AB888" s="37" t="str">
        <f aca="false">IF(B888="","",YEAR(B888)*100+MONTH(B888))</f>
        <v/>
      </c>
      <c r="AC888" s="37" t="str">
        <f aca="false">IF(AND(E888&lt;&gt;"",E888=Cruce!$C$5),COUNTIF($E$5:E888,E888),"")</f>
        <v/>
      </c>
      <c r="AD888" s="37" t="str">
        <f aca="false">IF(E888="","",C888&amp;"|"&amp;Y888&amp;"|"&amp;IF(B888="","s/f",TEXT(B888,"yyyymmdd")))</f>
        <v/>
      </c>
      <c r="AE888" s="37" t="n">
        <f aca="false">IF(E888="",0,IF(COUNTIFS($E$5:E888,E888,$AD$5:AD888,AD888)=1,1,0))</f>
        <v>0</v>
      </c>
    </row>
    <row r="889" customFormat="false" ht="15" hidden="false" customHeight="true" outlineLevel="0" collapsed="false">
      <c r="A889" s="31"/>
      <c r="B889" s="30"/>
      <c r="C889" s="31"/>
      <c r="D889" s="31"/>
      <c r="E889" s="32"/>
      <c r="F889" s="32"/>
      <c r="G889" s="33"/>
      <c r="H889" s="31"/>
      <c r="I889" s="24" t="str">
        <f aca="false">IF(B889="","",YEAR(B889))</f>
        <v/>
      </c>
      <c r="J889" s="34" t="str">
        <f aca="false">IF(B889="","",IF(MONTH(B889)=1,"X",""))</f>
        <v/>
      </c>
      <c r="K889" s="34" t="str">
        <f aca="false">IF(B889="","",IF(MONTH(B889)=2,"X",""))</f>
        <v/>
      </c>
      <c r="L889" s="34" t="str">
        <f aca="false">IF(B889="","",IF(MONTH(B889)=3,"X",""))</f>
        <v/>
      </c>
      <c r="M889" s="34" t="str">
        <f aca="false">IF(B889="","",IF(MONTH(B889)=4,"X",""))</f>
        <v/>
      </c>
      <c r="N889" s="34" t="str">
        <f aca="false">IF(B889="","",IF(MONTH(B889)=5,"X",""))</f>
        <v/>
      </c>
      <c r="O889" s="34" t="str">
        <f aca="false">IF(B889="","",IF(MONTH(B889)=6,"X",""))</f>
        <v/>
      </c>
      <c r="P889" s="34" t="str">
        <f aca="false">IF(B889="","",IF(MONTH(B889)=7,"X",""))</f>
        <v/>
      </c>
      <c r="Q889" s="34" t="str">
        <f aca="false">IF(B889="","",IF(MONTH(B889)=8,"X",""))</f>
        <v/>
      </c>
      <c r="R889" s="34" t="str">
        <f aca="false">IF(B889="","",IF(MONTH(B889)=9,"X",""))</f>
        <v/>
      </c>
      <c r="S889" s="34" t="str">
        <f aca="false">IF(B889="","",IF(MONTH(B889)=10,"X",""))</f>
        <v/>
      </c>
      <c r="T889" s="34" t="str">
        <f aca="false">IF(B889="","",IF(MONTH(B889)=11,"X",""))</f>
        <v/>
      </c>
      <c r="U889" s="34" t="str">
        <f aca="false">IF(B889="","",IF(MONTH(B889)=12,"X",""))</f>
        <v/>
      </c>
      <c r="V889" s="24" t="str">
        <f aca="false">IF(E889="","",COUNTIF($E$5:$E$1000,E889))</f>
        <v/>
      </c>
      <c r="W889" s="35" t="str">
        <f aca="false">IF(E889="","",_xlfn.TEXTJOIN(" + ",TRUE(),IF(COUNTIFS($E$5:$E$1000,E889,$C$5:$C$1000,"Auditoría Interna")&gt;0,"Interna",""),IF(COUNTIFS($E$5:$E$1000,E889,$C$5:$C$1000,"Auditoría Externa")&gt;0,"Externa",""),IF(COUNTIFS($E$5:$E$1000,E889,$C$5:$C$1000,"SSF")&gt;0,"SSF",""),IF(COUNTIFS($E$5:$E$1000,E889,$C$5:$C$1000,"Comité de Supervisión")&gt;0,"Comité Sup.",""),IF(COUNTIFS($E$5:$E$1000,E889,$C$5:$C$1000,"Consejo de Administración")&gt;0,"Consejo",""),IF(COUNTIFS($E$5:$E$1000,E889,$C$5:$C$1000,"Otros")&gt;0,"Otros","")))</f>
        <v/>
      </c>
      <c r="X889" s="24" t="str">
        <f aca="false">IF(E889="","",COUNTIFS($E$5:$E$1000,E889,$AB$5:$AB$1000,AB889,$C$5:$C$1000,"&lt;&gt;"&amp;C889))</f>
        <v/>
      </c>
      <c r="Y889" s="33"/>
      <c r="Z889" s="31"/>
      <c r="AA889" s="33"/>
      <c r="AB889" s="37" t="str">
        <f aca="false">IF(B889="","",YEAR(B889)*100+MONTH(B889))</f>
        <v/>
      </c>
      <c r="AC889" s="37" t="str">
        <f aca="false">IF(AND(E889&lt;&gt;"",E889=Cruce!$C$5),COUNTIF($E$5:E889,E889),"")</f>
        <v/>
      </c>
      <c r="AD889" s="37" t="str">
        <f aca="false">IF(E889="","",C889&amp;"|"&amp;Y889&amp;"|"&amp;IF(B889="","s/f",TEXT(B889,"yyyymmdd")))</f>
        <v/>
      </c>
      <c r="AE889" s="37" t="n">
        <f aca="false">IF(E889="",0,IF(COUNTIFS($E$5:E889,E889,$AD$5:AD889,AD889)=1,1,0))</f>
        <v>0</v>
      </c>
    </row>
    <row r="890" customFormat="false" ht="15" hidden="false" customHeight="true" outlineLevel="0" collapsed="false">
      <c r="A890" s="31"/>
      <c r="B890" s="30"/>
      <c r="C890" s="31"/>
      <c r="D890" s="31"/>
      <c r="E890" s="32"/>
      <c r="F890" s="32"/>
      <c r="G890" s="33"/>
      <c r="H890" s="31"/>
      <c r="I890" s="24" t="str">
        <f aca="false">IF(B890="","",YEAR(B890))</f>
        <v/>
      </c>
      <c r="J890" s="34" t="str">
        <f aca="false">IF(B890="","",IF(MONTH(B890)=1,"X",""))</f>
        <v/>
      </c>
      <c r="K890" s="34" t="str">
        <f aca="false">IF(B890="","",IF(MONTH(B890)=2,"X",""))</f>
        <v/>
      </c>
      <c r="L890" s="34" t="str">
        <f aca="false">IF(B890="","",IF(MONTH(B890)=3,"X",""))</f>
        <v/>
      </c>
      <c r="M890" s="34" t="str">
        <f aca="false">IF(B890="","",IF(MONTH(B890)=4,"X",""))</f>
        <v/>
      </c>
      <c r="N890" s="34" t="str">
        <f aca="false">IF(B890="","",IF(MONTH(B890)=5,"X",""))</f>
        <v/>
      </c>
      <c r="O890" s="34" t="str">
        <f aca="false">IF(B890="","",IF(MONTH(B890)=6,"X",""))</f>
        <v/>
      </c>
      <c r="P890" s="34" t="str">
        <f aca="false">IF(B890="","",IF(MONTH(B890)=7,"X",""))</f>
        <v/>
      </c>
      <c r="Q890" s="34" t="str">
        <f aca="false">IF(B890="","",IF(MONTH(B890)=8,"X",""))</f>
        <v/>
      </c>
      <c r="R890" s="34" t="str">
        <f aca="false">IF(B890="","",IF(MONTH(B890)=9,"X",""))</f>
        <v/>
      </c>
      <c r="S890" s="34" t="str">
        <f aca="false">IF(B890="","",IF(MONTH(B890)=10,"X",""))</f>
        <v/>
      </c>
      <c r="T890" s="34" t="str">
        <f aca="false">IF(B890="","",IF(MONTH(B890)=11,"X",""))</f>
        <v/>
      </c>
      <c r="U890" s="34" t="str">
        <f aca="false">IF(B890="","",IF(MONTH(B890)=12,"X",""))</f>
        <v/>
      </c>
      <c r="V890" s="24" t="str">
        <f aca="false">IF(E890="","",COUNTIF($E$5:$E$1000,E890))</f>
        <v/>
      </c>
      <c r="W890" s="35" t="str">
        <f aca="false">IF(E890="","",_xlfn.TEXTJOIN(" + ",TRUE(),IF(COUNTIFS($E$5:$E$1000,E890,$C$5:$C$1000,"Auditoría Interna")&gt;0,"Interna",""),IF(COUNTIFS($E$5:$E$1000,E890,$C$5:$C$1000,"Auditoría Externa")&gt;0,"Externa",""),IF(COUNTIFS($E$5:$E$1000,E890,$C$5:$C$1000,"SSF")&gt;0,"SSF",""),IF(COUNTIFS($E$5:$E$1000,E890,$C$5:$C$1000,"Comité de Supervisión")&gt;0,"Comité Sup.",""),IF(COUNTIFS($E$5:$E$1000,E890,$C$5:$C$1000,"Consejo de Administración")&gt;0,"Consejo",""),IF(COUNTIFS($E$5:$E$1000,E890,$C$5:$C$1000,"Otros")&gt;0,"Otros","")))</f>
        <v/>
      </c>
      <c r="X890" s="24" t="str">
        <f aca="false">IF(E890="","",COUNTIFS($E$5:$E$1000,E890,$AB$5:$AB$1000,AB890,$C$5:$C$1000,"&lt;&gt;"&amp;C890))</f>
        <v/>
      </c>
      <c r="Y890" s="33"/>
      <c r="Z890" s="31"/>
      <c r="AA890" s="33"/>
      <c r="AB890" s="37" t="str">
        <f aca="false">IF(B890="","",YEAR(B890)*100+MONTH(B890))</f>
        <v/>
      </c>
      <c r="AC890" s="37" t="str">
        <f aca="false">IF(AND(E890&lt;&gt;"",E890=Cruce!$C$5),COUNTIF($E$5:E890,E890),"")</f>
        <v/>
      </c>
      <c r="AD890" s="37" t="str">
        <f aca="false">IF(E890="","",C890&amp;"|"&amp;Y890&amp;"|"&amp;IF(B890="","s/f",TEXT(B890,"yyyymmdd")))</f>
        <v/>
      </c>
      <c r="AE890" s="37" t="n">
        <f aca="false">IF(E890="",0,IF(COUNTIFS($E$5:E890,E890,$AD$5:AD890,AD890)=1,1,0))</f>
        <v>0</v>
      </c>
    </row>
    <row r="891" customFormat="false" ht="15" hidden="false" customHeight="true" outlineLevel="0" collapsed="false">
      <c r="A891" s="31"/>
      <c r="B891" s="30"/>
      <c r="C891" s="31"/>
      <c r="D891" s="31"/>
      <c r="E891" s="32"/>
      <c r="F891" s="32"/>
      <c r="G891" s="33"/>
      <c r="H891" s="31"/>
      <c r="I891" s="24" t="str">
        <f aca="false">IF(B891="","",YEAR(B891))</f>
        <v/>
      </c>
      <c r="J891" s="34" t="str">
        <f aca="false">IF(B891="","",IF(MONTH(B891)=1,"X",""))</f>
        <v/>
      </c>
      <c r="K891" s="34" t="str">
        <f aca="false">IF(B891="","",IF(MONTH(B891)=2,"X",""))</f>
        <v/>
      </c>
      <c r="L891" s="34" t="str">
        <f aca="false">IF(B891="","",IF(MONTH(B891)=3,"X",""))</f>
        <v/>
      </c>
      <c r="M891" s="34" t="str">
        <f aca="false">IF(B891="","",IF(MONTH(B891)=4,"X",""))</f>
        <v/>
      </c>
      <c r="N891" s="34" t="str">
        <f aca="false">IF(B891="","",IF(MONTH(B891)=5,"X",""))</f>
        <v/>
      </c>
      <c r="O891" s="34" t="str">
        <f aca="false">IF(B891="","",IF(MONTH(B891)=6,"X",""))</f>
        <v/>
      </c>
      <c r="P891" s="34" t="str">
        <f aca="false">IF(B891="","",IF(MONTH(B891)=7,"X",""))</f>
        <v/>
      </c>
      <c r="Q891" s="34" t="str">
        <f aca="false">IF(B891="","",IF(MONTH(B891)=8,"X",""))</f>
        <v/>
      </c>
      <c r="R891" s="34" t="str">
        <f aca="false">IF(B891="","",IF(MONTH(B891)=9,"X",""))</f>
        <v/>
      </c>
      <c r="S891" s="34" t="str">
        <f aca="false">IF(B891="","",IF(MONTH(B891)=10,"X",""))</f>
        <v/>
      </c>
      <c r="T891" s="34" t="str">
        <f aca="false">IF(B891="","",IF(MONTH(B891)=11,"X",""))</f>
        <v/>
      </c>
      <c r="U891" s="34" t="str">
        <f aca="false">IF(B891="","",IF(MONTH(B891)=12,"X",""))</f>
        <v/>
      </c>
      <c r="V891" s="24" t="str">
        <f aca="false">IF(E891="","",COUNTIF($E$5:$E$1000,E891))</f>
        <v/>
      </c>
      <c r="W891" s="35" t="str">
        <f aca="false">IF(E891="","",_xlfn.TEXTJOIN(" + ",TRUE(),IF(COUNTIFS($E$5:$E$1000,E891,$C$5:$C$1000,"Auditoría Interna")&gt;0,"Interna",""),IF(COUNTIFS($E$5:$E$1000,E891,$C$5:$C$1000,"Auditoría Externa")&gt;0,"Externa",""),IF(COUNTIFS($E$5:$E$1000,E891,$C$5:$C$1000,"SSF")&gt;0,"SSF",""),IF(COUNTIFS($E$5:$E$1000,E891,$C$5:$C$1000,"Comité de Supervisión")&gt;0,"Comité Sup.",""),IF(COUNTIFS($E$5:$E$1000,E891,$C$5:$C$1000,"Consejo de Administración")&gt;0,"Consejo",""),IF(COUNTIFS($E$5:$E$1000,E891,$C$5:$C$1000,"Otros")&gt;0,"Otros","")))</f>
        <v/>
      </c>
      <c r="X891" s="24" t="str">
        <f aca="false">IF(E891="","",COUNTIFS($E$5:$E$1000,E891,$AB$5:$AB$1000,AB891,$C$5:$C$1000,"&lt;&gt;"&amp;C891))</f>
        <v/>
      </c>
      <c r="Y891" s="33"/>
      <c r="Z891" s="31"/>
      <c r="AA891" s="33"/>
      <c r="AB891" s="37" t="str">
        <f aca="false">IF(B891="","",YEAR(B891)*100+MONTH(B891))</f>
        <v/>
      </c>
      <c r="AC891" s="37" t="str">
        <f aca="false">IF(AND(E891&lt;&gt;"",E891=Cruce!$C$5),COUNTIF($E$5:E891,E891),"")</f>
        <v/>
      </c>
      <c r="AD891" s="37" t="str">
        <f aca="false">IF(E891="","",C891&amp;"|"&amp;Y891&amp;"|"&amp;IF(B891="","s/f",TEXT(B891,"yyyymmdd")))</f>
        <v/>
      </c>
      <c r="AE891" s="37" t="n">
        <f aca="false">IF(E891="",0,IF(COUNTIFS($E$5:E891,E891,$AD$5:AD891,AD891)=1,1,0))</f>
        <v>0</v>
      </c>
    </row>
    <row r="892" customFormat="false" ht="15" hidden="false" customHeight="true" outlineLevel="0" collapsed="false">
      <c r="A892" s="31"/>
      <c r="B892" s="30"/>
      <c r="C892" s="31"/>
      <c r="D892" s="31"/>
      <c r="E892" s="32"/>
      <c r="F892" s="32"/>
      <c r="G892" s="33"/>
      <c r="H892" s="31"/>
      <c r="I892" s="24" t="str">
        <f aca="false">IF(B892="","",YEAR(B892))</f>
        <v/>
      </c>
      <c r="J892" s="34" t="str">
        <f aca="false">IF(B892="","",IF(MONTH(B892)=1,"X",""))</f>
        <v/>
      </c>
      <c r="K892" s="34" t="str">
        <f aca="false">IF(B892="","",IF(MONTH(B892)=2,"X",""))</f>
        <v/>
      </c>
      <c r="L892" s="34" t="str">
        <f aca="false">IF(B892="","",IF(MONTH(B892)=3,"X",""))</f>
        <v/>
      </c>
      <c r="M892" s="34" t="str">
        <f aca="false">IF(B892="","",IF(MONTH(B892)=4,"X",""))</f>
        <v/>
      </c>
      <c r="N892" s="34" t="str">
        <f aca="false">IF(B892="","",IF(MONTH(B892)=5,"X",""))</f>
        <v/>
      </c>
      <c r="O892" s="34" t="str">
        <f aca="false">IF(B892="","",IF(MONTH(B892)=6,"X",""))</f>
        <v/>
      </c>
      <c r="P892" s="34" t="str">
        <f aca="false">IF(B892="","",IF(MONTH(B892)=7,"X",""))</f>
        <v/>
      </c>
      <c r="Q892" s="34" t="str">
        <f aca="false">IF(B892="","",IF(MONTH(B892)=8,"X",""))</f>
        <v/>
      </c>
      <c r="R892" s="34" t="str">
        <f aca="false">IF(B892="","",IF(MONTH(B892)=9,"X",""))</f>
        <v/>
      </c>
      <c r="S892" s="34" t="str">
        <f aca="false">IF(B892="","",IF(MONTH(B892)=10,"X",""))</f>
        <v/>
      </c>
      <c r="T892" s="34" t="str">
        <f aca="false">IF(B892="","",IF(MONTH(B892)=11,"X",""))</f>
        <v/>
      </c>
      <c r="U892" s="34" t="str">
        <f aca="false">IF(B892="","",IF(MONTH(B892)=12,"X",""))</f>
        <v/>
      </c>
      <c r="V892" s="24" t="str">
        <f aca="false">IF(E892="","",COUNTIF($E$5:$E$1000,E892))</f>
        <v/>
      </c>
      <c r="W892" s="35" t="str">
        <f aca="false">IF(E892="","",_xlfn.TEXTJOIN(" + ",TRUE(),IF(COUNTIFS($E$5:$E$1000,E892,$C$5:$C$1000,"Auditoría Interna")&gt;0,"Interna",""),IF(COUNTIFS($E$5:$E$1000,E892,$C$5:$C$1000,"Auditoría Externa")&gt;0,"Externa",""),IF(COUNTIFS($E$5:$E$1000,E892,$C$5:$C$1000,"SSF")&gt;0,"SSF",""),IF(COUNTIFS($E$5:$E$1000,E892,$C$5:$C$1000,"Comité de Supervisión")&gt;0,"Comité Sup.",""),IF(COUNTIFS($E$5:$E$1000,E892,$C$5:$C$1000,"Consejo de Administración")&gt;0,"Consejo",""),IF(COUNTIFS($E$5:$E$1000,E892,$C$5:$C$1000,"Otros")&gt;0,"Otros","")))</f>
        <v/>
      </c>
      <c r="X892" s="24" t="str">
        <f aca="false">IF(E892="","",COUNTIFS($E$5:$E$1000,E892,$AB$5:$AB$1000,AB892,$C$5:$C$1000,"&lt;&gt;"&amp;C892))</f>
        <v/>
      </c>
      <c r="Y892" s="33"/>
      <c r="Z892" s="31"/>
      <c r="AA892" s="33"/>
      <c r="AB892" s="37" t="str">
        <f aca="false">IF(B892="","",YEAR(B892)*100+MONTH(B892))</f>
        <v/>
      </c>
      <c r="AC892" s="37" t="str">
        <f aca="false">IF(AND(E892&lt;&gt;"",E892=Cruce!$C$5),COUNTIF($E$5:E892,E892),"")</f>
        <v/>
      </c>
      <c r="AD892" s="37" t="str">
        <f aca="false">IF(E892="","",C892&amp;"|"&amp;Y892&amp;"|"&amp;IF(B892="","s/f",TEXT(B892,"yyyymmdd")))</f>
        <v/>
      </c>
      <c r="AE892" s="37" t="n">
        <f aca="false">IF(E892="",0,IF(COUNTIFS($E$5:E892,E892,$AD$5:AD892,AD892)=1,1,0))</f>
        <v>0</v>
      </c>
    </row>
    <row r="893" customFormat="false" ht="15" hidden="false" customHeight="true" outlineLevel="0" collapsed="false">
      <c r="A893" s="31"/>
      <c r="B893" s="30"/>
      <c r="C893" s="31"/>
      <c r="D893" s="31"/>
      <c r="E893" s="32"/>
      <c r="F893" s="32"/>
      <c r="G893" s="33"/>
      <c r="H893" s="31"/>
      <c r="I893" s="24" t="str">
        <f aca="false">IF(B893="","",YEAR(B893))</f>
        <v/>
      </c>
      <c r="J893" s="34" t="str">
        <f aca="false">IF(B893="","",IF(MONTH(B893)=1,"X",""))</f>
        <v/>
      </c>
      <c r="K893" s="34" t="str">
        <f aca="false">IF(B893="","",IF(MONTH(B893)=2,"X",""))</f>
        <v/>
      </c>
      <c r="L893" s="34" t="str">
        <f aca="false">IF(B893="","",IF(MONTH(B893)=3,"X",""))</f>
        <v/>
      </c>
      <c r="M893" s="34" t="str">
        <f aca="false">IF(B893="","",IF(MONTH(B893)=4,"X",""))</f>
        <v/>
      </c>
      <c r="N893" s="34" t="str">
        <f aca="false">IF(B893="","",IF(MONTH(B893)=5,"X",""))</f>
        <v/>
      </c>
      <c r="O893" s="34" t="str">
        <f aca="false">IF(B893="","",IF(MONTH(B893)=6,"X",""))</f>
        <v/>
      </c>
      <c r="P893" s="34" t="str">
        <f aca="false">IF(B893="","",IF(MONTH(B893)=7,"X",""))</f>
        <v/>
      </c>
      <c r="Q893" s="34" t="str">
        <f aca="false">IF(B893="","",IF(MONTH(B893)=8,"X",""))</f>
        <v/>
      </c>
      <c r="R893" s="34" t="str">
        <f aca="false">IF(B893="","",IF(MONTH(B893)=9,"X",""))</f>
        <v/>
      </c>
      <c r="S893" s="34" t="str">
        <f aca="false">IF(B893="","",IF(MONTH(B893)=10,"X",""))</f>
        <v/>
      </c>
      <c r="T893" s="34" t="str">
        <f aca="false">IF(B893="","",IF(MONTH(B893)=11,"X",""))</f>
        <v/>
      </c>
      <c r="U893" s="34" t="str">
        <f aca="false">IF(B893="","",IF(MONTH(B893)=12,"X",""))</f>
        <v/>
      </c>
      <c r="V893" s="24" t="str">
        <f aca="false">IF(E893="","",COUNTIF($E$5:$E$1000,E893))</f>
        <v/>
      </c>
      <c r="W893" s="35" t="str">
        <f aca="false">IF(E893="","",_xlfn.TEXTJOIN(" + ",TRUE(),IF(COUNTIFS($E$5:$E$1000,E893,$C$5:$C$1000,"Auditoría Interna")&gt;0,"Interna",""),IF(COUNTIFS($E$5:$E$1000,E893,$C$5:$C$1000,"Auditoría Externa")&gt;0,"Externa",""),IF(COUNTIFS($E$5:$E$1000,E893,$C$5:$C$1000,"SSF")&gt;0,"SSF",""),IF(COUNTIFS($E$5:$E$1000,E893,$C$5:$C$1000,"Comité de Supervisión")&gt;0,"Comité Sup.",""),IF(COUNTIFS($E$5:$E$1000,E893,$C$5:$C$1000,"Consejo de Administración")&gt;0,"Consejo",""),IF(COUNTIFS($E$5:$E$1000,E893,$C$5:$C$1000,"Otros")&gt;0,"Otros","")))</f>
        <v/>
      </c>
      <c r="X893" s="24" t="str">
        <f aca="false">IF(E893="","",COUNTIFS($E$5:$E$1000,E893,$AB$5:$AB$1000,AB893,$C$5:$C$1000,"&lt;&gt;"&amp;C893))</f>
        <v/>
      </c>
      <c r="Y893" s="33"/>
      <c r="Z893" s="31"/>
      <c r="AA893" s="33"/>
      <c r="AB893" s="37" t="str">
        <f aca="false">IF(B893="","",YEAR(B893)*100+MONTH(B893))</f>
        <v/>
      </c>
      <c r="AC893" s="37" t="str">
        <f aca="false">IF(AND(E893&lt;&gt;"",E893=Cruce!$C$5),COUNTIF($E$5:E893,E893),"")</f>
        <v/>
      </c>
      <c r="AD893" s="37" t="str">
        <f aca="false">IF(E893="","",C893&amp;"|"&amp;Y893&amp;"|"&amp;IF(B893="","s/f",TEXT(B893,"yyyymmdd")))</f>
        <v/>
      </c>
      <c r="AE893" s="37" t="n">
        <f aca="false">IF(E893="",0,IF(COUNTIFS($E$5:E893,E893,$AD$5:AD893,AD893)=1,1,0))</f>
        <v>0</v>
      </c>
    </row>
    <row r="894" customFormat="false" ht="15" hidden="false" customHeight="true" outlineLevel="0" collapsed="false">
      <c r="A894" s="31"/>
      <c r="B894" s="30"/>
      <c r="C894" s="31"/>
      <c r="D894" s="31"/>
      <c r="E894" s="32"/>
      <c r="F894" s="32"/>
      <c r="G894" s="33"/>
      <c r="H894" s="31"/>
      <c r="I894" s="24" t="str">
        <f aca="false">IF(B894="","",YEAR(B894))</f>
        <v/>
      </c>
      <c r="J894" s="34" t="str">
        <f aca="false">IF(B894="","",IF(MONTH(B894)=1,"X",""))</f>
        <v/>
      </c>
      <c r="K894" s="34" t="str">
        <f aca="false">IF(B894="","",IF(MONTH(B894)=2,"X",""))</f>
        <v/>
      </c>
      <c r="L894" s="34" t="str">
        <f aca="false">IF(B894="","",IF(MONTH(B894)=3,"X",""))</f>
        <v/>
      </c>
      <c r="M894" s="34" t="str">
        <f aca="false">IF(B894="","",IF(MONTH(B894)=4,"X",""))</f>
        <v/>
      </c>
      <c r="N894" s="34" t="str">
        <f aca="false">IF(B894="","",IF(MONTH(B894)=5,"X",""))</f>
        <v/>
      </c>
      <c r="O894" s="34" t="str">
        <f aca="false">IF(B894="","",IF(MONTH(B894)=6,"X",""))</f>
        <v/>
      </c>
      <c r="P894" s="34" t="str">
        <f aca="false">IF(B894="","",IF(MONTH(B894)=7,"X",""))</f>
        <v/>
      </c>
      <c r="Q894" s="34" t="str">
        <f aca="false">IF(B894="","",IF(MONTH(B894)=8,"X",""))</f>
        <v/>
      </c>
      <c r="R894" s="34" t="str">
        <f aca="false">IF(B894="","",IF(MONTH(B894)=9,"X",""))</f>
        <v/>
      </c>
      <c r="S894" s="34" t="str">
        <f aca="false">IF(B894="","",IF(MONTH(B894)=10,"X",""))</f>
        <v/>
      </c>
      <c r="T894" s="34" t="str">
        <f aca="false">IF(B894="","",IF(MONTH(B894)=11,"X",""))</f>
        <v/>
      </c>
      <c r="U894" s="34" t="str">
        <f aca="false">IF(B894="","",IF(MONTH(B894)=12,"X",""))</f>
        <v/>
      </c>
      <c r="V894" s="24" t="str">
        <f aca="false">IF(E894="","",COUNTIF($E$5:$E$1000,E894))</f>
        <v/>
      </c>
      <c r="W894" s="35" t="str">
        <f aca="false">IF(E894="","",_xlfn.TEXTJOIN(" + ",TRUE(),IF(COUNTIFS($E$5:$E$1000,E894,$C$5:$C$1000,"Auditoría Interna")&gt;0,"Interna",""),IF(COUNTIFS($E$5:$E$1000,E894,$C$5:$C$1000,"Auditoría Externa")&gt;0,"Externa",""),IF(COUNTIFS($E$5:$E$1000,E894,$C$5:$C$1000,"SSF")&gt;0,"SSF",""),IF(COUNTIFS($E$5:$E$1000,E894,$C$5:$C$1000,"Comité de Supervisión")&gt;0,"Comité Sup.",""),IF(COUNTIFS($E$5:$E$1000,E894,$C$5:$C$1000,"Consejo de Administración")&gt;0,"Consejo",""),IF(COUNTIFS($E$5:$E$1000,E894,$C$5:$C$1000,"Otros")&gt;0,"Otros","")))</f>
        <v/>
      </c>
      <c r="X894" s="24" t="str">
        <f aca="false">IF(E894="","",COUNTIFS($E$5:$E$1000,E894,$AB$5:$AB$1000,AB894,$C$5:$C$1000,"&lt;&gt;"&amp;C894))</f>
        <v/>
      </c>
      <c r="Y894" s="33"/>
      <c r="Z894" s="31"/>
      <c r="AA894" s="33"/>
      <c r="AB894" s="37" t="str">
        <f aca="false">IF(B894="","",YEAR(B894)*100+MONTH(B894))</f>
        <v/>
      </c>
      <c r="AC894" s="37" t="str">
        <f aca="false">IF(AND(E894&lt;&gt;"",E894=Cruce!$C$5),COUNTIF($E$5:E894,E894),"")</f>
        <v/>
      </c>
      <c r="AD894" s="37" t="str">
        <f aca="false">IF(E894="","",C894&amp;"|"&amp;Y894&amp;"|"&amp;IF(B894="","s/f",TEXT(B894,"yyyymmdd")))</f>
        <v/>
      </c>
      <c r="AE894" s="37" t="n">
        <f aca="false">IF(E894="",0,IF(COUNTIFS($E$5:E894,E894,$AD$5:AD894,AD894)=1,1,0))</f>
        <v>0</v>
      </c>
    </row>
    <row r="895" customFormat="false" ht="15" hidden="false" customHeight="true" outlineLevel="0" collapsed="false">
      <c r="A895" s="31"/>
      <c r="B895" s="30"/>
      <c r="C895" s="31"/>
      <c r="D895" s="31"/>
      <c r="E895" s="32"/>
      <c r="F895" s="32"/>
      <c r="G895" s="33"/>
      <c r="H895" s="31"/>
      <c r="I895" s="24" t="str">
        <f aca="false">IF(B895="","",YEAR(B895))</f>
        <v/>
      </c>
      <c r="J895" s="34" t="str">
        <f aca="false">IF(B895="","",IF(MONTH(B895)=1,"X",""))</f>
        <v/>
      </c>
      <c r="K895" s="34" t="str">
        <f aca="false">IF(B895="","",IF(MONTH(B895)=2,"X",""))</f>
        <v/>
      </c>
      <c r="L895" s="34" t="str">
        <f aca="false">IF(B895="","",IF(MONTH(B895)=3,"X",""))</f>
        <v/>
      </c>
      <c r="M895" s="34" t="str">
        <f aca="false">IF(B895="","",IF(MONTH(B895)=4,"X",""))</f>
        <v/>
      </c>
      <c r="N895" s="34" t="str">
        <f aca="false">IF(B895="","",IF(MONTH(B895)=5,"X",""))</f>
        <v/>
      </c>
      <c r="O895" s="34" t="str">
        <f aca="false">IF(B895="","",IF(MONTH(B895)=6,"X",""))</f>
        <v/>
      </c>
      <c r="P895" s="34" t="str">
        <f aca="false">IF(B895="","",IF(MONTH(B895)=7,"X",""))</f>
        <v/>
      </c>
      <c r="Q895" s="34" t="str">
        <f aca="false">IF(B895="","",IF(MONTH(B895)=8,"X",""))</f>
        <v/>
      </c>
      <c r="R895" s="34" t="str">
        <f aca="false">IF(B895="","",IF(MONTH(B895)=9,"X",""))</f>
        <v/>
      </c>
      <c r="S895" s="34" t="str">
        <f aca="false">IF(B895="","",IF(MONTH(B895)=10,"X",""))</f>
        <v/>
      </c>
      <c r="T895" s="34" t="str">
        <f aca="false">IF(B895="","",IF(MONTH(B895)=11,"X",""))</f>
        <v/>
      </c>
      <c r="U895" s="34" t="str">
        <f aca="false">IF(B895="","",IF(MONTH(B895)=12,"X",""))</f>
        <v/>
      </c>
      <c r="V895" s="24" t="str">
        <f aca="false">IF(E895="","",COUNTIF($E$5:$E$1000,E895))</f>
        <v/>
      </c>
      <c r="W895" s="35" t="str">
        <f aca="false">IF(E895="","",_xlfn.TEXTJOIN(" + ",TRUE(),IF(COUNTIFS($E$5:$E$1000,E895,$C$5:$C$1000,"Auditoría Interna")&gt;0,"Interna",""),IF(COUNTIFS($E$5:$E$1000,E895,$C$5:$C$1000,"Auditoría Externa")&gt;0,"Externa",""),IF(COUNTIFS($E$5:$E$1000,E895,$C$5:$C$1000,"SSF")&gt;0,"SSF",""),IF(COUNTIFS($E$5:$E$1000,E895,$C$5:$C$1000,"Comité de Supervisión")&gt;0,"Comité Sup.",""),IF(COUNTIFS($E$5:$E$1000,E895,$C$5:$C$1000,"Consejo de Administración")&gt;0,"Consejo",""),IF(COUNTIFS($E$5:$E$1000,E895,$C$5:$C$1000,"Otros")&gt;0,"Otros","")))</f>
        <v/>
      </c>
      <c r="X895" s="24" t="str">
        <f aca="false">IF(E895="","",COUNTIFS($E$5:$E$1000,E895,$AB$5:$AB$1000,AB895,$C$5:$C$1000,"&lt;&gt;"&amp;C895))</f>
        <v/>
      </c>
      <c r="Y895" s="33"/>
      <c r="Z895" s="31"/>
      <c r="AA895" s="33"/>
      <c r="AB895" s="37" t="str">
        <f aca="false">IF(B895="","",YEAR(B895)*100+MONTH(B895))</f>
        <v/>
      </c>
      <c r="AC895" s="37" t="str">
        <f aca="false">IF(AND(E895&lt;&gt;"",E895=Cruce!$C$5),COUNTIF($E$5:E895,E895),"")</f>
        <v/>
      </c>
      <c r="AD895" s="37" t="str">
        <f aca="false">IF(E895="","",C895&amp;"|"&amp;Y895&amp;"|"&amp;IF(B895="","s/f",TEXT(B895,"yyyymmdd")))</f>
        <v/>
      </c>
      <c r="AE895" s="37" t="n">
        <f aca="false">IF(E895="",0,IF(COUNTIFS($E$5:E895,E895,$AD$5:AD895,AD895)=1,1,0))</f>
        <v>0</v>
      </c>
    </row>
    <row r="896" customFormat="false" ht="15" hidden="false" customHeight="true" outlineLevel="0" collapsed="false">
      <c r="A896" s="31"/>
      <c r="B896" s="30"/>
      <c r="C896" s="31"/>
      <c r="D896" s="31"/>
      <c r="E896" s="32"/>
      <c r="F896" s="32"/>
      <c r="G896" s="33"/>
      <c r="H896" s="31"/>
      <c r="I896" s="24" t="str">
        <f aca="false">IF(B896="","",YEAR(B896))</f>
        <v/>
      </c>
      <c r="J896" s="34" t="str">
        <f aca="false">IF(B896="","",IF(MONTH(B896)=1,"X",""))</f>
        <v/>
      </c>
      <c r="K896" s="34" t="str">
        <f aca="false">IF(B896="","",IF(MONTH(B896)=2,"X",""))</f>
        <v/>
      </c>
      <c r="L896" s="34" t="str">
        <f aca="false">IF(B896="","",IF(MONTH(B896)=3,"X",""))</f>
        <v/>
      </c>
      <c r="M896" s="34" t="str">
        <f aca="false">IF(B896="","",IF(MONTH(B896)=4,"X",""))</f>
        <v/>
      </c>
      <c r="N896" s="34" t="str">
        <f aca="false">IF(B896="","",IF(MONTH(B896)=5,"X",""))</f>
        <v/>
      </c>
      <c r="O896" s="34" t="str">
        <f aca="false">IF(B896="","",IF(MONTH(B896)=6,"X",""))</f>
        <v/>
      </c>
      <c r="P896" s="34" t="str">
        <f aca="false">IF(B896="","",IF(MONTH(B896)=7,"X",""))</f>
        <v/>
      </c>
      <c r="Q896" s="34" t="str">
        <f aca="false">IF(B896="","",IF(MONTH(B896)=8,"X",""))</f>
        <v/>
      </c>
      <c r="R896" s="34" t="str">
        <f aca="false">IF(B896="","",IF(MONTH(B896)=9,"X",""))</f>
        <v/>
      </c>
      <c r="S896" s="34" t="str">
        <f aca="false">IF(B896="","",IF(MONTH(B896)=10,"X",""))</f>
        <v/>
      </c>
      <c r="T896" s="34" t="str">
        <f aca="false">IF(B896="","",IF(MONTH(B896)=11,"X",""))</f>
        <v/>
      </c>
      <c r="U896" s="34" t="str">
        <f aca="false">IF(B896="","",IF(MONTH(B896)=12,"X",""))</f>
        <v/>
      </c>
      <c r="V896" s="24" t="str">
        <f aca="false">IF(E896="","",COUNTIF($E$5:$E$1000,E896))</f>
        <v/>
      </c>
      <c r="W896" s="35" t="str">
        <f aca="false">IF(E896="","",_xlfn.TEXTJOIN(" + ",TRUE(),IF(COUNTIFS($E$5:$E$1000,E896,$C$5:$C$1000,"Auditoría Interna")&gt;0,"Interna",""),IF(COUNTIFS($E$5:$E$1000,E896,$C$5:$C$1000,"Auditoría Externa")&gt;0,"Externa",""),IF(COUNTIFS($E$5:$E$1000,E896,$C$5:$C$1000,"SSF")&gt;0,"SSF",""),IF(COUNTIFS($E$5:$E$1000,E896,$C$5:$C$1000,"Comité de Supervisión")&gt;0,"Comité Sup.",""),IF(COUNTIFS($E$5:$E$1000,E896,$C$5:$C$1000,"Consejo de Administración")&gt;0,"Consejo",""),IF(COUNTIFS($E$5:$E$1000,E896,$C$5:$C$1000,"Otros")&gt;0,"Otros","")))</f>
        <v/>
      </c>
      <c r="X896" s="24" t="str">
        <f aca="false">IF(E896="","",COUNTIFS($E$5:$E$1000,E896,$AB$5:$AB$1000,AB896,$C$5:$C$1000,"&lt;&gt;"&amp;C896))</f>
        <v/>
      </c>
      <c r="Y896" s="33"/>
      <c r="Z896" s="31"/>
      <c r="AA896" s="33"/>
      <c r="AB896" s="37" t="str">
        <f aca="false">IF(B896="","",YEAR(B896)*100+MONTH(B896))</f>
        <v/>
      </c>
      <c r="AC896" s="37" t="str">
        <f aca="false">IF(AND(E896&lt;&gt;"",E896=Cruce!$C$5),COUNTIF($E$5:E896,E896),"")</f>
        <v/>
      </c>
      <c r="AD896" s="37" t="str">
        <f aca="false">IF(E896="","",C896&amp;"|"&amp;Y896&amp;"|"&amp;IF(B896="","s/f",TEXT(B896,"yyyymmdd")))</f>
        <v/>
      </c>
      <c r="AE896" s="37" t="n">
        <f aca="false">IF(E896="",0,IF(COUNTIFS($E$5:E896,E896,$AD$5:AD896,AD896)=1,1,0))</f>
        <v>0</v>
      </c>
    </row>
    <row r="897" customFormat="false" ht="15" hidden="false" customHeight="true" outlineLevel="0" collapsed="false">
      <c r="A897" s="31"/>
      <c r="B897" s="30"/>
      <c r="C897" s="31"/>
      <c r="D897" s="31"/>
      <c r="E897" s="32"/>
      <c r="F897" s="32"/>
      <c r="G897" s="33"/>
      <c r="H897" s="31"/>
      <c r="I897" s="24" t="str">
        <f aca="false">IF(B897="","",YEAR(B897))</f>
        <v/>
      </c>
      <c r="J897" s="34" t="str">
        <f aca="false">IF(B897="","",IF(MONTH(B897)=1,"X",""))</f>
        <v/>
      </c>
      <c r="K897" s="34" t="str">
        <f aca="false">IF(B897="","",IF(MONTH(B897)=2,"X",""))</f>
        <v/>
      </c>
      <c r="L897" s="34" t="str">
        <f aca="false">IF(B897="","",IF(MONTH(B897)=3,"X",""))</f>
        <v/>
      </c>
      <c r="M897" s="34" t="str">
        <f aca="false">IF(B897="","",IF(MONTH(B897)=4,"X",""))</f>
        <v/>
      </c>
      <c r="N897" s="34" t="str">
        <f aca="false">IF(B897="","",IF(MONTH(B897)=5,"X",""))</f>
        <v/>
      </c>
      <c r="O897" s="34" t="str">
        <f aca="false">IF(B897="","",IF(MONTH(B897)=6,"X",""))</f>
        <v/>
      </c>
      <c r="P897" s="34" t="str">
        <f aca="false">IF(B897="","",IF(MONTH(B897)=7,"X",""))</f>
        <v/>
      </c>
      <c r="Q897" s="34" t="str">
        <f aca="false">IF(B897="","",IF(MONTH(B897)=8,"X",""))</f>
        <v/>
      </c>
      <c r="R897" s="34" t="str">
        <f aca="false">IF(B897="","",IF(MONTH(B897)=9,"X",""))</f>
        <v/>
      </c>
      <c r="S897" s="34" t="str">
        <f aca="false">IF(B897="","",IF(MONTH(B897)=10,"X",""))</f>
        <v/>
      </c>
      <c r="T897" s="34" t="str">
        <f aca="false">IF(B897="","",IF(MONTH(B897)=11,"X",""))</f>
        <v/>
      </c>
      <c r="U897" s="34" t="str">
        <f aca="false">IF(B897="","",IF(MONTH(B897)=12,"X",""))</f>
        <v/>
      </c>
      <c r="V897" s="24" t="str">
        <f aca="false">IF(E897="","",COUNTIF($E$5:$E$1000,E897))</f>
        <v/>
      </c>
      <c r="W897" s="35" t="str">
        <f aca="false">IF(E897="","",_xlfn.TEXTJOIN(" + ",TRUE(),IF(COUNTIFS($E$5:$E$1000,E897,$C$5:$C$1000,"Auditoría Interna")&gt;0,"Interna",""),IF(COUNTIFS($E$5:$E$1000,E897,$C$5:$C$1000,"Auditoría Externa")&gt;0,"Externa",""),IF(COUNTIFS($E$5:$E$1000,E897,$C$5:$C$1000,"SSF")&gt;0,"SSF",""),IF(COUNTIFS($E$5:$E$1000,E897,$C$5:$C$1000,"Comité de Supervisión")&gt;0,"Comité Sup.",""),IF(COUNTIFS($E$5:$E$1000,E897,$C$5:$C$1000,"Consejo de Administración")&gt;0,"Consejo",""),IF(COUNTIFS($E$5:$E$1000,E897,$C$5:$C$1000,"Otros")&gt;0,"Otros","")))</f>
        <v/>
      </c>
      <c r="X897" s="24" t="str">
        <f aca="false">IF(E897="","",COUNTIFS($E$5:$E$1000,E897,$AB$5:$AB$1000,AB897,$C$5:$C$1000,"&lt;&gt;"&amp;C897))</f>
        <v/>
      </c>
      <c r="Y897" s="33"/>
      <c r="Z897" s="31"/>
      <c r="AA897" s="33"/>
      <c r="AB897" s="37" t="str">
        <f aca="false">IF(B897="","",YEAR(B897)*100+MONTH(B897))</f>
        <v/>
      </c>
      <c r="AC897" s="37" t="str">
        <f aca="false">IF(AND(E897&lt;&gt;"",E897=Cruce!$C$5),COUNTIF($E$5:E897,E897),"")</f>
        <v/>
      </c>
      <c r="AD897" s="37" t="str">
        <f aca="false">IF(E897="","",C897&amp;"|"&amp;Y897&amp;"|"&amp;IF(B897="","s/f",TEXT(B897,"yyyymmdd")))</f>
        <v/>
      </c>
      <c r="AE897" s="37" t="n">
        <f aca="false">IF(E897="",0,IF(COUNTIFS($E$5:E897,E897,$AD$5:AD897,AD897)=1,1,0))</f>
        <v>0</v>
      </c>
    </row>
    <row r="898" customFormat="false" ht="15" hidden="false" customHeight="true" outlineLevel="0" collapsed="false">
      <c r="A898" s="31"/>
      <c r="B898" s="30"/>
      <c r="C898" s="31"/>
      <c r="D898" s="31"/>
      <c r="E898" s="32"/>
      <c r="F898" s="32"/>
      <c r="G898" s="33"/>
      <c r="H898" s="31"/>
      <c r="I898" s="24" t="str">
        <f aca="false">IF(B898="","",YEAR(B898))</f>
        <v/>
      </c>
      <c r="J898" s="34" t="str">
        <f aca="false">IF(B898="","",IF(MONTH(B898)=1,"X",""))</f>
        <v/>
      </c>
      <c r="K898" s="34" t="str">
        <f aca="false">IF(B898="","",IF(MONTH(B898)=2,"X",""))</f>
        <v/>
      </c>
      <c r="L898" s="34" t="str">
        <f aca="false">IF(B898="","",IF(MONTH(B898)=3,"X",""))</f>
        <v/>
      </c>
      <c r="M898" s="34" t="str">
        <f aca="false">IF(B898="","",IF(MONTH(B898)=4,"X",""))</f>
        <v/>
      </c>
      <c r="N898" s="34" t="str">
        <f aca="false">IF(B898="","",IF(MONTH(B898)=5,"X",""))</f>
        <v/>
      </c>
      <c r="O898" s="34" t="str">
        <f aca="false">IF(B898="","",IF(MONTH(B898)=6,"X",""))</f>
        <v/>
      </c>
      <c r="P898" s="34" t="str">
        <f aca="false">IF(B898="","",IF(MONTH(B898)=7,"X",""))</f>
        <v/>
      </c>
      <c r="Q898" s="34" t="str">
        <f aca="false">IF(B898="","",IF(MONTH(B898)=8,"X",""))</f>
        <v/>
      </c>
      <c r="R898" s="34" t="str">
        <f aca="false">IF(B898="","",IF(MONTH(B898)=9,"X",""))</f>
        <v/>
      </c>
      <c r="S898" s="34" t="str">
        <f aca="false">IF(B898="","",IF(MONTH(B898)=10,"X",""))</f>
        <v/>
      </c>
      <c r="T898" s="34" t="str">
        <f aca="false">IF(B898="","",IF(MONTH(B898)=11,"X",""))</f>
        <v/>
      </c>
      <c r="U898" s="34" t="str">
        <f aca="false">IF(B898="","",IF(MONTH(B898)=12,"X",""))</f>
        <v/>
      </c>
      <c r="V898" s="24" t="str">
        <f aca="false">IF(E898="","",COUNTIF($E$5:$E$1000,E898))</f>
        <v/>
      </c>
      <c r="W898" s="35" t="str">
        <f aca="false">IF(E898="","",_xlfn.TEXTJOIN(" + ",TRUE(),IF(COUNTIFS($E$5:$E$1000,E898,$C$5:$C$1000,"Auditoría Interna")&gt;0,"Interna",""),IF(COUNTIFS($E$5:$E$1000,E898,$C$5:$C$1000,"Auditoría Externa")&gt;0,"Externa",""),IF(COUNTIFS($E$5:$E$1000,E898,$C$5:$C$1000,"SSF")&gt;0,"SSF",""),IF(COUNTIFS($E$5:$E$1000,E898,$C$5:$C$1000,"Comité de Supervisión")&gt;0,"Comité Sup.",""),IF(COUNTIFS($E$5:$E$1000,E898,$C$5:$C$1000,"Consejo de Administración")&gt;0,"Consejo",""),IF(COUNTIFS($E$5:$E$1000,E898,$C$5:$C$1000,"Otros")&gt;0,"Otros","")))</f>
        <v/>
      </c>
      <c r="X898" s="24" t="str">
        <f aca="false">IF(E898="","",COUNTIFS($E$5:$E$1000,E898,$AB$5:$AB$1000,AB898,$C$5:$C$1000,"&lt;&gt;"&amp;C898))</f>
        <v/>
      </c>
      <c r="Y898" s="33"/>
      <c r="Z898" s="31"/>
      <c r="AA898" s="33"/>
      <c r="AB898" s="37" t="str">
        <f aca="false">IF(B898="","",YEAR(B898)*100+MONTH(B898))</f>
        <v/>
      </c>
      <c r="AC898" s="37" t="str">
        <f aca="false">IF(AND(E898&lt;&gt;"",E898=Cruce!$C$5),COUNTIF($E$5:E898,E898),"")</f>
        <v/>
      </c>
      <c r="AD898" s="37" t="str">
        <f aca="false">IF(E898="","",C898&amp;"|"&amp;Y898&amp;"|"&amp;IF(B898="","s/f",TEXT(B898,"yyyymmdd")))</f>
        <v/>
      </c>
      <c r="AE898" s="37" t="n">
        <f aca="false">IF(E898="",0,IF(COUNTIFS($E$5:E898,E898,$AD$5:AD898,AD898)=1,1,0))</f>
        <v>0</v>
      </c>
    </row>
    <row r="899" customFormat="false" ht="15" hidden="false" customHeight="true" outlineLevel="0" collapsed="false">
      <c r="A899" s="31"/>
      <c r="B899" s="30"/>
      <c r="C899" s="31"/>
      <c r="D899" s="31"/>
      <c r="E899" s="32"/>
      <c r="F899" s="32"/>
      <c r="G899" s="33"/>
      <c r="H899" s="31"/>
      <c r="I899" s="24" t="str">
        <f aca="false">IF(B899="","",YEAR(B899))</f>
        <v/>
      </c>
      <c r="J899" s="34" t="str">
        <f aca="false">IF(B899="","",IF(MONTH(B899)=1,"X",""))</f>
        <v/>
      </c>
      <c r="K899" s="34" t="str">
        <f aca="false">IF(B899="","",IF(MONTH(B899)=2,"X",""))</f>
        <v/>
      </c>
      <c r="L899" s="34" t="str">
        <f aca="false">IF(B899="","",IF(MONTH(B899)=3,"X",""))</f>
        <v/>
      </c>
      <c r="M899" s="34" t="str">
        <f aca="false">IF(B899="","",IF(MONTH(B899)=4,"X",""))</f>
        <v/>
      </c>
      <c r="N899" s="34" t="str">
        <f aca="false">IF(B899="","",IF(MONTH(B899)=5,"X",""))</f>
        <v/>
      </c>
      <c r="O899" s="34" t="str">
        <f aca="false">IF(B899="","",IF(MONTH(B899)=6,"X",""))</f>
        <v/>
      </c>
      <c r="P899" s="34" t="str">
        <f aca="false">IF(B899="","",IF(MONTH(B899)=7,"X",""))</f>
        <v/>
      </c>
      <c r="Q899" s="34" t="str">
        <f aca="false">IF(B899="","",IF(MONTH(B899)=8,"X",""))</f>
        <v/>
      </c>
      <c r="R899" s="34" t="str">
        <f aca="false">IF(B899="","",IF(MONTH(B899)=9,"X",""))</f>
        <v/>
      </c>
      <c r="S899" s="34" t="str">
        <f aca="false">IF(B899="","",IF(MONTH(B899)=10,"X",""))</f>
        <v/>
      </c>
      <c r="T899" s="34" t="str">
        <f aca="false">IF(B899="","",IF(MONTH(B899)=11,"X",""))</f>
        <v/>
      </c>
      <c r="U899" s="34" t="str">
        <f aca="false">IF(B899="","",IF(MONTH(B899)=12,"X",""))</f>
        <v/>
      </c>
      <c r="V899" s="24" t="str">
        <f aca="false">IF(E899="","",COUNTIF($E$5:$E$1000,E899))</f>
        <v/>
      </c>
      <c r="W899" s="35" t="str">
        <f aca="false">IF(E899="","",_xlfn.TEXTJOIN(" + ",TRUE(),IF(COUNTIFS($E$5:$E$1000,E899,$C$5:$C$1000,"Auditoría Interna")&gt;0,"Interna",""),IF(COUNTIFS($E$5:$E$1000,E899,$C$5:$C$1000,"Auditoría Externa")&gt;0,"Externa",""),IF(COUNTIFS($E$5:$E$1000,E899,$C$5:$C$1000,"SSF")&gt;0,"SSF",""),IF(COUNTIFS($E$5:$E$1000,E899,$C$5:$C$1000,"Comité de Supervisión")&gt;0,"Comité Sup.",""),IF(COUNTIFS($E$5:$E$1000,E899,$C$5:$C$1000,"Consejo de Administración")&gt;0,"Consejo",""),IF(COUNTIFS($E$5:$E$1000,E899,$C$5:$C$1000,"Otros")&gt;0,"Otros","")))</f>
        <v/>
      </c>
      <c r="X899" s="24" t="str">
        <f aca="false">IF(E899="","",COUNTIFS($E$5:$E$1000,E899,$AB$5:$AB$1000,AB899,$C$5:$C$1000,"&lt;&gt;"&amp;C899))</f>
        <v/>
      </c>
      <c r="Y899" s="33"/>
      <c r="Z899" s="31"/>
      <c r="AA899" s="33"/>
      <c r="AB899" s="37" t="str">
        <f aca="false">IF(B899="","",YEAR(B899)*100+MONTH(B899))</f>
        <v/>
      </c>
      <c r="AC899" s="37" t="str">
        <f aca="false">IF(AND(E899&lt;&gt;"",E899=Cruce!$C$5),COUNTIF($E$5:E899,E899),"")</f>
        <v/>
      </c>
      <c r="AD899" s="37" t="str">
        <f aca="false">IF(E899="","",C899&amp;"|"&amp;Y899&amp;"|"&amp;IF(B899="","s/f",TEXT(B899,"yyyymmdd")))</f>
        <v/>
      </c>
      <c r="AE899" s="37" t="n">
        <f aca="false">IF(E899="",0,IF(COUNTIFS($E$5:E899,E899,$AD$5:AD899,AD899)=1,1,0))</f>
        <v>0</v>
      </c>
    </row>
    <row r="900" customFormat="false" ht="15" hidden="false" customHeight="true" outlineLevel="0" collapsed="false">
      <c r="A900" s="31"/>
      <c r="B900" s="30"/>
      <c r="C900" s="31"/>
      <c r="D900" s="31"/>
      <c r="E900" s="32"/>
      <c r="F900" s="32"/>
      <c r="G900" s="33"/>
      <c r="H900" s="31"/>
      <c r="I900" s="24" t="str">
        <f aca="false">IF(B900="","",YEAR(B900))</f>
        <v/>
      </c>
      <c r="J900" s="34" t="str">
        <f aca="false">IF(B900="","",IF(MONTH(B900)=1,"X",""))</f>
        <v/>
      </c>
      <c r="K900" s="34" t="str">
        <f aca="false">IF(B900="","",IF(MONTH(B900)=2,"X",""))</f>
        <v/>
      </c>
      <c r="L900" s="34" t="str">
        <f aca="false">IF(B900="","",IF(MONTH(B900)=3,"X",""))</f>
        <v/>
      </c>
      <c r="M900" s="34" t="str">
        <f aca="false">IF(B900="","",IF(MONTH(B900)=4,"X",""))</f>
        <v/>
      </c>
      <c r="N900" s="34" t="str">
        <f aca="false">IF(B900="","",IF(MONTH(B900)=5,"X",""))</f>
        <v/>
      </c>
      <c r="O900" s="34" t="str">
        <f aca="false">IF(B900="","",IF(MONTH(B900)=6,"X",""))</f>
        <v/>
      </c>
      <c r="P900" s="34" t="str">
        <f aca="false">IF(B900="","",IF(MONTH(B900)=7,"X",""))</f>
        <v/>
      </c>
      <c r="Q900" s="34" t="str">
        <f aca="false">IF(B900="","",IF(MONTH(B900)=8,"X",""))</f>
        <v/>
      </c>
      <c r="R900" s="34" t="str">
        <f aca="false">IF(B900="","",IF(MONTH(B900)=9,"X",""))</f>
        <v/>
      </c>
      <c r="S900" s="34" t="str">
        <f aca="false">IF(B900="","",IF(MONTH(B900)=10,"X",""))</f>
        <v/>
      </c>
      <c r="T900" s="34" t="str">
        <f aca="false">IF(B900="","",IF(MONTH(B900)=11,"X",""))</f>
        <v/>
      </c>
      <c r="U900" s="34" t="str">
        <f aca="false">IF(B900="","",IF(MONTH(B900)=12,"X",""))</f>
        <v/>
      </c>
      <c r="V900" s="24" t="str">
        <f aca="false">IF(E900="","",COUNTIF($E$5:$E$1000,E900))</f>
        <v/>
      </c>
      <c r="W900" s="35" t="str">
        <f aca="false">IF(E900="","",_xlfn.TEXTJOIN(" + ",TRUE(),IF(COUNTIFS($E$5:$E$1000,E900,$C$5:$C$1000,"Auditoría Interna")&gt;0,"Interna",""),IF(COUNTIFS($E$5:$E$1000,E900,$C$5:$C$1000,"Auditoría Externa")&gt;0,"Externa",""),IF(COUNTIFS($E$5:$E$1000,E900,$C$5:$C$1000,"SSF")&gt;0,"SSF",""),IF(COUNTIFS($E$5:$E$1000,E900,$C$5:$C$1000,"Comité de Supervisión")&gt;0,"Comité Sup.",""),IF(COUNTIFS($E$5:$E$1000,E900,$C$5:$C$1000,"Consejo de Administración")&gt;0,"Consejo",""),IF(COUNTIFS($E$5:$E$1000,E900,$C$5:$C$1000,"Otros")&gt;0,"Otros","")))</f>
        <v/>
      </c>
      <c r="X900" s="24" t="str">
        <f aca="false">IF(E900="","",COUNTIFS($E$5:$E$1000,E900,$AB$5:$AB$1000,AB900,$C$5:$C$1000,"&lt;&gt;"&amp;C900))</f>
        <v/>
      </c>
      <c r="Y900" s="33"/>
      <c r="Z900" s="31"/>
      <c r="AA900" s="33"/>
      <c r="AB900" s="37" t="str">
        <f aca="false">IF(B900="","",YEAR(B900)*100+MONTH(B900))</f>
        <v/>
      </c>
      <c r="AC900" s="37" t="str">
        <f aca="false">IF(AND(E900&lt;&gt;"",E900=Cruce!$C$5),COUNTIF($E$5:E900,E900),"")</f>
        <v/>
      </c>
      <c r="AD900" s="37" t="str">
        <f aca="false">IF(E900="","",C900&amp;"|"&amp;Y900&amp;"|"&amp;IF(B900="","s/f",TEXT(B900,"yyyymmdd")))</f>
        <v/>
      </c>
      <c r="AE900" s="37" t="n">
        <f aca="false">IF(E900="",0,IF(COUNTIFS($E$5:E900,E900,$AD$5:AD900,AD900)=1,1,0))</f>
        <v>0</v>
      </c>
    </row>
    <row r="901" customFormat="false" ht="15" hidden="false" customHeight="true" outlineLevel="0" collapsed="false">
      <c r="A901" s="31"/>
      <c r="B901" s="30"/>
      <c r="C901" s="31"/>
      <c r="D901" s="31"/>
      <c r="E901" s="32"/>
      <c r="F901" s="32"/>
      <c r="G901" s="33"/>
      <c r="H901" s="31"/>
      <c r="I901" s="24" t="str">
        <f aca="false">IF(B901="","",YEAR(B901))</f>
        <v/>
      </c>
      <c r="J901" s="34" t="str">
        <f aca="false">IF(B901="","",IF(MONTH(B901)=1,"X",""))</f>
        <v/>
      </c>
      <c r="K901" s="34" t="str">
        <f aca="false">IF(B901="","",IF(MONTH(B901)=2,"X",""))</f>
        <v/>
      </c>
      <c r="L901" s="34" t="str">
        <f aca="false">IF(B901="","",IF(MONTH(B901)=3,"X",""))</f>
        <v/>
      </c>
      <c r="M901" s="34" t="str">
        <f aca="false">IF(B901="","",IF(MONTH(B901)=4,"X",""))</f>
        <v/>
      </c>
      <c r="N901" s="34" t="str">
        <f aca="false">IF(B901="","",IF(MONTH(B901)=5,"X",""))</f>
        <v/>
      </c>
      <c r="O901" s="34" t="str">
        <f aca="false">IF(B901="","",IF(MONTH(B901)=6,"X",""))</f>
        <v/>
      </c>
      <c r="P901" s="34" t="str">
        <f aca="false">IF(B901="","",IF(MONTH(B901)=7,"X",""))</f>
        <v/>
      </c>
      <c r="Q901" s="34" t="str">
        <f aca="false">IF(B901="","",IF(MONTH(B901)=8,"X",""))</f>
        <v/>
      </c>
      <c r="R901" s="34" t="str">
        <f aca="false">IF(B901="","",IF(MONTH(B901)=9,"X",""))</f>
        <v/>
      </c>
      <c r="S901" s="34" t="str">
        <f aca="false">IF(B901="","",IF(MONTH(B901)=10,"X",""))</f>
        <v/>
      </c>
      <c r="T901" s="34" t="str">
        <f aca="false">IF(B901="","",IF(MONTH(B901)=11,"X",""))</f>
        <v/>
      </c>
      <c r="U901" s="34" t="str">
        <f aca="false">IF(B901="","",IF(MONTH(B901)=12,"X",""))</f>
        <v/>
      </c>
      <c r="V901" s="24" t="str">
        <f aca="false">IF(E901="","",COUNTIF($E$5:$E$1000,E901))</f>
        <v/>
      </c>
      <c r="W901" s="35" t="str">
        <f aca="false">IF(E901="","",_xlfn.TEXTJOIN(" + ",TRUE(),IF(COUNTIFS($E$5:$E$1000,E901,$C$5:$C$1000,"Auditoría Interna")&gt;0,"Interna",""),IF(COUNTIFS($E$5:$E$1000,E901,$C$5:$C$1000,"Auditoría Externa")&gt;0,"Externa",""),IF(COUNTIFS($E$5:$E$1000,E901,$C$5:$C$1000,"SSF")&gt;0,"SSF",""),IF(COUNTIFS($E$5:$E$1000,E901,$C$5:$C$1000,"Comité de Supervisión")&gt;0,"Comité Sup.",""),IF(COUNTIFS($E$5:$E$1000,E901,$C$5:$C$1000,"Consejo de Administración")&gt;0,"Consejo",""),IF(COUNTIFS($E$5:$E$1000,E901,$C$5:$C$1000,"Otros")&gt;0,"Otros","")))</f>
        <v/>
      </c>
      <c r="X901" s="24" t="str">
        <f aca="false">IF(E901="","",COUNTIFS($E$5:$E$1000,E901,$AB$5:$AB$1000,AB901,$C$5:$C$1000,"&lt;&gt;"&amp;C901))</f>
        <v/>
      </c>
      <c r="Y901" s="33"/>
      <c r="Z901" s="31"/>
      <c r="AA901" s="33"/>
      <c r="AB901" s="37" t="str">
        <f aca="false">IF(B901="","",YEAR(B901)*100+MONTH(B901))</f>
        <v/>
      </c>
      <c r="AC901" s="37" t="str">
        <f aca="false">IF(AND(E901&lt;&gt;"",E901=Cruce!$C$5),COUNTIF($E$5:E901,E901),"")</f>
        <v/>
      </c>
      <c r="AD901" s="37" t="str">
        <f aca="false">IF(E901="","",C901&amp;"|"&amp;Y901&amp;"|"&amp;IF(B901="","s/f",TEXT(B901,"yyyymmdd")))</f>
        <v/>
      </c>
      <c r="AE901" s="37" t="n">
        <f aca="false">IF(E901="",0,IF(COUNTIFS($E$5:E901,E901,$AD$5:AD901,AD901)=1,1,0))</f>
        <v>0</v>
      </c>
    </row>
    <row r="902" customFormat="false" ht="15" hidden="false" customHeight="true" outlineLevel="0" collapsed="false">
      <c r="A902" s="31"/>
      <c r="B902" s="30"/>
      <c r="C902" s="31"/>
      <c r="D902" s="31"/>
      <c r="E902" s="32"/>
      <c r="F902" s="32"/>
      <c r="G902" s="33"/>
      <c r="H902" s="31"/>
      <c r="I902" s="24" t="str">
        <f aca="false">IF(B902="","",YEAR(B902))</f>
        <v/>
      </c>
      <c r="J902" s="34" t="str">
        <f aca="false">IF(B902="","",IF(MONTH(B902)=1,"X",""))</f>
        <v/>
      </c>
      <c r="K902" s="34" t="str">
        <f aca="false">IF(B902="","",IF(MONTH(B902)=2,"X",""))</f>
        <v/>
      </c>
      <c r="L902" s="34" t="str">
        <f aca="false">IF(B902="","",IF(MONTH(B902)=3,"X",""))</f>
        <v/>
      </c>
      <c r="M902" s="34" t="str">
        <f aca="false">IF(B902="","",IF(MONTH(B902)=4,"X",""))</f>
        <v/>
      </c>
      <c r="N902" s="34" t="str">
        <f aca="false">IF(B902="","",IF(MONTH(B902)=5,"X",""))</f>
        <v/>
      </c>
      <c r="O902" s="34" t="str">
        <f aca="false">IF(B902="","",IF(MONTH(B902)=6,"X",""))</f>
        <v/>
      </c>
      <c r="P902" s="34" t="str">
        <f aca="false">IF(B902="","",IF(MONTH(B902)=7,"X",""))</f>
        <v/>
      </c>
      <c r="Q902" s="34" t="str">
        <f aca="false">IF(B902="","",IF(MONTH(B902)=8,"X",""))</f>
        <v/>
      </c>
      <c r="R902" s="34" t="str">
        <f aca="false">IF(B902="","",IF(MONTH(B902)=9,"X",""))</f>
        <v/>
      </c>
      <c r="S902" s="34" t="str">
        <f aca="false">IF(B902="","",IF(MONTH(B902)=10,"X",""))</f>
        <v/>
      </c>
      <c r="T902" s="34" t="str">
        <f aca="false">IF(B902="","",IF(MONTH(B902)=11,"X",""))</f>
        <v/>
      </c>
      <c r="U902" s="34" t="str">
        <f aca="false">IF(B902="","",IF(MONTH(B902)=12,"X",""))</f>
        <v/>
      </c>
      <c r="V902" s="24" t="str">
        <f aca="false">IF(E902="","",COUNTIF($E$5:$E$1000,E902))</f>
        <v/>
      </c>
      <c r="W902" s="35" t="str">
        <f aca="false">IF(E902="","",_xlfn.TEXTJOIN(" + ",TRUE(),IF(COUNTIFS($E$5:$E$1000,E902,$C$5:$C$1000,"Auditoría Interna")&gt;0,"Interna",""),IF(COUNTIFS($E$5:$E$1000,E902,$C$5:$C$1000,"Auditoría Externa")&gt;0,"Externa",""),IF(COUNTIFS($E$5:$E$1000,E902,$C$5:$C$1000,"SSF")&gt;0,"SSF",""),IF(COUNTIFS($E$5:$E$1000,E902,$C$5:$C$1000,"Comité de Supervisión")&gt;0,"Comité Sup.",""),IF(COUNTIFS($E$5:$E$1000,E902,$C$5:$C$1000,"Consejo de Administración")&gt;0,"Consejo",""),IF(COUNTIFS($E$5:$E$1000,E902,$C$5:$C$1000,"Otros")&gt;0,"Otros","")))</f>
        <v/>
      </c>
      <c r="X902" s="24" t="str">
        <f aca="false">IF(E902="","",COUNTIFS($E$5:$E$1000,E902,$AB$5:$AB$1000,AB902,$C$5:$C$1000,"&lt;&gt;"&amp;C902))</f>
        <v/>
      </c>
      <c r="Y902" s="33"/>
      <c r="Z902" s="31"/>
      <c r="AA902" s="33"/>
      <c r="AB902" s="37" t="str">
        <f aca="false">IF(B902="","",YEAR(B902)*100+MONTH(B902))</f>
        <v/>
      </c>
      <c r="AC902" s="37" t="str">
        <f aca="false">IF(AND(E902&lt;&gt;"",E902=Cruce!$C$5),COUNTIF($E$5:E902,E902),"")</f>
        <v/>
      </c>
      <c r="AD902" s="37" t="str">
        <f aca="false">IF(E902="","",C902&amp;"|"&amp;Y902&amp;"|"&amp;IF(B902="","s/f",TEXT(B902,"yyyymmdd")))</f>
        <v/>
      </c>
      <c r="AE902" s="37" t="n">
        <f aca="false">IF(E902="",0,IF(COUNTIFS($E$5:E902,E902,$AD$5:AD902,AD902)=1,1,0))</f>
        <v>0</v>
      </c>
    </row>
    <row r="903" customFormat="false" ht="15" hidden="false" customHeight="true" outlineLevel="0" collapsed="false">
      <c r="A903" s="31"/>
      <c r="B903" s="30"/>
      <c r="C903" s="31"/>
      <c r="D903" s="31"/>
      <c r="E903" s="32"/>
      <c r="F903" s="32"/>
      <c r="G903" s="33"/>
      <c r="H903" s="31"/>
      <c r="I903" s="24" t="str">
        <f aca="false">IF(B903="","",YEAR(B903))</f>
        <v/>
      </c>
      <c r="J903" s="34" t="str">
        <f aca="false">IF(B903="","",IF(MONTH(B903)=1,"X",""))</f>
        <v/>
      </c>
      <c r="K903" s="34" t="str">
        <f aca="false">IF(B903="","",IF(MONTH(B903)=2,"X",""))</f>
        <v/>
      </c>
      <c r="L903" s="34" t="str">
        <f aca="false">IF(B903="","",IF(MONTH(B903)=3,"X",""))</f>
        <v/>
      </c>
      <c r="M903" s="34" t="str">
        <f aca="false">IF(B903="","",IF(MONTH(B903)=4,"X",""))</f>
        <v/>
      </c>
      <c r="N903" s="34" t="str">
        <f aca="false">IF(B903="","",IF(MONTH(B903)=5,"X",""))</f>
        <v/>
      </c>
      <c r="O903" s="34" t="str">
        <f aca="false">IF(B903="","",IF(MONTH(B903)=6,"X",""))</f>
        <v/>
      </c>
      <c r="P903" s="34" t="str">
        <f aca="false">IF(B903="","",IF(MONTH(B903)=7,"X",""))</f>
        <v/>
      </c>
      <c r="Q903" s="34" t="str">
        <f aca="false">IF(B903="","",IF(MONTH(B903)=8,"X",""))</f>
        <v/>
      </c>
      <c r="R903" s="34" t="str">
        <f aca="false">IF(B903="","",IF(MONTH(B903)=9,"X",""))</f>
        <v/>
      </c>
      <c r="S903" s="34" t="str">
        <f aca="false">IF(B903="","",IF(MONTH(B903)=10,"X",""))</f>
        <v/>
      </c>
      <c r="T903" s="34" t="str">
        <f aca="false">IF(B903="","",IF(MONTH(B903)=11,"X",""))</f>
        <v/>
      </c>
      <c r="U903" s="34" t="str">
        <f aca="false">IF(B903="","",IF(MONTH(B903)=12,"X",""))</f>
        <v/>
      </c>
      <c r="V903" s="24" t="str">
        <f aca="false">IF(E903="","",COUNTIF($E$5:$E$1000,E903))</f>
        <v/>
      </c>
      <c r="W903" s="35" t="str">
        <f aca="false">IF(E903="","",_xlfn.TEXTJOIN(" + ",TRUE(),IF(COUNTIFS($E$5:$E$1000,E903,$C$5:$C$1000,"Auditoría Interna")&gt;0,"Interna",""),IF(COUNTIFS($E$5:$E$1000,E903,$C$5:$C$1000,"Auditoría Externa")&gt;0,"Externa",""),IF(COUNTIFS($E$5:$E$1000,E903,$C$5:$C$1000,"SSF")&gt;0,"SSF",""),IF(COUNTIFS($E$5:$E$1000,E903,$C$5:$C$1000,"Comité de Supervisión")&gt;0,"Comité Sup.",""),IF(COUNTIFS($E$5:$E$1000,E903,$C$5:$C$1000,"Consejo de Administración")&gt;0,"Consejo",""),IF(COUNTIFS($E$5:$E$1000,E903,$C$5:$C$1000,"Otros")&gt;0,"Otros","")))</f>
        <v/>
      </c>
      <c r="X903" s="24" t="str">
        <f aca="false">IF(E903="","",COUNTIFS($E$5:$E$1000,E903,$AB$5:$AB$1000,AB903,$C$5:$C$1000,"&lt;&gt;"&amp;C903))</f>
        <v/>
      </c>
      <c r="Y903" s="33"/>
      <c r="Z903" s="31"/>
      <c r="AA903" s="33"/>
      <c r="AB903" s="37" t="str">
        <f aca="false">IF(B903="","",YEAR(B903)*100+MONTH(B903))</f>
        <v/>
      </c>
      <c r="AC903" s="37" t="str">
        <f aca="false">IF(AND(E903&lt;&gt;"",E903=Cruce!$C$5),COUNTIF($E$5:E903,E903),"")</f>
        <v/>
      </c>
      <c r="AD903" s="37" t="str">
        <f aca="false">IF(E903="","",C903&amp;"|"&amp;Y903&amp;"|"&amp;IF(B903="","s/f",TEXT(B903,"yyyymmdd")))</f>
        <v/>
      </c>
      <c r="AE903" s="37" t="n">
        <f aca="false">IF(E903="",0,IF(COUNTIFS($E$5:E903,E903,$AD$5:AD903,AD903)=1,1,0))</f>
        <v>0</v>
      </c>
    </row>
    <row r="904" customFormat="false" ht="15" hidden="false" customHeight="true" outlineLevel="0" collapsed="false">
      <c r="A904" s="31"/>
      <c r="B904" s="30"/>
      <c r="C904" s="31"/>
      <c r="D904" s="31"/>
      <c r="E904" s="32"/>
      <c r="F904" s="32"/>
      <c r="G904" s="33"/>
      <c r="H904" s="31"/>
      <c r="I904" s="24" t="str">
        <f aca="false">IF(B904="","",YEAR(B904))</f>
        <v/>
      </c>
      <c r="J904" s="34" t="str">
        <f aca="false">IF(B904="","",IF(MONTH(B904)=1,"X",""))</f>
        <v/>
      </c>
      <c r="K904" s="34" t="str">
        <f aca="false">IF(B904="","",IF(MONTH(B904)=2,"X",""))</f>
        <v/>
      </c>
      <c r="L904" s="34" t="str">
        <f aca="false">IF(B904="","",IF(MONTH(B904)=3,"X",""))</f>
        <v/>
      </c>
      <c r="M904" s="34" t="str">
        <f aca="false">IF(B904="","",IF(MONTH(B904)=4,"X",""))</f>
        <v/>
      </c>
      <c r="N904" s="34" t="str">
        <f aca="false">IF(B904="","",IF(MONTH(B904)=5,"X",""))</f>
        <v/>
      </c>
      <c r="O904" s="34" t="str">
        <f aca="false">IF(B904="","",IF(MONTH(B904)=6,"X",""))</f>
        <v/>
      </c>
      <c r="P904" s="34" t="str">
        <f aca="false">IF(B904="","",IF(MONTH(B904)=7,"X",""))</f>
        <v/>
      </c>
      <c r="Q904" s="34" t="str">
        <f aca="false">IF(B904="","",IF(MONTH(B904)=8,"X",""))</f>
        <v/>
      </c>
      <c r="R904" s="34" t="str">
        <f aca="false">IF(B904="","",IF(MONTH(B904)=9,"X",""))</f>
        <v/>
      </c>
      <c r="S904" s="34" t="str">
        <f aca="false">IF(B904="","",IF(MONTH(B904)=10,"X",""))</f>
        <v/>
      </c>
      <c r="T904" s="34" t="str">
        <f aca="false">IF(B904="","",IF(MONTH(B904)=11,"X",""))</f>
        <v/>
      </c>
      <c r="U904" s="34" t="str">
        <f aca="false">IF(B904="","",IF(MONTH(B904)=12,"X",""))</f>
        <v/>
      </c>
      <c r="V904" s="24" t="str">
        <f aca="false">IF(E904="","",COUNTIF($E$5:$E$1000,E904))</f>
        <v/>
      </c>
      <c r="W904" s="35" t="str">
        <f aca="false">IF(E904="","",_xlfn.TEXTJOIN(" + ",TRUE(),IF(COUNTIFS($E$5:$E$1000,E904,$C$5:$C$1000,"Auditoría Interna")&gt;0,"Interna",""),IF(COUNTIFS($E$5:$E$1000,E904,$C$5:$C$1000,"Auditoría Externa")&gt;0,"Externa",""),IF(COUNTIFS($E$5:$E$1000,E904,$C$5:$C$1000,"SSF")&gt;0,"SSF",""),IF(COUNTIFS($E$5:$E$1000,E904,$C$5:$C$1000,"Comité de Supervisión")&gt;0,"Comité Sup.",""),IF(COUNTIFS($E$5:$E$1000,E904,$C$5:$C$1000,"Consejo de Administración")&gt;0,"Consejo",""),IF(COUNTIFS($E$5:$E$1000,E904,$C$5:$C$1000,"Otros")&gt;0,"Otros","")))</f>
        <v/>
      </c>
      <c r="X904" s="24" t="str">
        <f aca="false">IF(E904="","",COUNTIFS($E$5:$E$1000,E904,$AB$5:$AB$1000,AB904,$C$5:$C$1000,"&lt;&gt;"&amp;C904))</f>
        <v/>
      </c>
      <c r="Y904" s="33"/>
      <c r="Z904" s="31"/>
      <c r="AA904" s="33"/>
      <c r="AB904" s="37" t="str">
        <f aca="false">IF(B904="","",YEAR(B904)*100+MONTH(B904))</f>
        <v/>
      </c>
      <c r="AC904" s="37" t="str">
        <f aca="false">IF(AND(E904&lt;&gt;"",E904=Cruce!$C$5),COUNTIF($E$5:E904,E904),"")</f>
        <v/>
      </c>
      <c r="AD904" s="37" t="str">
        <f aca="false">IF(E904="","",C904&amp;"|"&amp;Y904&amp;"|"&amp;IF(B904="","s/f",TEXT(B904,"yyyymmdd")))</f>
        <v/>
      </c>
      <c r="AE904" s="37" t="n">
        <f aca="false">IF(E904="",0,IF(COUNTIFS($E$5:E904,E904,$AD$5:AD904,AD904)=1,1,0))</f>
        <v>0</v>
      </c>
    </row>
    <row r="905" customFormat="false" ht="15" hidden="false" customHeight="true" outlineLevel="0" collapsed="false">
      <c r="A905" s="31"/>
      <c r="B905" s="30"/>
      <c r="C905" s="31"/>
      <c r="D905" s="31"/>
      <c r="E905" s="32"/>
      <c r="F905" s="32"/>
      <c r="G905" s="33"/>
      <c r="H905" s="31"/>
      <c r="I905" s="24" t="str">
        <f aca="false">IF(B905="","",YEAR(B905))</f>
        <v/>
      </c>
      <c r="J905" s="34" t="str">
        <f aca="false">IF(B905="","",IF(MONTH(B905)=1,"X",""))</f>
        <v/>
      </c>
      <c r="K905" s="34" t="str">
        <f aca="false">IF(B905="","",IF(MONTH(B905)=2,"X",""))</f>
        <v/>
      </c>
      <c r="L905" s="34" t="str">
        <f aca="false">IF(B905="","",IF(MONTH(B905)=3,"X",""))</f>
        <v/>
      </c>
      <c r="M905" s="34" t="str">
        <f aca="false">IF(B905="","",IF(MONTH(B905)=4,"X",""))</f>
        <v/>
      </c>
      <c r="N905" s="34" t="str">
        <f aca="false">IF(B905="","",IF(MONTH(B905)=5,"X",""))</f>
        <v/>
      </c>
      <c r="O905" s="34" t="str">
        <f aca="false">IF(B905="","",IF(MONTH(B905)=6,"X",""))</f>
        <v/>
      </c>
      <c r="P905" s="34" t="str">
        <f aca="false">IF(B905="","",IF(MONTH(B905)=7,"X",""))</f>
        <v/>
      </c>
      <c r="Q905" s="34" t="str">
        <f aca="false">IF(B905="","",IF(MONTH(B905)=8,"X",""))</f>
        <v/>
      </c>
      <c r="R905" s="34" t="str">
        <f aca="false">IF(B905="","",IF(MONTH(B905)=9,"X",""))</f>
        <v/>
      </c>
      <c r="S905" s="34" t="str">
        <f aca="false">IF(B905="","",IF(MONTH(B905)=10,"X",""))</f>
        <v/>
      </c>
      <c r="T905" s="34" t="str">
        <f aca="false">IF(B905="","",IF(MONTH(B905)=11,"X",""))</f>
        <v/>
      </c>
      <c r="U905" s="34" t="str">
        <f aca="false">IF(B905="","",IF(MONTH(B905)=12,"X",""))</f>
        <v/>
      </c>
      <c r="V905" s="24" t="str">
        <f aca="false">IF(E905="","",COUNTIF($E$5:$E$1000,E905))</f>
        <v/>
      </c>
      <c r="W905" s="35" t="str">
        <f aca="false">IF(E905="","",_xlfn.TEXTJOIN(" + ",TRUE(),IF(COUNTIFS($E$5:$E$1000,E905,$C$5:$C$1000,"Auditoría Interna")&gt;0,"Interna",""),IF(COUNTIFS($E$5:$E$1000,E905,$C$5:$C$1000,"Auditoría Externa")&gt;0,"Externa",""),IF(COUNTIFS($E$5:$E$1000,E905,$C$5:$C$1000,"SSF")&gt;0,"SSF",""),IF(COUNTIFS($E$5:$E$1000,E905,$C$5:$C$1000,"Comité de Supervisión")&gt;0,"Comité Sup.",""),IF(COUNTIFS($E$5:$E$1000,E905,$C$5:$C$1000,"Consejo de Administración")&gt;0,"Consejo",""),IF(COUNTIFS($E$5:$E$1000,E905,$C$5:$C$1000,"Otros")&gt;0,"Otros","")))</f>
        <v/>
      </c>
      <c r="X905" s="24" t="str">
        <f aca="false">IF(E905="","",COUNTIFS($E$5:$E$1000,E905,$AB$5:$AB$1000,AB905,$C$5:$C$1000,"&lt;&gt;"&amp;C905))</f>
        <v/>
      </c>
      <c r="Y905" s="33"/>
      <c r="Z905" s="31"/>
      <c r="AA905" s="33"/>
      <c r="AB905" s="37" t="str">
        <f aca="false">IF(B905="","",YEAR(B905)*100+MONTH(B905))</f>
        <v/>
      </c>
      <c r="AC905" s="37" t="str">
        <f aca="false">IF(AND(E905&lt;&gt;"",E905=Cruce!$C$5),COUNTIF($E$5:E905,E905),"")</f>
        <v/>
      </c>
      <c r="AD905" s="37" t="str">
        <f aca="false">IF(E905="","",C905&amp;"|"&amp;Y905&amp;"|"&amp;IF(B905="","s/f",TEXT(B905,"yyyymmdd")))</f>
        <v/>
      </c>
      <c r="AE905" s="37" t="n">
        <f aca="false">IF(E905="",0,IF(COUNTIFS($E$5:E905,E905,$AD$5:AD905,AD905)=1,1,0))</f>
        <v>0</v>
      </c>
    </row>
    <row r="906" customFormat="false" ht="15" hidden="false" customHeight="true" outlineLevel="0" collapsed="false">
      <c r="A906" s="31"/>
      <c r="B906" s="30"/>
      <c r="C906" s="31"/>
      <c r="D906" s="31"/>
      <c r="E906" s="32"/>
      <c r="F906" s="32"/>
      <c r="G906" s="33"/>
      <c r="H906" s="31"/>
      <c r="I906" s="24" t="str">
        <f aca="false">IF(B906="","",YEAR(B906))</f>
        <v/>
      </c>
      <c r="J906" s="34" t="str">
        <f aca="false">IF(B906="","",IF(MONTH(B906)=1,"X",""))</f>
        <v/>
      </c>
      <c r="K906" s="34" t="str">
        <f aca="false">IF(B906="","",IF(MONTH(B906)=2,"X",""))</f>
        <v/>
      </c>
      <c r="L906" s="34" t="str">
        <f aca="false">IF(B906="","",IF(MONTH(B906)=3,"X",""))</f>
        <v/>
      </c>
      <c r="M906" s="34" t="str">
        <f aca="false">IF(B906="","",IF(MONTH(B906)=4,"X",""))</f>
        <v/>
      </c>
      <c r="N906" s="34" t="str">
        <f aca="false">IF(B906="","",IF(MONTH(B906)=5,"X",""))</f>
        <v/>
      </c>
      <c r="O906" s="34" t="str">
        <f aca="false">IF(B906="","",IF(MONTH(B906)=6,"X",""))</f>
        <v/>
      </c>
      <c r="P906" s="34" t="str">
        <f aca="false">IF(B906="","",IF(MONTH(B906)=7,"X",""))</f>
        <v/>
      </c>
      <c r="Q906" s="34" t="str">
        <f aca="false">IF(B906="","",IF(MONTH(B906)=8,"X",""))</f>
        <v/>
      </c>
      <c r="R906" s="34" t="str">
        <f aca="false">IF(B906="","",IF(MONTH(B906)=9,"X",""))</f>
        <v/>
      </c>
      <c r="S906" s="34" t="str">
        <f aca="false">IF(B906="","",IF(MONTH(B906)=10,"X",""))</f>
        <v/>
      </c>
      <c r="T906" s="34" t="str">
        <f aca="false">IF(B906="","",IF(MONTH(B906)=11,"X",""))</f>
        <v/>
      </c>
      <c r="U906" s="34" t="str">
        <f aca="false">IF(B906="","",IF(MONTH(B906)=12,"X",""))</f>
        <v/>
      </c>
      <c r="V906" s="24" t="str">
        <f aca="false">IF(E906="","",COUNTIF($E$5:$E$1000,E906))</f>
        <v/>
      </c>
      <c r="W906" s="35" t="str">
        <f aca="false">IF(E906="","",_xlfn.TEXTJOIN(" + ",TRUE(),IF(COUNTIFS($E$5:$E$1000,E906,$C$5:$C$1000,"Auditoría Interna")&gt;0,"Interna",""),IF(COUNTIFS($E$5:$E$1000,E906,$C$5:$C$1000,"Auditoría Externa")&gt;0,"Externa",""),IF(COUNTIFS($E$5:$E$1000,E906,$C$5:$C$1000,"SSF")&gt;0,"SSF",""),IF(COUNTIFS($E$5:$E$1000,E906,$C$5:$C$1000,"Comité de Supervisión")&gt;0,"Comité Sup.",""),IF(COUNTIFS($E$5:$E$1000,E906,$C$5:$C$1000,"Consejo de Administración")&gt;0,"Consejo",""),IF(COUNTIFS($E$5:$E$1000,E906,$C$5:$C$1000,"Otros")&gt;0,"Otros","")))</f>
        <v/>
      </c>
      <c r="X906" s="24" t="str">
        <f aca="false">IF(E906="","",COUNTIFS($E$5:$E$1000,E906,$AB$5:$AB$1000,AB906,$C$5:$C$1000,"&lt;&gt;"&amp;C906))</f>
        <v/>
      </c>
      <c r="Y906" s="33"/>
      <c r="Z906" s="31"/>
      <c r="AA906" s="33"/>
      <c r="AB906" s="37" t="str">
        <f aca="false">IF(B906="","",YEAR(B906)*100+MONTH(B906))</f>
        <v/>
      </c>
      <c r="AC906" s="37" t="str">
        <f aca="false">IF(AND(E906&lt;&gt;"",E906=Cruce!$C$5),COUNTIF($E$5:E906,E906),"")</f>
        <v/>
      </c>
      <c r="AD906" s="37" t="str">
        <f aca="false">IF(E906="","",C906&amp;"|"&amp;Y906&amp;"|"&amp;IF(B906="","s/f",TEXT(B906,"yyyymmdd")))</f>
        <v/>
      </c>
      <c r="AE906" s="37" t="n">
        <f aca="false">IF(E906="",0,IF(COUNTIFS($E$5:E906,E906,$AD$5:AD906,AD906)=1,1,0))</f>
        <v>0</v>
      </c>
    </row>
    <row r="907" customFormat="false" ht="15" hidden="false" customHeight="true" outlineLevel="0" collapsed="false">
      <c r="A907" s="31"/>
      <c r="B907" s="30"/>
      <c r="C907" s="31"/>
      <c r="D907" s="31"/>
      <c r="E907" s="32"/>
      <c r="F907" s="32"/>
      <c r="G907" s="33"/>
      <c r="H907" s="31"/>
      <c r="I907" s="24" t="str">
        <f aca="false">IF(B907="","",YEAR(B907))</f>
        <v/>
      </c>
      <c r="J907" s="34" t="str">
        <f aca="false">IF(B907="","",IF(MONTH(B907)=1,"X",""))</f>
        <v/>
      </c>
      <c r="K907" s="34" t="str">
        <f aca="false">IF(B907="","",IF(MONTH(B907)=2,"X",""))</f>
        <v/>
      </c>
      <c r="L907" s="34" t="str">
        <f aca="false">IF(B907="","",IF(MONTH(B907)=3,"X",""))</f>
        <v/>
      </c>
      <c r="M907" s="34" t="str">
        <f aca="false">IF(B907="","",IF(MONTH(B907)=4,"X",""))</f>
        <v/>
      </c>
      <c r="N907" s="34" t="str">
        <f aca="false">IF(B907="","",IF(MONTH(B907)=5,"X",""))</f>
        <v/>
      </c>
      <c r="O907" s="34" t="str">
        <f aca="false">IF(B907="","",IF(MONTH(B907)=6,"X",""))</f>
        <v/>
      </c>
      <c r="P907" s="34" t="str">
        <f aca="false">IF(B907="","",IF(MONTH(B907)=7,"X",""))</f>
        <v/>
      </c>
      <c r="Q907" s="34" t="str">
        <f aca="false">IF(B907="","",IF(MONTH(B907)=8,"X",""))</f>
        <v/>
      </c>
      <c r="R907" s="34" t="str">
        <f aca="false">IF(B907="","",IF(MONTH(B907)=9,"X",""))</f>
        <v/>
      </c>
      <c r="S907" s="34" t="str">
        <f aca="false">IF(B907="","",IF(MONTH(B907)=10,"X",""))</f>
        <v/>
      </c>
      <c r="T907" s="34" t="str">
        <f aca="false">IF(B907="","",IF(MONTH(B907)=11,"X",""))</f>
        <v/>
      </c>
      <c r="U907" s="34" t="str">
        <f aca="false">IF(B907="","",IF(MONTH(B907)=12,"X",""))</f>
        <v/>
      </c>
      <c r="V907" s="24" t="str">
        <f aca="false">IF(E907="","",COUNTIF($E$5:$E$1000,E907))</f>
        <v/>
      </c>
      <c r="W907" s="35" t="str">
        <f aca="false">IF(E907="","",_xlfn.TEXTJOIN(" + ",TRUE(),IF(COUNTIFS($E$5:$E$1000,E907,$C$5:$C$1000,"Auditoría Interna")&gt;0,"Interna",""),IF(COUNTIFS($E$5:$E$1000,E907,$C$5:$C$1000,"Auditoría Externa")&gt;0,"Externa",""),IF(COUNTIFS($E$5:$E$1000,E907,$C$5:$C$1000,"SSF")&gt;0,"SSF",""),IF(COUNTIFS($E$5:$E$1000,E907,$C$5:$C$1000,"Comité de Supervisión")&gt;0,"Comité Sup.",""),IF(COUNTIFS($E$5:$E$1000,E907,$C$5:$C$1000,"Consejo de Administración")&gt;0,"Consejo",""),IF(COUNTIFS($E$5:$E$1000,E907,$C$5:$C$1000,"Otros")&gt;0,"Otros","")))</f>
        <v/>
      </c>
      <c r="X907" s="24" t="str">
        <f aca="false">IF(E907="","",COUNTIFS($E$5:$E$1000,E907,$AB$5:$AB$1000,AB907,$C$5:$C$1000,"&lt;&gt;"&amp;C907))</f>
        <v/>
      </c>
      <c r="Y907" s="33"/>
      <c r="Z907" s="31"/>
      <c r="AA907" s="33"/>
      <c r="AB907" s="37" t="str">
        <f aca="false">IF(B907="","",YEAR(B907)*100+MONTH(B907))</f>
        <v/>
      </c>
      <c r="AC907" s="37" t="str">
        <f aca="false">IF(AND(E907&lt;&gt;"",E907=Cruce!$C$5),COUNTIF($E$5:E907,E907),"")</f>
        <v/>
      </c>
      <c r="AD907" s="37" t="str">
        <f aca="false">IF(E907="","",C907&amp;"|"&amp;Y907&amp;"|"&amp;IF(B907="","s/f",TEXT(B907,"yyyymmdd")))</f>
        <v/>
      </c>
      <c r="AE907" s="37" t="n">
        <f aca="false">IF(E907="",0,IF(COUNTIFS($E$5:E907,E907,$AD$5:AD907,AD907)=1,1,0))</f>
        <v>0</v>
      </c>
    </row>
    <row r="908" customFormat="false" ht="15" hidden="false" customHeight="true" outlineLevel="0" collapsed="false">
      <c r="A908" s="31"/>
      <c r="B908" s="30"/>
      <c r="C908" s="31"/>
      <c r="D908" s="31"/>
      <c r="E908" s="32"/>
      <c r="F908" s="32"/>
      <c r="G908" s="33"/>
      <c r="H908" s="31"/>
      <c r="I908" s="24" t="str">
        <f aca="false">IF(B908="","",YEAR(B908))</f>
        <v/>
      </c>
      <c r="J908" s="34" t="str">
        <f aca="false">IF(B908="","",IF(MONTH(B908)=1,"X",""))</f>
        <v/>
      </c>
      <c r="K908" s="34" t="str">
        <f aca="false">IF(B908="","",IF(MONTH(B908)=2,"X",""))</f>
        <v/>
      </c>
      <c r="L908" s="34" t="str">
        <f aca="false">IF(B908="","",IF(MONTH(B908)=3,"X",""))</f>
        <v/>
      </c>
      <c r="M908" s="34" t="str">
        <f aca="false">IF(B908="","",IF(MONTH(B908)=4,"X",""))</f>
        <v/>
      </c>
      <c r="N908" s="34" t="str">
        <f aca="false">IF(B908="","",IF(MONTH(B908)=5,"X",""))</f>
        <v/>
      </c>
      <c r="O908" s="34" t="str">
        <f aca="false">IF(B908="","",IF(MONTH(B908)=6,"X",""))</f>
        <v/>
      </c>
      <c r="P908" s="34" t="str">
        <f aca="false">IF(B908="","",IF(MONTH(B908)=7,"X",""))</f>
        <v/>
      </c>
      <c r="Q908" s="34" t="str">
        <f aca="false">IF(B908="","",IF(MONTH(B908)=8,"X",""))</f>
        <v/>
      </c>
      <c r="R908" s="34" t="str">
        <f aca="false">IF(B908="","",IF(MONTH(B908)=9,"X",""))</f>
        <v/>
      </c>
      <c r="S908" s="34" t="str">
        <f aca="false">IF(B908="","",IF(MONTH(B908)=10,"X",""))</f>
        <v/>
      </c>
      <c r="T908" s="34" t="str">
        <f aca="false">IF(B908="","",IF(MONTH(B908)=11,"X",""))</f>
        <v/>
      </c>
      <c r="U908" s="34" t="str">
        <f aca="false">IF(B908="","",IF(MONTH(B908)=12,"X",""))</f>
        <v/>
      </c>
      <c r="V908" s="24" t="str">
        <f aca="false">IF(E908="","",COUNTIF($E$5:$E$1000,E908))</f>
        <v/>
      </c>
      <c r="W908" s="35" t="str">
        <f aca="false">IF(E908="","",_xlfn.TEXTJOIN(" + ",TRUE(),IF(COUNTIFS($E$5:$E$1000,E908,$C$5:$C$1000,"Auditoría Interna")&gt;0,"Interna",""),IF(COUNTIFS($E$5:$E$1000,E908,$C$5:$C$1000,"Auditoría Externa")&gt;0,"Externa",""),IF(COUNTIFS($E$5:$E$1000,E908,$C$5:$C$1000,"SSF")&gt;0,"SSF",""),IF(COUNTIFS($E$5:$E$1000,E908,$C$5:$C$1000,"Comité de Supervisión")&gt;0,"Comité Sup.",""),IF(COUNTIFS($E$5:$E$1000,E908,$C$5:$C$1000,"Consejo de Administración")&gt;0,"Consejo",""),IF(COUNTIFS($E$5:$E$1000,E908,$C$5:$C$1000,"Otros")&gt;0,"Otros","")))</f>
        <v/>
      </c>
      <c r="X908" s="24" t="str">
        <f aca="false">IF(E908="","",COUNTIFS($E$5:$E$1000,E908,$AB$5:$AB$1000,AB908,$C$5:$C$1000,"&lt;&gt;"&amp;C908))</f>
        <v/>
      </c>
      <c r="Y908" s="33"/>
      <c r="Z908" s="31"/>
      <c r="AA908" s="33"/>
      <c r="AB908" s="37" t="str">
        <f aca="false">IF(B908="","",YEAR(B908)*100+MONTH(B908))</f>
        <v/>
      </c>
      <c r="AC908" s="37" t="str">
        <f aca="false">IF(AND(E908&lt;&gt;"",E908=Cruce!$C$5),COUNTIF($E$5:E908,E908),"")</f>
        <v/>
      </c>
      <c r="AD908" s="37" t="str">
        <f aca="false">IF(E908="","",C908&amp;"|"&amp;Y908&amp;"|"&amp;IF(B908="","s/f",TEXT(B908,"yyyymmdd")))</f>
        <v/>
      </c>
      <c r="AE908" s="37" t="n">
        <f aca="false">IF(E908="",0,IF(COUNTIFS($E$5:E908,E908,$AD$5:AD908,AD908)=1,1,0))</f>
        <v>0</v>
      </c>
    </row>
    <row r="909" customFormat="false" ht="15" hidden="false" customHeight="true" outlineLevel="0" collapsed="false">
      <c r="A909" s="31"/>
      <c r="B909" s="30"/>
      <c r="C909" s="31"/>
      <c r="D909" s="31"/>
      <c r="E909" s="32"/>
      <c r="F909" s="32"/>
      <c r="G909" s="33"/>
      <c r="H909" s="31"/>
      <c r="I909" s="24" t="str">
        <f aca="false">IF(B909="","",YEAR(B909))</f>
        <v/>
      </c>
      <c r="J909" s="34" t="str">
        <f aca="false">IF(B909="","",IF(MONTH(B909)=1,"X",""))</f>
        <v/>
      </c>
      <c r="K909" s="34" t="str">
        <f aca="false">IF(B909="","",IF(MONTH(B909)=2,"X",""))</f>
        <v/>
      </c>
      <c r="L909" s="34" t="str">
        <f aca="false">IF(B909="","",IF(MONTH(B909)=3,"X",""))</f>
        <v/>
      </c>
      <c r="M909" s="34" t="str">
        <f aca="false">IF(B909="","",IF(MONTH(B909)=4,"X",""))</f>
        <v/>
      </c>
      <c r="N909" s="34" t="str">
        <f aca="false">IF(B909="","",IF(MONTH(B909)=5,"X",""))</f>
        <v/>
      </c>
      <c r="O909" s="34" t="str">
        <f aca="false">IF(B909="","",IF(MONTH(B909)=6,"X",""))</f>
        <v/>
      </c>
      <c r="P909" s="34" t="str">
        <f aca="false">IF(B909="","",IF(MONTH(B909)=7,"X",""))</f>
        <v/>
      </c>
      <c r="Q909" s="34" t="str">
        <f aca="false">IF(B909="","",IF(MONTH(B909)=8,"X",""))</f>
        <v/>
      </c>
      <c r="R909" s="34" t="str">
        <f aca="false">IF(B909="","",IF(MONTH(B909)=9,"X",""))</f>
        <v/>
      </c>
      <c r="S909" s="34" t="str">
        <f aca="false">IF(B909="","",IF(MONTH(B909)=10,"X",""))</f>
        <v/>
      </c>
      <c r="T909" s="34" t="str">
        <f aca="false">IF(B909="","",IF(MONTH(B909)=11,"X",""))</f>
        <v/>
      </c>
      <c r="U909" s="34" t="str">
        <f aca="false">IF(B909="","",IF(MONTH(B909)=12,"X",""))</f>
        <v/>
      </c>
      <c r="V909" s="24" t="str">
        <f aca="false">IF(E909="","",COUNTIF($E$5:$E$1000,E909))</f>
        <v/>
      </c>
      <c r="W909" s="35" t="str">
        <f aca="false">IF(E909="","",_xlfn.TEXTJOIN(" + ",TRUE(),IF(COUNTIFS($E$5:$E$1000,E909,$C$5:$C$1000,"Auditoría Interna")&gt;0,"Interna",""),IF(COUNTIFS($E$5:$E$1000,E909,$C$5:$C$1000,"Auditoría Externa")&gt;0,"Externa",""),IF(COUNTIFS($E$5:$E$1000,E909,$C$5:$C$1000,"SSF")&gt;0,"SSF",""),IF(COUNTIFS($E$5:$E$1000,E909,$C$5:$C$1000,"Comité de Supervisión")&gt;0,"Comité Sup.",""),IF(COUNTIFS($E$5:$E$1000,E909,$C$5:$C$1000,"Consejo de Administración")&gt;0,"Consejo",""),IF(COUNTIFS($E$5:$E$1000,E909,$C$5:$C$1000,"Otros")&gt;0,"Otros","")))</f>
        <v/>
      </c>
      <c r="X909" s="24" t="str">
        <f aca="false">IF(E909="","",COUNTIFS($E$5:$E$1000,E909,$AB$5:$AB$1000,AB909,$C$5:$C$1000,"&lt;&gt;"&amp;C909))</f>
        <v/>
      </c>
      <c r="Y909" s="33"/>
      <c r="Z909" s="31"/>
      <c r="AA909" s="33"/>
      <c r="AB909" s="37" t="str">
        <f aca="false">IF(B909="","",YEAR(B909)*100+MONTH(B909))</f>
        <v/>
      </c>
      <c r="AC909" s="37" t="str">
        <f aca="false">IF(AND(E909&lt;&gt;"",E909=Cruce!$C$5),COUNTIF($E$5:E909,E909),"")</f>
        <v/>
      </c>
      <c r="AD909" s="37" t="str">
        <f aca="false">IF(E909="","",C909&amp;"|"&amp;Y909&amp;"|"&amp;IF(B909="","s/f",TEXT(B909,"yyyymmdd")))</f>
        <v/>
      </c>
      <c r="AE909" s="37" t="n">
        <f aca="false">IF(E909="",0,IF(COUNTIFS($E$5:E909,E909,$AD$5:AD909,AD909)=1,1,0))</f>
        <v>0</v>
      </c>
    </row>
    <row r="910" customFormat="false" ht="15" hidden="false" customHeight="true" outlineLevel="0" collapsed="false">
      <c r="A910" s="31"/>
      <c r="B910" s="30"/>
      <c r="C910" s="31"/>
      <c r="D910" s="31"/>
      <c r="E910" s="32"/>
      <c r="F910" s="32"/>
      <c r="G910" s="33"/>
      <c r="H910" s="31"/>
      <c r="I910" s="24" t="str">
        <f aca="false">IF(B910="","",YEAR(B910))</f>
        <v/>
      </c>
      <c r="J910" s="34" t="str">
        <f aca="false">IF(B910="","",IF(MONTH(B910)=1,"X",""))</f>
        <v/>
      </c>
      <c r="K910" s="34" t="str">
        <f aca="false">IF(B910="","",IF(MONTH(B910)=2,"X",""))</f>
        <v/>
      </c>
      <c r="L910" s="34" t="str">
        <f aca="false">IF(B910="","",IF(MONTH(B910)=3,"X",""))</f>
        <v/>
      </c>
      <c r="M910" s="34" t="str">
        <f aca="false">IF(B910="","",IF(MONTH(B910)=4,"X",""))</f>
        <v/>
      </c>
      <c r="N910" s="34" t="str">
        <f aca="false">IF(B910="","",IF(MONTH(B910)=5,"X",""))</f>
        <v/>
      </c>
      <c r="O910" s="34" t="str">
        <f aca="false">IF(B910="","",IF(MONTH(B910)=6,"X",""))</f>
        <v/>
      </c>
      <c r="P910" s="34" t="str">
        <f aca="false">IF(B910="","",IF(MONTH(B910)=7,"X",""))</f>
        <v/>
      </c>
      <c r="Q910" s="34" t="str">
        <f aca="false">IF(B910="","",IF(MONTH(B910)=8,"X",""))</f>
        <v/>
      </c>
      <c r="R910" s="34" t="str">
        <f aca="false">IF(B910="","",IF(MONTH(B910)=9,"X",""))</f>
        <v/>
      </c>
      <c r="S910" s="34" t="str">
        <f aca="false">IF(B910="","",IF(MONTH(B910)=10,"X",""))</f>
        <v/>
      </c>
      <c r="T910" s="34" t="str">
        <f aca="false">IF(B910="","",IF(MONTH(B910)=11,"X",""))</f>
        <v/>
      </c>
      <c r="U910" s="34" t="str">
        <f aca="false">IF(B910="","",IF(MONTH(B910)=12,"X",""))</f>
        <v/>
      </c>
      <c r="V910" s="24" t="str">
        <f aca="false">IF(E910="","",COUNTIF($E$5:$E$1000,E910))</f>
        <v/>
      </c>
      <c r="W910" s="35" t="str">
        <f aca="false">IF(E910="","",_xlfn.TEXTJOIN(" + ",TRUE(),IF(COUNTIFS($E$5:$E$1000,E910,$C$5:$C$1000,"Auditoría Interna")&gt;0,"Interna",""),IF(COUNTIFS($E$5:$E$1000,E910,$C$5:$C$1000,"Auditoría Externa")&gt;0,"Externa",""),IF(COUNTIFS($E$5:$E$1000,E910,$C$5:$C$1000,"SSF")&gt;0,"SSF",""),IF(COUNTIFS($E$5:$E$1000,E910,$C$5:$C$1000,"Comité de Supervisión")&gt;0,"Comité Sup.",""),IF(COUNTIFS($E$5:$E$1000,E910,$C$5:$C$1000,"Consejo de Administración")&gt;0,"Consejo",""),IF(COUNTIFS($E$5:$E$1000,E910,$C$5:$C$1000,"Otros")&gt;0,"Otros","")))</f>
        <v/>
      </c>
      <c r="X910" s="24" t="str">
        <f aca="false">IF(E910="","",COUNTIFS($E$5:$E$1000,E910,$AB$5:$AB$1000,AB910,$C$5:$C$1000,"&lt;&gt;"&amp;C910))</f>
        <v/>
      </c>
      <c r="Y910" s="33"/>
      <c r="Z910" s="31"/>
      <c r="AA910" s="33"/>
      <c r="AB910" s="37" t="str">
        <f aca="false">IF(B910="","",YEAR(B910)*100+MONTH(B910))</f>
        <v/>
      </c>
      <c r="AC910" s="37" t="str">
        <f aca="false">IF(AND(E910&lt;&gt;"",E910=Cruce!$C$5),COUNTIF($E$5:E910,E910),"")</f>
        <v/>
      </c>
      <c r="AD910" s="37" t="str">
        <f aca="false">IF(E910="","",C910&amp;"|"&amp;Y910&amp;"|"&amp;IF(B910="","s/f",TEXT(B910,"yyyymmdd")))</f>
        <v/>
      </c>
      <c r="AE910" s="37" t="n">
        <f aca="false">IF(E910="",0,IF(COUNTIFS($E$5:E910,E910,$AD$5:AD910,AD910)=1,1,0))</f>
        <v>0</v>
      </c>
    </row>
    <row r="911" customFormat="false" ht="15" hidden="false" customHeight="true" outlineLevel="0" collapsed="false">
      <c r="A911" s="31"/>
      <c r="B911" s="30"/>
      <c r="C911" s="31"/>
      <c r="D911" s="31"/>
      <c r="E911" s="32"/>
      <c r="F911" s="32"/>
      <c r="G911" s="33"/>
      <c r="H911" s="31"/>
      <c r="I911" s="24" t="str">
        <f aca="false">IF(B911="","",YEAR(B911))</f>
        <v/>
      </c>
      <c r="J911" s="34" t="str">
        <f aca="false">IF(B911="","",IF(MONTH(B911)=1,"X",""))</f>
        <v/>
      </c>
      <c r="K911" s="34" t="str">
        <f aca="false">IF(B911="","",IF(MONTH(B911)=2,"X",""))</f>
        <v/>
      </c>
      <c r="L911" s="34" t="str">
        <f aca="false">IF(B911="","",IF(MONTH(B911)=3,"X",""))</f>
        <v/>
      </c>
      <c r="M911" s="34" t="str">
        <f aca="false">IF(B911="","",IF(MONTH(B911)=4,"X",""))</f>
        <v/>
      </c>
      <c r="N911" s="34" t="str">
        <f aca="false">IF(B911="","",IF(MONTH(B911)=5,"X",""))</f>
        <v/>
      </c>
      <c r="O911" s="34" t="str">
        <f aca="false">IF(B911="","",IF(MONTH(B911)=6,"X",""))</f>
        <v/>
      </c>
      <c r="P911" s="34" t="str">
        <f aca="false">IF(B911="","",IF(MONTH(B911)=7,"X",""))</f>
        <v/>
      </c>
      <c r="Q911" s="34" t="str">
        <f aca="false">IF(B911="","",IF(MONTH(B911)=8,"X",""))</f>
        <v/>
      </c>
      <c r="R911" s="34" t="str">
        <f aca="false">IF(B911="","",IF(MONTH(B911)=9,"X",""))</f>
        <v/>
      </c>
      <c r="S911" s="34" t="str">
        <f aca="false">IF(B911="","",IF(MONTH(B911)=10,"X",""))</f>
        <v/>
      </c>
      <c r="T911" s="34" t="str">
        <f aca="false">IF(B911="","",IF(MONTH(B911)=11,"X",""))</f>
        <v/>
      </c>
      <c r="U911" s="34" t="str">
        <f aca="false">IF(B911="","",IF(MONTH(B911)=12,"X",""))</f>
        <v/>
      </c>
      <c r="V911" s="24" t="str">
        <f aca="false">IF(E911="","",COUNTIF($E$5:$E$1000,E911))</f>
        <v/>
      </c>
      <c r="W911" s="35" t="str">
        <f aca="false">IF(E911="","",_xlfn.TEXTJOIN(" + ",TRUE(),IF(COUNTIFS($E$5:$E$1000,E911,$C$5:$C$1000,"Auditoría Interna")&gt;0,"Interna",""),IF(COUNTIFS($E$5:$E$1000,E911,$C$5:$C$1000,"Auditoría Externa")&gt;0,"Externa",""),IF(COUNTIFS($E$5:$E$1000,E911,$C$5:$C$1000,"SSF")&gt;0,"SSF",""),IF(COUNTIFS($E$5:$E$1000,E911,$C$5:$C$1000,"Comité de Supervisión")&gt;0,"Comité Sup.",""),IF(COUNTIFS($E$5:$E$1000,E911,$C$5:$C$1000,"Consejo de Administración")&gt;0,"Consejo",""),IF(COUNTIFS($E$5:$E$1000,E911,$C$5:$C$1000,"Otros")&gt;0,"Otros","")))</f>
        <v/>
      </c>
      <c r="X911" s="24" t="str">
        <f aca="false">IF(E911="","",COUNTIFS($E$5:$E$1000,E911,$AB$5:$AB$1000,AB911,$C$5:$C$1000,"&lt;&gt;"&amp;C911))</f>
        <v/>
      </c>
      <c r="Y911" s="33"/>
      <c r="Z911" s="31"/>
      <c r="AA911" s="33"/>
      <c r="AB911" s="37" t="str">
        <f aca="false">IF(B911="","",YEAR(B911)*100+MONTH(B911))</f>
        <v/>
      </c>
      <c r="AC911" s="37" t="str">
        <f aca="false">IF(AND(E911&lt;&gt;"",E911=Cruce!$C$5),COUNTIF($E$5:E911,E911),"")</f>
        <v/>
      </c>
      <c r="AD911" s="37" t="str">
        <f aca="false">IF(E911="","",C911&amp;"|"&amp;Y911&amp;"|"&amp;IF(B911="","s/f",TEXT(B911,"yyyymmdd")))</f>
        <v/>
      </c>
      <c r="AE911" s="37" t="n">
        <f aca="false">IF(E911="",0,IF(COUNTIFS($E$5:E911,E911,$AD$5:AD911,AD911)=1,1,0))</f>
        <v>0</v>
      </c>
    </row>
    <row r="912" customFormat="false" ht="15" hidden="false" customHeight="true" outlineLevel="0" collapsed="false">
      <c r="A912" s="31"/>
      <c r="B912" s="30"/>
      <c r="C912" s="31"/>
      <c r="D912" s="31"/>
      <c r="E912" s="32"/>
      <c r="F912" s="32"/>
      <c r="G912" s="33"/>
      <c r="H912" s="31"/>
      <c r="I912" s="24" t="str">
        <f aca="false">IF(B912="","",YEAR(B912))</f>
        <v/>
      </c>
      <c r="J912" s="34" t="str">
        <f aca="false">IF(B912="","",IF(MONTH(B912)=1,"X",""))</f>
        <v/>
      </c>
      <c r="K912" s="34" t="str">
        <f aca="false">IF(B912="","",IF(MONTH(B912)=2,"X",""))</f>
        <v/>
      </c>
      <c r="L912" s="34" t="str">
        <f aca="false">IF(B912="","",IF(MONTH(B912)=3,"X",""))</f>
        <v/>
      </c>
      <c r="M912" s="34" t="str">
        <f aca="false">IF(B912="","",IF(MONTH(B912)=4,"X",""))</f>
        <v/>
      </c>
      <c r="N912" s="34" t="str">
        <f aca="false">IF(B912="","",IF(MONTH(B912)=5,"X",""))</f>
        <v/>
      </c>
      <c r="O912" s="34" t="str">
        <f aca="false">IF(B912="","",IF(MONTH(B912)=6,"X",""))</f>
        <v/>
      </c>
      <c r="P912" s="34" t="str">
        <f aca="false">IF(B912="","",IF(MONTH(B912)=7,"X",""))</f>
        <v/>
      </c>
      <c r="Q912" s="34" t="str">
        <f aca="false">IF(B912="","",IF(MONTH(B912)=8,"X",""))</f>
        <v/>
      </c>
      <c r="R912" s="34" t="str">
        <f aca="false">IF(B912="","",IF(MONTH(B912)=9,"X",""))</f>
        <v/>
      </c>
      <c r="S912" s="34" t="str">
        <f aca="false">IF(B912="","",IF(MONTH(B912)=10,"X",""))</f>
        <v/>
      </c>
      <c r="T912" s="34" t="str">
        <f aca="false">IF(B912="","",IF(MONTH(B912)=11,"X",""))</f>
        <v/>
      </c>
      <c r="U912" s="34" t="str">
        <f aca="false">IF(B912="","",IF(MONTH(B912)=12,"X",""))</f>
        <v/>
      </c>
      <c r="V912" s="24" t="str">
        <f aca="false">IF(E912="","",COUNTIF($E$5:$E$1000,E912))</f>
        <v/>
      </c>
      <c r="W912" s="35" t="str">
        <f aca="false">IF(E912="","",_xlfn.TEXTJOIN(" + ",TRUE(),IF(COUNTIFS($E$5:$E$1000,E912,$C$5:$C$1000,"Auditoría Interna")&gt;0,"Interna",""),IF(COUNTIFS($E$5:$E$1000,E912,$C$5:$C$1000,"Auditoría Externa")&gt;0,"Externa",""),IF(COUNTIFS($E$5:$E$1000,E912,$C$5:$C$1000,"SSF")&gt;0,"SSF",""),IF(COUNTIFS($E$5:$E$1000,E912,$C$5:$C$1000,"Comité de Supervisión")&gt;0,"Comité Sup.",""),IF(COUNTIFS($E$5:$E$1000,E912,$C$5:$C$1000,"Consejo de Administración")&gt;0,"Consejo",""),IF(COUNTIFS($E$5:$E$1000,E912,$C$5:$C$1000,"Otros")&gt;0,"Otros","")))</f>
        <v/>
      </c>
      <c r="X912" s="24" t="str">
        <f aca="false">IF(E912="","",COUNTIFS($E$5:$E$1000,E912,$AB$5:$AB$1000,AB912,$C$5:$C$1000,"&lt;&gt;"&amp;C912))</f>
        <v/>
      </c>
      <c r="Y912" s="33"/>
      <c r="Z912" s="31"/>
      <c r="AA912" s="33"/>
      <c r="AB912" s="37" t="str">
        <f aca="false">IF(B912="","",YEAR(B912)*100+MONTH(B912))</f>
        <v/>
      </c>
      <c r="AC912" s="37" t="str">
        <f aca="false">IF(AND(E912&lt;&gt;"",E912=Cruce!$C$5),COUNTIF($E$5:E912,E912),"")</f>
        <v/>
      </c>
      <c r="AD912" s="37" t="str">
        <f aca="false">IF(E912="","",C912&amp;"|"&amp;Y912&amp;"|"&amp;IF(B912="","s/f",TEXT(B912,"yyyymmdd")))</f>
        <v/>
      </c>
      <c r="AE912" s="37" t="n">
        <f aca="false">IF(E912="",0,IF(COUNTIFS($E$5:E912,E912,$AD$5:AD912,AD912)=1,1,0))</f>
        <v>0</v>
      </c>
    </row>
    <row r="913" customFormat="false" ht="15" hidden="false" customHeight="true" outlineLevel="0" collapsed="false">
      <c r="A913" s="31"/>
      <c r="B913" s="30"/>
      <c r="C913" s="31"/>
      <c r="D913" s="31"/>
      <c r="E913" s="32"/>
      <c r="F913" s="32"/>
      <c r="G913" s="33"/>
      <c r="H913" s="31"/>
      <c r="I913" s="24" t="str">
        <f aca="false">IF(B913="","",YEAR(B913))</f>
        <v/>
      </c>
      <c r="J913" s="34" t="str">
        <f aca="false">IF(B913="","",IF(MONTH(B913)=1,"X",""))</f>
        <v/>
      </c>
      <c r="K913" s="34" t="str">
        <f aca="false">IF(B913="","",IF(MONTH(B913)=2,"X",""))</f>
        <v/>
      </c>
      <c r="L913" s="34" t="str">
        <f aca="false">IF(B913="","",IF(MONTH(B913)=3,"X",""))</f>
        <v/>
      </c>
      <c r="M913" s="34" t="str">
        <f aca="false">IF(B913="","",IF(MONTH(B913)=4,"X",""))</f>
        <v/>
      </c>
      <c r="N913" s="34" t="str">
        <f aca="false">IF(B913="","",IF(MONTH(B913)=5,"X",""))</f>
        <v/>
      </c>
      <c r="O913" s="34" t="str">
        <f aca="false">IF(B913="","",IF(MONTH(B913)=6,"X",""))</f>
        <v/>
      </c>
      <c r="P913" s="34" t="str">
        <f aca="false">IF(B913="","",IF(MONTH(B913)=7,"X",""))</f>
        <v/>
      </c>
      <c r="Q913" s="34" t="str">
        <f aca="false">IF(B913="","",IF(MONTH(B913)=8,"X",""))</f>
        <v/>
      </c>
      <c r="R913" s="34" t="str">
        <f aca="false">IF(B913="","",IF(MONTH(B913)=9,"X",""))</f>
        <v/>
      </c>
      <c r="S913" s="34" t="str">
        <f aca="false">IF(B913="","",IF(MONTH(B913)=10,"X",""))</f>
        <v/>
      </c>
      <c r="T913" s="34" t="str">
        <f aca="false">IF(B913="","",IF(MONTH(B913)=11,"X",""))</f>
        <v/>
      </c>
      <c r="U913" s="34" t="str">
        <f aca="false">IF(B913="","",IF(MONTH(B913)=12,"X",""))</f>
        <v/>
      </c>
      <c r="V913" s="24" t="str">
        <f aca="false">IF(E913="","",COUNTIF($E$5:$E$1000,E913))</f>
        <v/>
      </c>
      <c r="W913" s="35" t="str">
        <f aca="false">IF(E913="","",_xlfn.TEXTJOIN(" + ",TRUE(),IF(COUNTIFS($E$5:$E$1000,E913,$C$5:$C$1000,"Auditoría Interna")&gt;0,"Interna",""),IF(COUNTIFS($E$5:$E$1000,E913,$C$5:$C$1000,"Auditoría Externa")&gt;0,"Externa",""),IF(COUNTIFS($E$5:$E$1000,E913,$C$5:$C$1000,"SSF")&gt;0,"SSF",""),IF(COUNTIFS($E$5:$E$1000,E913,$C$5:$C$1000,"Comité de Supervisión")&gt;0,"Comité Sup.",""),IF(COUNTIFS($E$5:$E$1000,E913,$C$5:$C$1000,"Consejo de Administración")&gt;0,"Consejo",""),IF(COUNTIFS($E$5:$E$1000,E913,$C$5:$C$1000,"Otros")&gt;0,"Otros","")))</f>
        <v/>
      </c>
      <c r="X913" s="24" t="str">
        <f aca="false">IF(E913="","",COUNTIFS($E$5:$E$1000,E913,$AB$5:$AB$1000,AB913,$C$5:$C$1000,"&lt;&gt;"&amp;C913))</f>
        <v/>
      </c>
      <c r="Y913" s="33"/>
      <c r="Z913" s="31"/>
      <c r="AA913" s="33"/>
      <c r="AB913" s="37" t="str">
        <f aca="false">IF(B913="","",YEAR(B913)*100+MONTH(B913))</f>
        <v/>
      </c>
      <c r="AC913" s="37" t="str">
        <f aca="false">IF(AND(E913&lt;&gt;"",E913=Cruce!$C$5),COUNTIF($E$5:E913,E913),"")</f>
        <v/>
      </c>
      <c r="AD913" s="37" t="str">
        <f aca="false">IF(E913="","",C913&amp;"|"&amp;Y913&amp;"|"&amp;IF(B913="","s/f",TEXT(B913,"yyyymmdd")))</f>
        <v/>
      </c>
      <c r="AE913" s="37" t="n">
        <f aca="false">IF(E913="",0,IF(COUNTIFS($E$5:E913,E913,$AD$5:AD913,AD913)=1,1,0))</f>
        <v>0</v>
      </c>
    </row>
    <row r="914" customFormat="false" ht="15" hidden="false" customHeight="true" outlineLevel="0" collapsed="false">
      <c r="A914" s="31"/>
      <c r="B914" s="30"/>
      <c r="C914" s="31"/>
      <c r="D914" s="31"/>
      <c r="E914" s="32"/>
      <c r="F914" s="32"/>
      <c r="G914" s="33"/>
      <c r="H914" s="31"/>
      <c r="I914" s="24" t="str">
        <f aca="false">IF(B914="","",YEAR(B914))</f>
        <v/>
      </c>
      <c r="J914" s="34" t="str">
        <f aca="false">IF(B914="","",IF(MONTH(B914)=1,"X",""))</f>
        <v/>
      </c>
      <c r="K914" s="34" t="str">
        <f aca="false">IF(B914="","",IF(MONTH(B914)=2,"X",""))</f>
        <v/>
      </c>
      <c r="L914" s="34" t="str">
        <f aca="false">IF(B914="","",IF(MONTH(B914)=3,"X",""))</f>
        <v/>
      </c>
      <c r="M914" s="34" t="str">
        <f aca="false">IF(B914="","",IF(MONTH(B914)=4,"X",""))</f>
        <v/>
      </c>
      <c r="N914" s="34" t="str">
        <f aca="false">IF(B914="","",IF(MONTH(B914)=5,"X",""))</f>
        <v/>
      </c>
      <c r="O914" s="34" t="str">
        <f aca="false">IF(B914="","",IF(MONTH(B914)=6,"X",""))</f>
        <v/>
      </c>
      <c r="P914" s="34" t="str">
        <f aca="false">IF(B914="","",IF(MONTH(B914)=7,"X",""))</f>
        <v/>
      </c>
      <c r="Q914" s="34" t="str">
        <f aca="false">IF(B914="","",IF(MONTH(B914)=8,"X",""))</f>
        <v/>
      </c>
      <c r="R914" s="34" t="str">
        <f aca="false">IF(B914="","",IF(MONTH(B914)=9,"X",""))</f>
        <v/>
      </c>
      <c r="S914" s="34" t="str">
        <f aca="false">IF(B914="","",IF(MONTH(B914)=10,"X",""))</f>
        <v/>
      </c>
      <c r="T914" s="34" t="str">
        <f aca="false">IF(B914="","",IF(MONTH(B914)=11,"X",""))</f>
        <v/>
      </c>
      <c r="U914" s="34" t="str">
        <f aca="false">IF(B914="","",IF(MONTH(B914)=12,"X",""))</f>
        <v/>
      </c>
      <c r="V914" s="24" t="str">
        <f aca="false">IF(E914="","",COUNTIF($E$5:$E$1000,E914))</f>
        <v/>
      </c>
      <c r="W914" s="35" t="str">
        <f aca="false">IF(E914="","",_xlfn.TEXTJOIN(" + ",TRUE(),IF(COUNTIFS($E$5:$E$1000,E914,$C$5:$C$1000,"Auditoría Interna")&gt;0,"Interna",""),IF(COUNTIFS($E$5:$E$1000,E914,$C$5:$C$1000,"Auditoría Externa")&gt;0,"Externa",""),IF(COUNTIFS($E$5:$E$1000,E914,$C$5:$C$1000,"SSF")&gt;0,"SSF",""),IF(COUNTIFS($E$5:$E$1000,E914,$C$5:$C$1000,"Comité de Supervisión")&gt;0,"Comité Sup.",""),IF(COUNTIFS($E$5:$E$1000,E914,$C$5:$C$1000,"Consejo de Administración")&gt;0,"Consejo",""),IF(COUNTIFS($E$5:$E$1000,E914,$C$5:$C$1000,"Otros")&gt;0,"Otros","")))</f>
        <v/>
      </c>
      <c r="X914" s="24" t="str">
        <f aca="false">IF(E914="","",COUNTIFS($E$5:$E$1000,E914,$AB$5:$AB$1000,AB914,$C$5:$C$1000,"&lt;&gt;"&amp;C914))</f>
        <v/>
      </c>
      <c r="Y914" s="33"/>
      <c r="Z914" s="31"/>
      <c r="AA914" s="33"/>
      <c r="AB914" s="37" t="str">
        <f aca="false">IF(B914="","",YEAR(B914)*100+MONTH(B914))</f>
        <v/>
      </c>
      <c r="AC914" s="37" t="str">
        <f aca="false">IF(AND(E914&lt;&gt;"",E914=Cruce!$C$5),COUNTIF($E$5:E914,E914),"")</f>
        <v/>
      </c>
      <c r="AD914" s="37" t="str">
        <f aca="false">IF(E914="","",C914&amp;"|"&amp;Y914&amp;"|"&amp;IF(B914="","s/f",TEXT(B914,"yyyymmdd")))</f>
        <v/>
      </c>
      <c r="AE914" s="37" t="n">
        <f aca="false">IF(E914="",0,IF(COUNTIFS($E$5:E914,E914,$AD$5:AD914,AD914)=1,1,0))</f>
        <v>0</v>
      </c>
    </row>
    <row r="915" customFormat="false" ht="15" hidden="false" customHeight="true" outlineLevel="0" collapsed="false">
      <c r="A915" s="31"/>
      <c r="B915" s="30"/>
      <c r="C915" s="31"/>
      <c r="D915" s="31"/>
      <c r="E915" s="32"/>
      <c r="F915" s="32"/>
      <c r="G915" s="33"/>
      <c r="H915" s="31"/>
      <c r="I915" s="24" t="str">
        <f aca="false">IF(B915="","",YEAR(B915))</f>
        <v/>
      </c>
      <c r="J915" s="34" t="str">
        <f aca="false">IF(B915="","",IF(MONTH(B915)=1,"X",""))</f>
        <v/>
      </c>
      <c r="K915" s="34" t="str">
        <f aca="false">IF(B915="","",IF(MONTH(B915)=2,"X",""))</f>
        <v/>
      </c>
      <c r="L915" s="34" t="str">
        <f aca="false">IF(B915="","",IF(MONTH(B915)=3,"X",""))</f>
        <v/>
      </c>
      <c r="M915" s="34" t="str">
        <f aca="false">IF(B915="","",IF(MONTH(B915)=4,"X",""))</f>
        <v/>
      </c>
      <c r="N915" s="34" t="str">
        <f aca="false">IF(B915="","",IF(MONTH(B915)=5,"X",""))</f>
        <v/>
      </c>
      <c r="O915" s="34" t="str">
        <f aca="false">IF(B915="","",IF(MONTH(B915)=6,"X",""))</f>
        <v/>
      </c>
      <c r="P915" s="34" t="str">
        <f aca="false">IF(B915="","",IF(MONTH(B915)=7,"X",""))</f>
        <v/>
      </c>
      <c r="Q915" s="34" t="str">
        <f aca="false">IF(B915="","",IF(MONTH(B915)=8,"X",""))</f>
        <v/>
      </c>
      <c r="R915" s="34" t="str">
        <f aca="false">IF(B915="","",IF(MONTH(B915)=9,"X",""))</f>
        <v/>
      </c>
      <c r="S915" s="34" t="str">
        <f aca="false">IF(B915="","",IF(MONTH(B915)=10,"X",""))</f>
        <v/>
      </c>
      <c r="T915" s="34" t="str">
        <f aca="false">IF(B915="","",IF(MONTH(B915)=11,"X",""))</f>
        <v/>
      </c>
      <c r="U915" s="34" t="str">
        <f aca="false">IF(B915="","",IF(MONTH(B915)=12,"X",""))</f>
        <v/>
      </c>
      <c r="V915" s="24" t="str">
        <f aca="false">IF(E915="","",COUNTIF($E$5:$E$1000,E915))</f>
        <v/>
      </c>
      <c r="W915" s="35" t="str">
        <f aca="false">IF(E915="","",_xlfn.TEXTJOIN(" + ",TRUE(),IF(COUNTIFS($E$5:$E$1000,E915,$C$5:$C$1000,"Auditoría Interna")&gt;0,"Interna",""),IF(COUNTIFS($E$5:$E$1000,E915,$C$5:$C$1000,"Auditoría Externa")&gt;0,"Externa",""),IF(COUNTIFS($E$5:$E$1000,E915,$C$5:$C$1000,"SSF")&gt;0,"SSF",""),IF(COUNTIFS($E$5:$E$1000,E915,$C$5:$C$1000,"Comité de Supervisión")&gt;0,"Comité Sup.",""),IF(COUNTIFS($E$5:$E$1000,E915,$C$5:$C$1000,"Consejo de Administración")&gt;0,"Consejo",""),IF(COUNTIFS($E$5:$E$1000,E915,$C$5:$C$1000,"Otros")&gt;0,"Otros","")))</f>
        <v/>
      </c>
      <c r="X915" s="24" t="str">
        <f aca="false">IF(E915="","",COUNTIFS($E$5:$E$1000,E915,$AB$5:$AB$1000,AB915,$C$5:$C$1000,"&lt;&gt;"&amp;C915))</f>
        <v/>
      </c>
      <c r="Y915" s="33"/>
      <c r="Z915" s="31"/>
      <c r="AA915" s="33"/>
      <c r="AB915" s="37" t="str">
        <f aca="false">IF(B915="","",YEAR(B915)*100+MONTH(B915))</f>
        <v/>
      </c>
      <c r="AC915" s="37" t="str">
        <f aca="false">IF(AND(E915&lt;&gt;"",E915=Cruce!$C$5),COUNTIF($E$5:E915,E915),"")</f>
        <v/>
      </c>
      <c r="AD915" s="37" t="str">
        <f aca="false">IF(E915="","",C915&amp;"|"&amp;Y915&amp;"|"&amp;IF(B915="","s/f",TEXT(B915,"yyyymmdd")))</f>
        <v/>
      </c>
      <c r="AE915" s="37" t="n">
        <f aca="false">IF(E915="",0,IF(COUNTIFS($E$5:E915,E915,$AD$5:AD915,AD915)=1,1,0))</f>
        <v>0</v>
      </c>
    </row>
    <row r="916" customFormat="false" ht="15" hidden="false" customHeight="true" outlineLevel="0" collapsed="false">
      <c r="A916" s="31"/>
      <c r="B916" s="30"/>
      <c r="C916" s="31"/>
      <c r="D916" s="31"/>
      <c r="E916" s="32"/>
      <c r="F916" s="32"/>
      <c r="G916" s="33"/>
      <c r="H916" s="31"/>
      <c r="I916" s="24" t="str">
        <f aca="false">IF(B916="","",YEAR(B916))</f>
        <v/>
      </c>
      <c r="J916" s="34" t="str">
        <f aca="false">IF(B916="","",IF(MONTH(B916)=1,"X",""))</f>
        <v/>
      </c>
      <c r="K916" s="34" t="str">
        <f aca="false">IF(B916="","",IF(MONTH(B916)=2,"X",""))</f>
        <v/>
      </c>
      <c r="L916" s="34" t="str">
        <f aca="false">IF(B916="","",IF(MONTH(B916)=3,"X",""))</f>
        <v/>
      </c>
      <c r="M916" s="34" t="str">
        <f aca="false">IF(B916="","",IF(MONTH(B916)=4,"X",""))</f>
        <v/>
      </c>
      <c r="N916" s="34" t="str">
        <f aca="false">IF(B916="","",IF(MONTH(B916)=5,"X",""))</f>
        <v/>
      </c>
      <c r="O916" s="34" t="str">
        <f aca="false">IF(B916="","",IF(MONTH(B916)=6,"X",""))</f>
        <v/>
      </c>
      <c r="P916" s="34" t="str">
        <f aca="false">IF(B916="","",IF(MONTH(B916)=7,"X",""))</f>
        <v/>
      </c>
      <c r="Q916" s="34" t="str">
        <f aca="false">IF(B916="","",IF(MONTH(B916)=8,"X",""))</f>
        <v/>
      </c>
      <c r="R916" s="34" t="str">
        <f aca="false">IF(B916="","",IF(MONTH(B916)=9,"X",""))</f>
        <v/>
      </c>
      <c r="S916" s="34" t="str">
        <f aca="false">IF(B916="","",IF(MONTH(B916)=10,"X",""))</f>
        <v/>
      </c>
      <c r="T916" s="34" t="str">
        <f aca="false">IF(B916="","",IF(MONTH(B916)=11,"X",""))</f>
        <v/>
      </c>
      <c r="U916" s="34" t="str">
        <f aca="false">IF(B916="","",IF(MONTH(B916)=12,"X",""))</f>
        <v/>
      </c>
      <c r="V916" s="24" t="str">
        <f aca="false">IF(E916="","",COUNTIF($E$5:$E$1000,E916))</f>
        <v/>
      </c>
      <c r="W916" s="35" t="str">
        <f aca="false">IF(E916="","",_xlfn.TEXTJOIN(" + ",TRUE(),IF(COUNTIFS($E$5:$E$1000,E916,$C$5:$C$1000,"Auditoría Interna")&gt;0,"Interna",""),IF(COUNTIFS($E$5:$E$1000,E916,$C$5:$C$1000,"Auditoría Externa")&gt;0,"Externa",""),IF(COUNTIFS($E$5:$E$1000,E916,$C$5:$C$1000,"SSF")&gt;0,"SSF",""),IF(COUNTIFS($E$5:$E$1000,E916,$C$5:$C$1000,"Comité de Supervisión")&gt;0,"Comité Sup.",""),IF(COUNTIFS($E$5:$E$1000,E916,$C$5:$C$1000,"Consejo de Administración")&gt;0,"Consejo",""),IF(COUNTIFS($E$5:$E$1000,E916,$C$5:$C$1000,"Otros")&gt;0,"Otros","")))</f>
        <v/>
      </c>
      <c r="X916" s="24" t="str">
        <f aca="false">IF(E916="","",COUNTIFS($E$5:$E$1000,E916,$AB$5:$AB$1000,AB916,$C$5:$C$1000,"&lt;&gt;"&amp;C916))</f>
        <v/>
      </c>
      <c r="Y916" s="33"/>
      <c r="Z916" s="31"/>
      <c r="AA916" s="33"/>
      <c r="AB916" s="37" t="str">
        <f aca="false">IF(B916="","",YEAR(B916)*100+MONTH(B916))</f>
        <v/>
      </c>
      <c r="AC916" s="37" t="str">
        <f aca="false">IF(AND(E916&lt;&gt;"",E916=Cruce!$C$5),COUNTIF($E$5:E916,E916),"")</f>
        <v/>
      </c>
      <c r="AD916" s="37" t="str">
        <f aca="false">IF(E916="","",C916&amp;"|"&amp;Y916&amp;"|"&amp;IF(B916="","s/f",TEXT(B916,"yyyymmdd")))</f>
        <v/>
      </c>
      <c r="AE916" s="37" t="n">
        <f aca="false">IF(E916="",0,IF(COUNTIFS($E$5:E916,E916,$AD$5:AD916,AD916)=1,1,0))</f>
        <v>0</v>
      </c>
    </row>
    <row r="917" customFormat="false" ht="15" hidden="false" customHeight="true" outlineLevel="0" collapsed="false">
      <c r="A917" s="31"/>
      <c r="B917" s="30"/>
      <c r="C917" s="31"/>
      <c r="D917" s="31"/>
      <c r="E917" s="32"/>
      <c r="F917" s="32"/>
      <c r="G917" s="33"/>
      <c r="H917" s="31"/>
      <c r="I917" s="24" t="str">
        <f aca="false">IF(B917="","",YEAR(B917))</f>
        <v/>
      </c>
      <c r="J917" s="34" t="str">
        <f aca="false">IF(B917="","",IF(MONTH(B917)=1,"X",""))</f>
        <v/>
      </c>
      <c r="K917" s="34" t="str">
        <f aca="false">IF(B917="","",IF(MONTH(B917)=2,"X",""))</f>
        <v/>
      </c>
      <c r="L917" s="34" t="str">
        <f aca="false">IF(B917="","",IF(MONTH(B917)=3,"X",""))</f>
        <v/>
      </c>
      <c r="M917" s="34" t="str">
        <f aca="false">IF(B917="","",IF(MONTH(B917)=4,"X",""))</f>
        <v/>
      </c>
      <c r="N917" s="34" t="str">
        <f aca="false">IF(B917="","",IF(MONTH(B917)=5,"X",""))</f>
        <v/>
      </c>
      <c r="O917" s="34" t="str">
        <f aca="false">IF(B917="","",IF(MONTH(B917)=6,"X",""))</f>
        <v/>
      </c>
      <c r="P917" s="34" t="str">
        <f aca="false">IF(B917="","",IF(MONTH(B917)=7,"X",""))</f>
        <v/>
      </c>
      <c r="Q917" s="34" t="str">
        <f aca="false">IF(B917="","",IF(MONTH(B917)=8,"X",""))</f>
        <v/>
      </c>
      <c r="R917" s="34" t="str">
        <f aca="false">IF(B917="","",IF(MONTH(B917)=9,"X",""))</f>
        <v/>
      </c>
      <c r="S917" s="34" t="str">
        <f aca="false">IF(B917="","",IF(MONTH(B917)=10,"X",""))</f>
        <v/>
      </c>
      <c r="T917" s="34" t="str">
        <f aca="false">IF(B917="","",IF(MONTH(B917)=11,"X",""))</f>
        <v/>
      </c>
      <c r="U917" s="34" t="str">
        <f aca="false">IF(B917="","",IF(MONTH(B917)=12,"X",""))</f>
        <v/>
      </c>
      <c r="V917" s="24" t="str">
        <f aca="false">IF(E917="","",COUNTIF($E$5:$E$1000,E917))</f>
        <v/>
      </c>
      <c r="W917" s="35" t="str">
        <f aca="false">IF(E917="","",_xlfn.TEXTJOIN(" + ",TRUE(),IF(COUNTIFS($E$5:$E$1000,E917,$C$5:$C$1000,"Auditoría Interna")&gt;0,"Interna",""),IF(COUNTIFS($E$5:$E$1000,E917,$C$5:$C$1000,"Auditoría Externa")&gt;0,"Externa",""),IF(COUNTIFS($E$5:$E$1000,E917,$C$5:$C$1000,"SSF")&gt;0,"SSF",""),IF(COUNTIFS($E$5:$E$1000,E917,$C$5:$C$1000,"Comité de Supervisión")&gt;0,"Comité Sup.",""),IF(COUNTIFS($E$5:$E$1000,E917,$C$5:$C$1000,"Consejo de Administración")&gt;0,"Consejo",""),IF(COUNTIFS($E$5:$E$1000,E917,$C$5:$C$1000,"Otros")&gt;0,"Otros","")))</f>
        <v/>
      </c>
      <c r="X917" s="24" t="str">
        <f aca="false">IF(E917="","",COUNTIFS($E$5:$E$1000,E917,$AB$5:$AB$1000,AB917,$C$5:$C$1000,"&lt;&gt;"&amp;C917))</f>
        <v/>
      </c>
      <c r="Y917" s="33"/>
      <c r="Z917" s="31"/>
      <c r="AA917" s="33"/>
      <c r="AB917" s="37" t="str">
        <f aca="false">IF(B917="","",YEAR(B917)*100+MONTH(B917))</f>
        <v/>
      </c>
      <c r="AC917" s="37" t="str">
        <f aca="false">IF(AND(E917&lt;&gt;"",E917=Cruce!$C$5),COUNTIF($E$5:E917,E917),"")</f>
        <v/>
      </c>
      <c r="AD917" s="37" t="str">
        <f aca="false">IF(E917="","",C917&amp;"|"&amp;Y917&amp;"|"&amp;IF(B917="","s/f",TEXT(B917,"yyyymmdd")))</f>
        <v/>
      </c>
      <c r="AE917" s="37" t="n">
        <f aca="false">IF(E917="",0,IF(COUNTIFS($E$5:E917,E917,$AD$5:AD917,AD917)=1,1,0))</f>
        <v>0</v>
      </c>
    </row>
    <row r="918" customFormat="false" ht="15" hidden="false" customHeight="true" outlineLevel="0" collapsed="false">
      <c r="A918" s="31"/>
      <c r="B918" s="30"/>
      <c r="C918" s="31"/>
      <c r="D918" s="31"/>
      <c r="E918" s="32"/>
      <c r="F918" s="32"/>
      <c r="G918" s="33"/>
      <c r="H918" s="31"/>
      <c r="I918" s="24" t="str">
        <f aca="false">IF(B918="","",YEAR(B918))</f>
        <v/>
      </c>
      <c r="J918" s="34" t="str">
        <f aca="false">IF(B918="","",IF(MONTH(B918)=1,"X",""))</f>
        <v/>
      </c>
      <c r="K918" s="34" t="str">
        <f aca="false">IF(B918="","",IF(MONTH(B918)=2,"X",""))</f>
        <v/>
      </c>
      <c r="L918" s="34" t="str">
        <f aca="false">IF(B918="","",IF(MONTH(B918)=3,"X",""))</f>
        <v/>
      </c>
      <c r="M918" s="34" t="str">
        <f aca="false">IF(B918="","",IF(MONTH(B918)=4,"X",""))</f>
        <v/>
      </c>
      <c r="N918" s="34" t="str">
        <f aca="false">IF(B918="","",IF(MONTH(B918)=5,"X",""))</f>
        <v/>
      </c>
      <c r="O918" s="34" t="str">
        <f aca="false">IF(B918="","",IF(MONTH(B918)=6,"X",""))</f>
        <v/>
      </c>
      <c r="P918" s="34" t="str">
        <f aca="false">IF(B918="","",IF(MONTH(B918)=7,"X",""))</f>
        <v/>
      </c>
      <c r="Q918" s="34" t="str">
        <f aca="false">IF(B918="","",IF(MONTH(B918)=8,"X",""))</f>
        <v/>
      </c>
      <c r="R918" s="34" t="str">
        <f aca="false">IF(B918="","",IF(MONTH(B918)=9,"X",""))</f>
        <v/>
      </c>
      <c r="S918" s="34" t="str">
        <f aca="false">IF(B918="","",IF(MONTH(B918)=10,"X",""))</f>
        <v/>
      </c>
      <c r="T918" s="34" t="str">
        <f aca="false">IF(B918="","",IF(MONTH(B918)=11,"X",""))</f>
        <v/>
      </c>
      <c r="U918" s="34" t="str">
        <f aca="false">IF(B918="","",IF(MONTH(B918)=12,"X",""))</f>
        <v/>
      </c>
      <c r="V918" s="24" t="str">
        <f aca="false">IF(E918="","",COUNTIF($E$5:$E$1000,E918))</f>
        <v/>
      </c>
      <c r="W918" s="35" t="str">
        <f aca="false">IF(E918="","",_xlfn.TEXTJOIN(" + ",TRUE(),IF(COUNTIFS($E$5:$E$1000,E918,$C$5:$C$1000,"Auditoría Interna")&gt;0,"Interna",""),IF(COUNTIFS($E$5:$E$1000,E918,$C$5:$C$1000,"Auditoría Externa")&gt;0,"Externa",""),IF(COUNTIFS($E$5:$E$1000,E918,$C$5:$C$1000,"SSF")&gt;0,"SSF",""),IF(COUNTIFS($E$5:$E$1000,E918,$C$5:$C$1000,"Comité de Supervisión")&gt;0,"Comité Sup.",""),IF(COUNTIFS($E$5:$E$1000,E918,$C$5:$C$1000,"Consejo de Administración")&gt;0,"Consejo",""),IF(COUNTIFS($E$5:$E$1000,E918,$C$5:$C$1000,"Otros")&gt;0,"Otros","")))</f>
        <v/>
      </c>
      <c r="X918" s="24" t="str">
        <f aca="false">IF(E918="","",COUNTIFS($E$5:$E$1000,E918,$AB$5:$AB$1000,AB918,$C$5:$C$1000,"&lt;&gt;"&amp;C918))</f>
        <v/>
      </c>
      <c r="Y918" s="33"/>
      <c r="Z918" s="31"/>
      <c r="AA918" s="33"/>
      <c r="AB918" s="37" t="str">
        <f aca="false">IF(B918="","",YEAR(B918)*100+MONTH(B918))</f>
        <v/>
      </c>
      <c r="AC918" s="37" t="str">
        <f aca="false">IF(AND(E918&lt;&gt;"",E918=Cruce!$C$5),COUNTIF($E$5:E918,E918),"")</f>
        <v/>
      </c>
      <c r="AD918" s="37" t="str">
        <f aca="false">IF(E918="","",C918&amp;"|"&amp;Y918&amp;"|"&amp;IF(B918="","s/f",TEXT(B918,"yyyymmdd")))</f>
        <v/>
      </c>
      <c r="AE918" s="37" t="n">
        <f aca="false">IF(E918="",0,IF(COUNTIFS($E$5:E918,E918,$AD$5:AD918,AD918)=1,1,0))</f>
        <v>0</v>
      </c>
    </row>
    <row r="919" customFormat="false" ht="15" hidden="false" customHeight="true" outlineLevel="0" collapsed="false">
      <c r="A919" s="31"/>
      <c r="B919" s="30"/>
      <c r="C919" s="31"/>
      <c r="D919" s="31"/>
      <c r="E919" s="32"/>
      <c r="F919" s="32"/>
      <c r="G919" s="33"/>
      <c r="H919" s="31"/>
      <c r="I919" s="24" t="str">
        <f aca="false">IF(B919="","",YEAR(B919))</f>
        <v/>
      </c>
      <c r="J919" s="34" t="str">
        <f aca="false">IF(B919="","",IF(MONTH(B919)=1,"X",""))</f>
        <v/>
      </c>
      <c r="K919" s="34" t="str">
        <f aca="false">IF(B919="","",IF(MONTH(B919)=2,"X",""))</f>
        <v/>
      </c>
      <c r="L919" s="34" t="str">
        <f aca="false">IF(B919="","",IF(MONTH(B919)=3,"X",""))</f>
        <v/>
      </c>
      <c r="M919" s="34" t="str">
        <f aca="false">IF(B919="","",IF(MONTH(B919)=4,"X",""))</f>
        <v/>
      </c>
      <c r="N919" s="34" t="str">
        <f aca="false">IF(B919="","",IF(MONTH(B919)=5,"X",""))</f>
        <v/>
      </c>
      <c r="O919" s="34" t="str">
        <f aca="false">IF(B919="","",IF(MONTH(B919)=6,"X",""))</f>
        <v/>
      </c>
      <c r="P919" s="34" t="str">
        <f aca="false">IF(B919="","",IF(MONTH(B919)=7,"X",""))</f>
        <v/>
      </c>
      <c r="Q919" s="34" t="str">
        <f aca="false">IF(B919="","",IF(MONTH(B919)=8,"X",""))</f>
        <v/>
      </c>
      <c r="R919" s="34" t="str">
        <f aca="false">IF(B919="","",IF(MONTH(B919)=9,"X",""))</f>
        <v/>
      </c>
      <c r="S919" s="34" t="str">
        <f aca="false">IF(B919="","",IF(MONTH(B919)=10,"X",""))</f>
        <v/>
      </c>
      <c r="T919" s="34" t="str">
        <f aca="false">IF(B919="","",IF(MONTH(B919)=11,"X",""))</f>
        <v/>
      </c>
      <c r="U919" s="34" t="str">
        <f aca="false">IF(B919="","",IF(MONTH(B919)=12,"X",""))</f>
        <v/>
      </c>
      <c r="V919" s="24" t="str">
        <f aca="false">IF(E919="","",COUNTIF($E$5:$E$1000,E919))</f>
        <v/>
      </c>
      <c r="W919" s="35" t="str">
        <f aca="false">IF(E919="","",_xlfn.TEXTJOIN(" + ",TRUE(),IF(COUNTIFS($E$5:$E$1000,E919,$C$5:$C$1000,"Auditoría Interna")&gt;0,"Interna",""),IF(COUNTIFS($E$5:$E$1000,E919,$C$5:$C$1000,"Auditoría Externa")&gt;0,"Externa",""),IF(COUNTIFS($E$5:$E$1000,E919,$C$5:$C$1000,"SSF")&gt;0,"SSF",""),IF(COUNTIFS($E$5:$E$1000,E919,$C$5:$C$1000,"Comité de Supervisión")&gt;0,"Comité Sup.",""),IF(COUNTIFS($E$5:$E$1000,E919,$C$5:$C$1000,"Consejo de Administración")&gt;0,"Consejo",""),IF(COUNTIFS($E$5:$E$1000,E919,$C$5:$C$1000,"Otros")&gt;0,"Otros","")))</f>
        <v/>
      </c>
      <c r="X919" s="24" t="str">
        <f aca="false">IF(E919="","",COUNTIFS($E$5:$E$1000,E919,$AB$5:$AB$1000,AB919,$C$5:$C$1000,"&lt;&gt;"&amp;C919))</f>
        <v/>
      </c>
      <c r="Y919" s="33"/>
      <c r="Z919" s="31"/>
      <c r="AA919" s="33"/>
      <c r="AB919" s="37" t="str">
        <f aca="false">IF(B919="","",YEAR(B919)*100+MONTH(B919))</f>
        <v/>
      </c>
      <c r="AC919" s="37" t="str">
        <f aca="false">IF(AND(E919&lt;&gt;"",E919=Cruce!$C$5),COUNTIF($E$5:E919,E919),"")</f>
        <v/>
      </c>
      <c r="AD919" s="37" t="str">
        <f aca="false">IF(E919="","",C919&amp;"|"&amp;Y919&amp;"|"&amp;IF(B919="","s/f",TEXT(B919,"yyyymmdd")))</f>
        <v/>
      </c>
      <c r="AE919" s="37" t="n">
        <f aca="false">IF(E919="",0,IF(COUNTIFS($E$5:E919,E919,$AD$5:AD919,AD919)=1,1,0))</f>
        <v>0</v>
      </c>
    </row>
    <row r="920" customFormat="false" ht="15" hidden="false" customHeight="true" outlineLevel="0" collapsed="false">
      <c r="A920" s="31"/>
      <c r="B920" s="30"/>
      <c r="C920" s="31"/>
      <c r="D920" s="31"/>
      <c r="E920" s="32"/>
      <c r="F920" s="32"/>
      <c r="G920" s="33"/>
      <c r="H920" s="31"/>
      <c r="I920" s="24" t="str">
        <f aca="false">IF(B920="","",YEAR(B920))</f>
        <v/>
      </c>
      <c r="J920" s="34" t="str">
        <f aca="false">IF(B920="","",IF(MONTH(B920)=1,"X",""))</f>
        <v/>
      </c>
      <c r="K920" s="34" t="str">
        <f aca="false">IF(B920="","",IF(MONTH(B920)=2,"X",""))</f>
        <v/>
      </c>
      <c r="L920" s="34" t="str">
        <f aca="false">IF(B920="","",IF(MONTH(B920)=3,"X",""))</f>
        <v/>
      </c>
      <c r="M920" s="34" t="str">
        <f aca="false">IF(B920="","",IF(MONTH(B920)=4,"X",""))</f>
        <v/>
      </c>
      <c r="N920" s="34" t="str">
        <f aca="false">IF(B920="","",IF(MONTH(B920)=5,"X",""))</f>
        <v/>
      </c>
      <c r="O920" s="34" t="str">
        <f aca="false">IF(B920="","",IF(MONTH(B920)=6,"X",""))</f>
        <v/>
      </c>
      <c r="P920" s="34" t="str">
        <f aca="false">IF(B920="","",IF(MONTH(B920)=7,"X",""))</f>
        <v/>
      </c>
      <c r="Q920" s="34" t="str">
        <f aca="false">IF(B920="","",IF(MONTH(B920)=8,"X",""))</f>
        <v/>
      </c>
      <c r="R920" s="34" t="str">
        <f aca="false">IF(B920="","",IF(MONTH(B920)=9,"X",""))</f>
        <v/>
      </c>
      <c r="S920" s="34" t="str">
        <f aca="false">IF(B920="","",IF(MONTH(B920)=10,"X",""))</f>
        <v/>
      </c>
      <c r="T920" s="34" t="str">
        <f aca="false">IF(B920="","",IF(MONTH(B920)=11,"X",""))</f>
        <v/>
      </c>
      <c r="U920" s="34" t="str">
        <f aca="false">IF(B920="","",IF(MONTH(B920)=12,"X",""))</f>
        <v/>
      </c>
      <c r="V920" s="24" t="str">
        <f aca="false">IF(E920="","",COUNTIF($E$5:$E$1000,E920))</f>
        <v/>
      </c>
      <c r="W920" s="35" t="str">
        <f aca="false">IF(E920="","",_xlfn.TEXTJOIN(" + ",TRUE(),IF(COUNTIFS($E$5:$E$1000,E920,$C$5:$C$1000,"Auditoría Interna")&gt;0,"Interna",""),IF(COUNTIFS($E$5:$E$1000,E920,$C$5:$C$1000,"Auditoría Externa")&gt;0,"Externa",""),IF(COUNTIFS($E$5:$E$1000,E920,$C$5:$C$1000,"SSF")&gt;0,"SSF",""),IF(COUNTIFS($E$5:$E$1000,E920,$C$5:$C$1000,"Comité de Supervisión")&gt;0,"Comité Sup.",""),IF(COUNTIFS($E$5:$E$1000,E920,$C$5:$C$1000,"Consejo de Administración")&gt;0,"Consejo",""),IF(COUNTIFS($E$5:$E$1000,E920,$C$5:$C$1000,"Otros")&gt;0,"Otros","")))</f>
        <v/>
      </c>
      <c r="X920" s="24" t="str">
        <f aca="false">IF(E920="","",COUNTIFS($E$5:$E$1000,E920,$AB$5:$AB$1000,AB920,$C$5:$C$1000,"&lt;&gt;"&amp;C920))</f>
        <v/>
      </c>
      <c r="Y920" s="33"/>
      <c r="Z920" s="31"/>
      <c r="AA920" s="33"/>
      <c r="AB920" s="37" t="str">
        <f aca="false">IF(B920="","",YEAR(B920)*100+MONTH(B920))</f>
        <v/>
      </c>
      <c r="AC920" s="37" t="str">
        <f aca="false">IF(AND(E920&lt;&gt;"",E920=Cruce!$C$5),COUNTIF($E$5:E920,E920),"")</f>
        <v/>
      </c>
      <c r="AD920" s="37" t="str">
        <f aca="false">IF(E920="","",C920&amp;"|"&amp;Y920&amp;"|"&amp;IF(B920="","s/f",TEXT(B920,"yyyymmdd")))</f>
        <v/>
      </c>
      <c r="AE920" s="37" t="n">
        <f aca="false">IF(E920="",0,IF(COUNTIFS($E$5:E920,E920,$AD$5:AD920,AD920)=1,1,0))</f>
        <v>0</v>
      </c>
    </row>
    <row r="921" customFormat="false" ht="15" hidden="false" customHeight="true" outlineLevel="0" collapsed="false">
      <c r="A921" s="31"/>
      <c r="B921" s="30"/>
      <c r="C921" s="31"/>
      <c r="D921" s="31"/>
      <c r="E921" s="32"/>
      <c r="F921" s="32"/>
      <c r="G921" s="33"/>
      <c r="H921" s="31"/>
      <c r="I921" s="24" t="str">
        <f aca="false">IF(B921="","",YEAR(B921))</f>
        <v/>
      </c>
      <c r="J921" s="34" t="str">
        <f aca="false">IF(B921="","",IF(MONTH(B921)=1,"X",""))</f>
        <v/>
      </c>
      <c r="K921" s="34" t="str">
        <f aca="false">IF(B921="","",IF(MONTH(B921)=2,"X",""))</f>
        <v/>
      </c>
      <c r="L921" s="34" t="str">
        <f aca="false">IF(B921="","",IF(MONTH(B921)=3,"X",""))</f>
        <v/>
      </c>
      <c r="M921" s="34" t="str">
        <f aca="false">IF(B921="","",IF(MONTH(B921)=4,"X",""))</f>
        <v/>
      </c>
      <c r="N921" s="34" t="str">
        <f aca="false">IF(B921="","",IF(MONTH(B921)=5,"X",""))</f>
        <v/>
      </c>
      <c r="O921" s="34" t="str">
        <f aca="false">IF(B921="","",IF(MONTH(B921)=6,"X",""))</f>
        <v/>
      </c>
      <c r="P921" s="34" t="str">
        <f aca="false">IF(B921="","",IF(MONTH(B921)=7,"X",""))</f>
        <v/>
      </c>
      <c r="Q921" s="34" t="str">
        <f aca="false">IF(B921="","",IF(MONTH(B921)=8,"X",""))</f>
        <v/>
      </c>
      <c r="R921" s="34" t="str">
        <f aca="false">IF(B921="","",IF(MONTH(B921)=9,"X",""))</f>
        <v/>
      </c>
      <c r="S921" s="34" t="str">
        <f aca="false">IF(B921="","",IF(MONTH(B921)=10,"X",""))</f>
        <v/>
      </c>
      <c r="T921" s="34" t="str">
        <f aca="false">IF(B921="","",IF(MONTH(B921)=11,"X",""))</f>
        <v/>
      </c>
      <c r="U921" s="34" t="str">
        <f aca="false">IF(B921="","",IF(MONTH(B921)=12,"X",""))</f>
        <v/>
      </c>
      <c r="V921" s="24" t="str">
        <f aca="false">IF(E921="","",COUNTIF($E$5:$E$1000,E921))</f>
        <v/>
      </c>
      <c r="W921" s="35" t="str">
        <f aca="false">IF(E921="","",_xlfn.TEXTJOIN(" + ",TRUE(),IF(COUNTIFS($E$5:$E$1000,E921,$C$5:$C$1000,"Auditoría Interna")&gt;0,"Interna",""),IF(COUNTIFS($E$5:$E$1000,E921,$C$5:$C$1000,"Auditoría Externa")&gt;0,"Externa",""),IF(COUNTIFS($E$5:$E$1000,E921,$C$5:$C$1000,"SSF")&gt;0,"SSF",""),IF(COUNTIFS($E$5:$E$1000,E921,$C$5:$C$1000,"Comité de Supervisión")&gt;0,"Comité Sup.",""),IF(COUNTIFS($E$5:$E$1000,E921,$C$5:$C$1000,"Consejo de Administración")&gt;0,"Consejo",""),IF(COUNTIFS($E$5:$E$1000,E921,$C$5:$C$1000,"Otros")&gt;0,"Otros","")))</f>
        <v/>
      </c>
      <c r="X921" s="24" t="str">
        <f aca="false">IF(E921="","",COUNTIFS($E$5:$E$1000,E921,$AB$5:$AB$1000,AB921,$C$5:$C$1000,"&lt;&gt;"&amp;C921))</f>
        <v/>
      </c>
      <c r="Y921" s="33"/>
      <c r="Z921" s="31"/>
      <c r="AA921" s="33"/>
      <c r="AB921" s="37" t="str">
        <f aca="false">IF(B921="","",YEAR(B921)*100+MONTH(B921))</f>
        <v/>
      </c>
      <c r="AC921" s="37" t="str">
        <f aca="false">IF(AND(E921&lt;&gt;"",E921=Cruce!$C$5),COUNTIF($E$5:E921,E921),"")</f>
        <v/>
      </c>
      <c r="AD921" s="37" t="str">
        <f aca="false">IF(E921="","",C921&amp;"|"&amp;Y921&amp;"|"&amp;IF(B921="","s/f",TEXT(B921,"yyyymmdd")))</f>
        <v/>
      </c>
      <c r="AE921" s="37" t="n">
        <f aca="false">IF(E921="",0,IF(COUNTIFS($E$5:E921,E921,$AD$5:AD921,AD921)=1,1,0))</f>
        <v>0</v>
      </c>
    </row>
    <row r="922" customFormat="false" ht="15" hidden="false" customHeight="true" outlineLevel="0" collapsed="false">
      <c r="A922" s="31"/>
      <c r="B922" s="30"/>
      <c r="C922" s="31"/>
      <c r="D922" s="31"/>
      <c r="E922" s="32"/>
      <c r="F922" s="32"/>
      <c r="G922" s="33"/>
      <c r="H922" s="31"/>
      <c r="I922" s="24" t="str">
        <f aca="false">IF(B922="","",YEAR(B922))</f>
        <v/>
      </c>
      <c r="J922" s="34" t="str">
        <f aca="false">IF(B922="","",IF(MONTH(B922)=1,"X",""))</f>
        <v/>
      </c>
      <c r="K922" s="34" t="str">
        <f aca="false">IF(B922="","",IF(MONTH(B922)=2,"X",""))</f>
        <v/>
      </c>
      <c r="L922" s="34" t="str">
        <f aca="false">IF(B922="","",IF(MONTH(B922)=3,"X",""))</f>
        <v/>
      </c>
      <c r="M922" s="34" t="str">
        <f aca="false">IF(B922="","",IF(MONTH(B922)=4,"X",""))</f>
        <v/>
      </c>
      <c r="N922" s="34" t="str">
        <f aca="false">IF(B922="","",IF(MONTH(B922)=5,"X",""))</f>
        <v/>
      </c>
      <c r="O922" s="34" t="str">
        <f aca="false">IF(B922="","",IF(MONTH(B922)=6,"X",""))</f>
        <v/>
      </c>
      <c r="P922" s="34" t="str">
        <f aca="false">IF(B922="","",IF(MONTH(B922)=7,"X",""))</f>
        <v/>
      </c>
      <c r="Q922" s="34" t="str">
        <f aca="false">IF(B922="","",IF(MONTH(B922)=8,"X",""))</f>
        <v/>
      </c>
      <c r="R922" s="34" t="str">
        <f aca="false">IF(B922="","",IF(MONTH(B922)=9,"X",""))</f>
        <v/>
      </c>
      <c r="S922" s="34" t="str">
        <f aca="false">IF(B922="","",IF(MONTH(B922)=10,"X",""))</f>
        <v/>
      </c>
      <c r="T922" s="34" t="str">
        <f aca="false">IF(B922="","",IF(MONTH(B922)=11,"X",""))</f>
        <v/>
      </c>
      <c r="U922" s="34" t="str">
        <f aca="false">IF(B922="","",IF(MONTH(B922)=12,"X",""))</f>
        <v/>
      </c>
      <c r="V922" s="24" t="str">
        <f aca="false">IF(E922="","",COUNTIF($E$5:$E$1000,E922))</f>
        <v/>
      </c>
      <c r="W922" s="35" t="str">
        <f aca="false">IF(E922="","",_xlfn.TEXTJOIN(" + ",TRUE(),IF(COUNTIFS($E$5:$E$1000,E922,$C$5:$C$1000,"Auditoría Interna")&gt;0,"Interna",""),IF(COUNTIFS($E$5:$E$1000,E922,$C$5:$C$1000,"Auditoría Externa")&gt;0,"Externa",""),IF(COUNTIFS($E$5:$E$1000,E922,$C$5:$C$1000,"SSF")&gt;0,"SSF",""),IF(COUNTIFS($E$5:$E$1000,E922,$C$5:$C$1000,"Comité de Supervisión")&gt;0,"Comité Sup.",""),IF(COUNTIFS($E$5:$E$1000,E922,$C$5:$C$1000,"Consejo de Administración")&gt;0,"Consejo",""),IF(COUNTIFS($E$5:$E$1000,E922,$C$5:$C$1000,"Otros")&gt;0,"Otros","")))</f>
        <v/>
      </c>
      <c r="X922" s="24" t="str">
        <f aca="false">IF(E922="","",COUNTIFS($E$5:$E$1000,E922,$AB$5:$AB$1000,AB922,$C$5:$C$1000,"&lt;&gt;"&amp;C922))</f>
        <v/>
      </c>
      <c r="Y922" s="33"/>
      <c r="Z922" s="31"/>
      <c r="AA922" s="33"/>
      <c r="AB922" s="37" t="str">
        <f aca="false">IF(B922="","",YEAR(B922)*100+MONTH(B922))</f>
        <v/>
      </c>
      <c r="AC922" s="37" t="str">
        <f aca="false">IF(AND(E922&lt;&gt;"",E922=Cruce!$C$5),COUNTIF($E$5:E922,E922),"")</f>
        <v/>
      </c>
      <c r="AD922" s="37" t="str">
        <f aca="false">IF(E922="","",C922&amp;"|"&amp;Y922&amp;"|"&amp;IF(B922="","s/f",TEXT(B922,"yyyymmdd")))</f>
        <v/>
      </c>
      <c r="AE922" s="37" t="n">
        <f aca="false">IF(E922="",0,IF(COUNTIFS($E$5:E922,E922,$AD$5:AD922,AD922)=1,1,0))</f>
        <v>0</v>
      </c>
    </row>
    <row r="923" customFormat="false" ht="15" hidden="false" customHeight="true" outlineLevel="0" collapsed="false">
      <c r="A923" s="31"/>
      <c r="B923" s="30"/>
      <c r="C923" s="31"/>
      <c r="D923" s="31"/>
      <c r="E923" s="32"/>
      <c r="F923" s="32"/>
      <c r="G923" s="33"/>
      <c r="H923" s="31"/>
      <c r="I923" s="24" t="str">
        <f aca="false">IF(B923="","",YEAR(B923))</f>
        <v/>
      </c>
      <c r="J923" s="34" t="str">
        <f aca="false">IF(B923="","",IF(MONTH(B923)=1,"X",""))</f>
        <v/>
      </c>
      <c r="K923" s="34" t="str">
        <f aca="false">IF(B923="","",IF(MONTH(B923)=2,"X",""))</f>
        <v/>
      </c>
      <c r="L923" s="34" t="str">
        <f aca="false">IF(B923="","",IF(MONTH(B923)=3,"X",""))</f>
        <v/>
      </c>
      <c r="M923" s="34" t="str">
        <f aca="false">IF(B923="","",IF(MONTH(B923)=4,"X",""))</f>
        <v/>
      </c>
      <c r="N923" s="34" t="str">
        <f aca="false">IF(B923="","",IF(MONTH(B923)=5,"X",""))</f>
        <v/>
      </c>
      <c r="O923" s="34" t="str">
        <f aca="false">IF(B923="","",IF(MONTH(B923)=6,"X",""))</f>
        <v/>
      </c>
      <c r="P923" s="34" t="str">
        <f aca="false">IF(B923="","",IF(MONTH(B923)=7,"X",""))</f>
        <v/>
      </c>
      <c r="Q923" s="34" t="str">
        <f aca="false">IF(B923="","",IF(MONTH(B923)=8,"X",""))</f>
        <v/>
      </c>
      <c r="R923" s="34" t="str">
        <f aca="false">IF(B923="","",IF(MONTH(B923)=9,"X",""))</f>
        <v/>
      </c>
      <c r="S923" s="34" t="str">
        <f aca="false">IF(B923="","",IF(MONTH(B923)=10,"X",""))</f>
        <v/>
      </c>
      <c r="T923" s="34" t="str">
        <f aca="false">IF(B923="","",IF(MONTH(B923)=11,"X",""))</f>
        <v/>
      </c>
      <c r="U923" s="34" t="str">
        <f aca="false">IF(B923="","",IF(MONTH(B923)=12,"X",""))</f>
        <v/>
      </c>
      <c r="V923" s="24" t="str">
        <f aca="false">IF(E923="","",COUNTIF($E$5:$E$1000,E923))</f>
        <v/>
      </c>
      <c r="W923" s="35" t="str">
        <f aca="false">IF(E923="","",_xlfn.TEXTJOIN(" + ",TRUE(),IF(COUNTIFS($E$5:$E$1000,E923,$C$5:$C$1000,"Auditoría Interna")&gt;0,"Interna",""),IF(COUNTIFS($E$5:$E$1000,E923,$C$5:$C$1000,"Auditoría Externa")&gt;0,"Externa",""),IF(COUNTIFS($E$5:$E$1000,E923,$C$5:$C$1000,"SSF")&gt;0,"SSF",""),IF(COUNTIFS($E$5:$E$1000,E923,$C$5:$C$1000,"Comité de Supervisión")&gt;0,"Comité Sup.",""),IF(COUNTIFS($E$5:$E$1000,E923,$C$5:$C$1000,"Consejo de Administración")&gt;0,"Consejo",""),IF(COUNTIFS($E$5:$E$1000,E923,$C$5:$C$1000,"Otros")&gt;0,"Otros","")))</f>
        <v/>
      </c>
      <c r="X923" s="24" t="str">
        <f aca="false">IF(E923="","",COUNTIFS($E$5:$E$1000,E923,$AB$5:$AB$1000,AB923,$C$5:$C$1000,"&lt;&gt;"&amp;C923))</f>
        <v/>
      </c>
      <c r="Y923" s="33"/>
      <c r="Z923" s="31"/>
      <c r="AA923" s="33"/>
      <c r="AB923" s="37" t="str">
        <f aca="false">IF(B923="","",YEAR(B923)*100+MONTH(B923))</f>
        <v/>
      </c>
      <c r="AC923" s="37" t="str">
        <f aca="false">IF(AND(E923&lt;&gt;"",E923=Cruce!$C$5),COUNTIF($E$5:E923,E923),"")</f>
        <v/>
      </c>
      <c r="AD923" s="37" t="str">
        <f aca="false">IF(E923="","",C923&amp;"|"&amp;Y923&amp;"|"&amp;IF(B923="","s/f",TEXT(B923,"yyyymmdd")))</f>
        <v/>
      </c>
      <c r="AE923" s="37" t="n">
        <f aca="false">IF(E923="",0,IF(COUNTIFS($E$5:E923,E923,$AD$5:AD923,AD923)=1,1,0))</f>
        <v>0</v>
      </c>
    </row>
    <row r="924" customFormat="false" ht="15" hidden="false" customHeight="true" outlineLevel="0" collapsed="false">
      <c r="A924" s="31"/>
      <c r="B924" s="30"/>
      <c r="C924" s="31"/>
      <c r="D924" s="31"/>
      <c r="E924" s="32"/>
      <c r="F924" s="32"/>
      <c r="G924" s="33"/>
      <c r="H924" s="31"/>
      <c r="I924" s="24" t="str">
        <f aca="false">IF(B924="","",YEAR(B924))</f>
        <v/>
      </c>
      <c r="J924" s="34" t="str">
        <f aca="false">IF(B924="","",IF(MONTH(B924)=1,"X",""))</f>
        <v/>
      </c>
      <c r="K924" s="34" t="str">
        <f aca="false">IF(B924="","",IF(MONTH(B924)=2,"X",""))</f>
        <v/>
      </c>
      <c r="L924" s="34" t="str">
        <f aca="false">IF(B924="","",IF(MONTH(B924)=3,"X",""))</f>
        <v/>
      </c>
      <c r="M924" s="34" t="str">
        <f aca="false">IF(B924="","",IF(MONTH(B924)=4,"X",""))</f>
        <v/>
      </c>
      <c r="N924" s="34" t="str">
        <f aca="false">IF(B924="","",IF(MONTH(B924)=5,"X",""))</f>
        <v/>
      </c>
      <c r="O924" s="34" t="str">
        <f aca="false">IF(B924="","",IF(MONTH(B924)=6,"X",""))</f>
        <v/>
      </c>
      <c r="P924" s="34" t="str">
        <f aca="false">IF(B924="","",IF(MONTH(B924)=7,"X",""))</f>
        <v/>
      </c>
      <c r="Q924" s="34" t="str">
        <f aca="false">IF(B924="","",IF(MONTH(B924)=8,"X",""))</f>
        <v/>
      </c>
      <c r="R924" s="34" t="str">
        <f aca="false">IF(B924="","",IF(MONTH(B924)=9,"X",""))</f>
        <v/>
      </c>
      <c r="S924" s="34" t="str">
        <f aca="false">IF(B924="","",IF(MONTH(B924)=10,"X",""))</f>
        <v/>
      </c>
      <c r="T924" s="34" t="str">
        <f aca="false">IF(B924="","",IF(MONTH(B924)=11,"X",""))</f>
        <v/>
      </c>
      <c r="U924" s="34" t="str">
        <f aca="false">IF(B924="","",IF(MONTH(B924)=12,"X",""))</f>
        <v/>
      </c>
      <c r="V924" s="24" t="str">
        <f aca="false">IF(E924="","",COUNTIF($E$5:$E$1000,E924))</f>
        <v/>
      </c>
      <c r="W924" s="35" t="str">
        <f aca="false">IF(E924="","",_xlfn.TEXTJOIN(" + ",TRUE(),IF(COUNTIFS($E$5:$E$1000,E924,$C$5:$C$1000,"Auditoría Interna")&gt;0,"Interna",""),IF(COUNTIFS($E$5:$E$1000,E924,$C$5:$C$1000,"Auditoría Externa")&gt;0,"Externa",""),IF(COUNTIFS($E$5:$E$1000,E924,$C$5:$C$1000,"SSF")&gt;0,"SSF",""),IF(COUNTIFS($E$5:$E$1000,E924,$C$5:$C$1000,"Comité de Supervisión")&gt;0,"Comité Sup.",""),IF(COUNTIFS($E$5:$E$1000,E924,$C$5:$C$1000,"Consejo de Administración")&gt;0,"Consejo",""),IF(COUNTIFS($E$5:$E$1000,E924,$C$5:$C$1000,"Otros")&gt;0,"Otros","")))</f>
        <v/>
      </c>
      <c r="X924" s="24" t="str">
        <f aca="false">IF(E924="","",COUNTIFS($E$5:$E$1000,E924,$AB$5:$AB$1000,AB924,$C$5:$C$1000,"&lt;&gt;"&amp;C924))</f>
        <v/>
      </c>
      <c r="Y924" s="33"/>
      <c r="Z924" s="31"/>
      <c r="AA924" s="33"/>
      <c r="AB924" s="37" t="str">
        <f aca="false">IF(B924="","",YEAR(B924)*100+MONTH(B924))</f>
        <v/>
      </c>
      <c r="AC924" s="37" t="str">
        <f aca="false">IF(AND(E924&lt;&gt;"",E924=Cruce!$C$5),COUNTIF($E$5:E924,E924),"")</f>
        <v/>
      </c>
      <c r="AD924" s="37" t="str">
        <f aca="false">IF(E924="","",C924&amp;"|"&amp;Y924&amp;"|"&amp;IF(B924="","s/f",TEXT(B924,"yyyymmdd")))</f>
        <v/>
      </c>
      <c r="AE924" s="37" t="n">
        <f aca="false">IF(E924="",0,IF(COUNTIFS($E$5:E924,E924,$AD$5:AD924,AD924)=1,1,0))</f>
        <v>0</v>
      </c>
    </row>
    <row r="925" customFormat="false" ht="15" hidden="false" customHeight="true" outlineLevel="0" collapsed="false">
      <c r="A925" s="31"/>
      <c r="B925" s="30"/>
      <c r="C925" s="31"/>
      <c r="D925" s="31"/>
      <c r="E925" s="32"/>
      <c r="F925" s="32"/>
      <c r="G925" s="33"/>
      <c r="H925" s="31"/>
      <c r="I925" s="24" t="str">
        <f aca="false">IF(B925="","",YEAR(B925))</f>
        <v/>
      </c>
      <c r="J925" s="34" t="str">
        <f aca="false">IF(B925="","",IF(MONTH(B925)=1,"X",""))</f>
        <v/>
      </c>
      <c r="K925" s="34" t="str">
        <f aca="false">IF(B925="","",IF(MONTH(B925)=2,"X",""))</f>
        <v/>
      </c>
      <c r="L925" s="34" t="str">
        <f aca="false">IF(B925="","",IF(MONTH(B925)=3,"X",""))</f>
        <v/>
      </c>
      <c r="M925" s="34" t="str">
        <f aca="false">IF(B925="","",IF(MONTH(B925)=4,"X",""))</f>
        <v/>
      </c>
      <c r="N925" s="34" t="str">
        <f aca="false">IF(B925="","",IF(MONTH(B925)=5,"X",""))</f>
        <v/>
      </c>
      <c r="O925" s="34" t="str">
        <f aca="false">IF(B925="","",IF(MONTH(B925)=6,"X",""))</f>
        <v/>
      </c>
      <c r="P925" s="34" t="str">
        <f aca="false">IF(B925="","",IF(MONTH(B925)=7,"X",""))</f>
        <v/>
      </c>
      <c r="Q925" s="34" t="str">
        <f aca="false">IF(B925="","",IF(MONTH(B925)=8,"X",""))</f>
        <v/>
      </c>
      <c r="R925" s="34" t="str">
        <f aca="false">IF(B925="","",IF(MONTH(B925)=9,"X",""))</f>
        <v/>
      </c>
      <c r="S925" s="34" t="str">
        <f aca="false">IF(B925="","",IF(MONTH(B925)=10,"X",""))</f>
        <v/>
      </c>
      <c r="T925" s="34" t="str">
        <f aca="false">IF(B925="","",IF(MONTH(B925)=11,"X",""))</f>
        <v/>
      </c>
      <c r="U925" s="34" t="str">
        <f aca="false">IF(B925="","",IF(MONTH(B925)=12,"X",""))</f>
        <v/>
      </c>
      <c r="V925" s="24" t="str">
        <f aca="false">IF(E925="","",COUNTIF($E$5:$E$1000,E925))</f>
        <v/>
      </c>
      <c r="W925" s="35" t="str">
        <f aca="false">IF(E925="","",_xlfn.TEXTJOIN(" + ",TRUE(),IF(COUNTIFS($E$5:$E$1000,E925,$C$5:$C$1000,"Auditoría Interna")&gt;0,"Interna",""),IF(COUNTIFS($E$5:$E$1000,E925,$C$5:$C$1000,"Auditoría Externa")&gt;0,"Externa",""),IF(COUNTIFS($E$5:$E$1000,E925,$C$5:$C$1000,"SSF")&gt;0,"SSF",""),IF(COUNTIFS($E$5:$E$1000,E925,$C$5:$C$1000,"Comité de Supervisión")&gt;0,"Comité Sup.",""),IF(COUNTIFS($E$5:$E$1000,E925,$C$5:$C$1000,"Consejo de Administración")&gt;0,"Consejo",""),IF(COUNTIFS($E$5:$E$1000,E925,$C$5:$C$1000,"Otros")&gt;0,"Otros","")))</f>
        <v/>
      </c>
      <c r="X925" s="24" t="str">
        <f aca="false">IF(E925="","",COUNTIFS($E$5:$E$1000,E925,$AB$5:$AB$1000,AB925,$C$5:$C$1000,"&lt;&gt;"&amp;C925))</f>
        <v/>
      </c>
      <c r="Y925" s="33"/>
      <c r="Z925" s="31"/>
      <c r="AA925" s="33"/>
      <c r="AB925" s="37" t="str">
        <f aca="false">IF(B925="","",YEAR(B925)*100+MONTH(B925))</f>
        <v/>
      </c>
      <c r="AC925" s="37" t="str">
        <f aca="false">IF(AND(E925&lt;&gt;"",E925=Cruce!$C$5),COUNTIF($E$5:E925,E925),"")</f>
        <v/>
      </c>
      <c r="AD925" s="37" t="str">
        <f aca="false">IF(E925="","",C925&amp;"|"&amp;Y925&amp;"|"&amp;IF(B925="","s/f",TEXT(B925,"yyyymmdd")))</f>
        <v/>
      </c>
      <c r="AE925" s="37" t="n">
        <f aca="false">IF(E925="",0,IF(COUNTIFS($E$5:E925,E925,$AD$5:AD925,AD925)=1,1,0))</f>
        <v>0</v>
      </c>
    </row>
    <row r="926" customFormat="false" ht="15" hidden="false" customHeight="true" outlineLevel="0" collapsed="false">
      <c r="A926" s="31"/>
      <c r="B926" s="30"/>
      <c r="C926" s="31"/>
      <c r="D926" s="31"/>
      <c r="E926" s="32"/>
      <c r="F926" s="32"/>
      <c r="G926" s="33"/>
      <c r="H926" s="31"/>
      <c r="I926" s="24" t="str">
        <f aca="false">IF(B926="","",YEAR(B926))</f>
        <v/>
      </c>
      <c r="J926" s="34" t="str">
        <f aca="false">IF(B926="","",IF(MONTH(B926)=1,"X",""))</f>
        <v/>
      </c>
      <c r="K926" s="34" t="str">
        <f aca="false">IF(B926="","",IF(MONTH(B926)=2,"X",""))</f>
        <v/>
      </c>
      <c r="L926" s="34" t="str">
        <f aca="false">IF(B926="","",IF(MONTH(B926)=3,"X",""))</f>
        <v/>
      </c>
      <c r="M926" s="34" t="str">
        <f aca="false">IF(B926="","",IF(MONTH(B926)=4,"X",""))</f>
        <v/>
      </c>
      <c r="N926" s="34" t="str">
        <f aca="false">IF(B926="","",IF(MONTH(B926)=5,"X",""))</f>
        <v/>
      </c>
      <c r="O926" s="34" t="str">
        <f aca="false">IF(B926="","",IF(MONTH(B926)=6,"X",""))</f>
        <v/>
      </c>
      <c r="P926" s="34" t="str">
        <f aca="false">IF(B926="","",IF(MONTH(B926)=7,"X",""))</f>
        <v/>
      </c>
      <c r="Q926" s="34" t="str">
        <f aca="false">IF(B926="","",IF(MONTH(B926)=8,"X",""))</f>
        <v/>
      </c>
      <c r="R926" s="34" t="str">
        <f aca="false">IF(B926="","",IF(MONTH(B926)=9,"X",""))</f>
        <v/>
      </c>
      <c r="S926" s="34" t="str">
        <f aca="false">IF(B926="","",IF(MONTH(B926)=10,"X",""))</f>
        <v/>
      </c>
      <c r="T926" s="34" t="str">
        <f aca="false">IF(B926="","",IF(MONTH(B926)=11,"X",""))</f>
        <v/>
      </c>
      <c r="U926" s="34" t="str">
        <f aca="false">IF(B926="","",IF(MONTH(B926)=12,"X",""))</f>
        <v/>
      </c>
      <c r="V926" s="24" t="str">
        <f aca="false">IF(E926="","",COUNTIF($E$5:$E$1000,E926))</f>
        <v/>
      </c>
      <c r="W926" s="35" t="str">
        <f aca="false">IF(E926="","",_xlfn.TEXTJOIN(" + ",TRUE(),IF(COUNTIFS($E$5:$E$1000,E926,$C$5:$C$1000,"Auditoría Interna")&gt;0,"Interna",""),IF(COUNTIFS($E$5:$E$1000,E926,$C$5:$C$1000,"Auditoría Externa")&gt;0,"Externa",""),IF(COUNTIFS($E$5:$E$1000,E926,$C$5:$C$1000,"SSF")&gt;0,"SSF",""),IF(COUNTIFS($E$5:$E$1000,E926,$C$5:$C$1000,"Comité de Supervisión")&gt;0,"Comité Sup.",""),IF(COUNTIFS($E$5:$E$1000,E926,$C$5:$C$1000,"Consejo de Administración")&gt;0,"Consejo",""),IF(COUNTIFS($E$5:$E$1000,E926,$C$5:$C$1000,"Otros")&gt;0,"Otros","")))</f>
        <v/>
      </c>
      <c r="X926" s="24" t="str">
        <f aca="false">IF(E926="","",COUNTIFS($E$5:$E$1000,E926,$AB$5:$AB$1000,AB926,$C$5:$C$1000,"&lt;&gt;"&amp;C926))</f>
        <v/>
      </c>
      <c r="Y926" s="33"/>
      <c r="Z926" s="31"/>
      <c r="AA926" s="33"/>
      <c r="AB926" s="37" t="str">
        <f aca="false">IF(B926="","",YEAR(B926)*100+MONTH(B926))</f>
        <v/>
      </c>
      <c r="AC926" s="37" t="str">
        <f aca="false">IF(AND(E926&lt;&gt;"",E926=Cruce!$C$5),COUNTIF($E$5:E926,E926),"")</f>
        <v/>
      </c>
      <c r="AD926" s="37" t="str">
        <f aca="false">IF(E926="","",C926&amp;"|"&amp;Y926&amp;"|"&amp;IF(B926="","s/f",TEXT(B926,"yyyymmdd")))</f>
        <v/>
      </c>
      <c r="AE926" s="37" t="n">
        <f aca="false">IF(E926="",0,IF(COUNTIFS($E$5:E926,E926,$AD$5:AD926,AD926)=1,1,0))</f>
        <v>0</v>
      </c>
    </row>
    <row r="927" customFormat="false" ht="15" hidden="false" customHeight="true" outlineLevel="0" collapsed="false">
      <c r="A927" s="31"/>
      <c r="B927" s="30"/>
      <c r="C927" s="31"/>
      <c r="D927" s="31"/>
      <c r="E927" s="32"/>
      <c r="F927" s="32"/>
      <c r="G927" s="33"/>
      <c r="H927" s="31"/>
      <c r="I927" s="24" t="str">
        <f aca="false">IF(B927="","",YEAR(B927))</f>
        <v/>
      </c>
      <c r="J927" s="34" t="str">
        <f aca="false">IF(B927="","",IF(MONTH(B927)=1,"X",""))</f>
        <v/>
      </c>
      <c r="K927" s="34" t="str">
        <f aca="false">IF(B927="","",IF(MONTH(B927)=2,"X",""))</f>
        <v/>
      </c>
      <c r="L927" s="34" t="str">
        <f aca="false">IF(B927="","",IF(MONTH(B927)=3,"X",""))</f>
        <v/>
      </c>
      <c r="M927" s="34" t="str">
        <f aca="false">IF(B927="","",IF(MONTH(B927)=4,"X",""))</f>
        <v/>
      </c>
      <c r="N927" s="34" t="str">
        <f aca="false">IF(B927="","",IF(MONTH(B927)=5,"X",""))</f>
        <v/>
      </c>
      <c r="O927" s="34" t="str">
        <f aca="false">IF(B927="","",IF(MONTH(B927)=6,"X",""))</f>
        <v/>
      </c>
      <c r="P927" s="34" t="str">
        <f aca="false">IF(B927="","",IF(MONTH(B927)=7,"X",""))</f>
        <v/>
      </c>
      <c r="Q927" s="34" t="str">
        <f aca="false">IF(B927="","",IF(MONTH(B927)=8,"X",""))</f>
        <v/>
      </c>
      <c r="R927" s="34" t="str">
        <f aca="false">IF(B927="","",IF(MONTH(B927)=9,"X",""))</f>
        <v/>
      </c>
      <c r="S927" s="34" t="str">
        <f aca="false">IF(B927="","",IF(MONTH(B927)=10,"X",""))</f>
        <v/>
      </c>
      <c r="T927" s="34" t="str">
        <f aca="false">IF(B927="","",IF(MONTH(B927)=11,"X",""))</f>
        <v/>
      </c>
      <c r="U927" s="34" t="str">
        <f aca="false">IF(B927="","",IF(MONTH(B927)=12,"X",""))</f>
        <v/>
      </c>
      <c r="V927" s="24" t="str">
        <f aca="false">IF(E927="","",COUNTIF($E$5:$E$1000,E927))</f>
        <v/>
      </c>
      <c r="W927" s="35" t="str">
        <f aca="false">IF(E927="","",_xlfn.TEXTJOIN(" + ",TRUE(),IF(COUNTIFS($E$5:$E$1000,E927,$C$5:$C$1000,"Auditoría Interna")&gt;0,"Interna",""),IF(COUNTIFS($E$5:$E$1000,E927,$C$5:$C$1000,"Auditoría Externa")&gt;0,"Externa",""),IF(COUNTIFS($E$5:$E$1000,E927,$C$5:$C$1000,"SSF")&gt;0,"SSF",""),IF(COUNTIFS($E$5:$E$1000,E927,$C$5:$C$1000,"Comité de Supervisión")&gt;0,"Comité Sup.",""),IF(COUNTIFS($E$5:$E$1000,E927,$C$5:$C$1000,"Consejo de Administración")&gt;0,"Consejo",""),IF(COUNTIFS($E$5:$E$1000,E927,$C$5:$C$1000,"Otros")&gt;0,"Otros","")))</f>
        <v/>
      </c>
      <c r="X927" s="24" t="str">
        <f aca="false">IF(E927="","",COUNTIFS($E$5:$E$1000,E927,$AB$5:$AB$1000,AB927,$C$5:$C$1000,"&lt;&gt;"&amp;C927))</f>
        <v/>
      </c>
      <c r="Y927" s="33"/>
      <c r="Z927" s="31"/>
      <c r="AA927" s="33"/>
      <c r="AB927" s="37" t="str">
        <f aca="false">IF(B927="","",YEAR(B927)*100+MONTH(B927))</f>
        <v/>
      </c>
      <c r="AC927" s="37" t="str">
        <f aca="false">IF(AND(E927&lt;&gt;"",E927=Cruce!$C$5),COUNTIF($E$5:E927,E927),"")</f>
        <v/>
      </c>
      <c r="AD927" s="37" t="str">
        <f aca="false">IF(E927="","",C927&amp;"|"&amp;Y927&amp;"|"&amp;IF(B927="","s/f",TEXT(B927,"yyyymmdd")))</f>
        <v/>
      </c>
      <c r="AE927" s="37" t="n">
        <f aca="false">IF(E927="",0,IF(COUNTIFS($E$5:E927,E927,$AD$5:AD927,AD927)=1,1,0))</f>
        <v>0</v>
      </c>
    </row>
    <row r="928" customFormat="false" ht="15" hidden="false" customHeight="true" outlineLevel="0" collapsed="false">
      <c r="A928" s="31"/>
      <c r="B928" s="30"/>
      <c r="C928" s="31"/>
      <c r="D928" s="31"/>
      <c r="E928" s="32"/>
      <c r="F928" s="32"/>
      <c r="G928" s="33"/>
      <c r="H928" s="31"/>
      <c r="I928" s="24" t="str">
        <f aca="false">IF(B928="","",YEAR(B928))</f>
        <v/>
      </c>
      <c r="J928" s="34" t="str">
        <f aca="false">IF(B928="","",IF(MONTH(B928)=1,"X",""))</f>
        <v/>
      </c>
      <c r="K928" s="34" t="str">
        <f aca="false">IF(B928="","",IF(MONTH(B928)=2,"X",""))</f>
        <v/>
      </c>
      <c r="L928" s="34" t="str">
        <f aca="false">IF(B928="","",IF(MONTH(B928)=3,"X",""))</f>
        <v/>
      </c>
      <c r="M928" s="34" t="str">
        <f aca="false">IF(B928="","",IF(MONTH(B928)=4,"X",""))</f>
        <v/>
      </c>
      <c r="N928" s="34" t="str">
        <f aca="false">IF(B928="","",IF(MONTH(B928)=5,"X",""))</f>
        <v/>
      </c>
      <c r="O928" s="34" t="str">
        <f aca="false">IF(B928="","",IF(MONTH(B928)=6,"X",""))</f>
        <v/>
      </c>
      <c r="P928" s="34" t="str">
        <f aca="false">IF(B928="","",IF(MONTH(B928)=7,"X",""))</f>
        <v/>
      </c>
      <c r="Q928" s="34" t="str">
        <f aca="false">IF(B928="","",IF(MONTH(B928)=8,"X",""))</f>
        <v/>
      </c>
      <c r="R928" s="34" t="str">
        <f aca="false">IF(B928="","",IF(MONTH(B928)=9,"X",""))</f>
        <v/>
      </c>
      <c r="S928" s="34" t="str">
        <f aca="false">IF(B928="","",IF(MONTH(B928)=10,"X",""))</f>
        <v/>
      </c>
      <c r="T928" s="34" t="str">
        <f aca="false">IF(B928="","",IF(MONTH(B928)=11,"X",""))</f>
        <v/>
      </c>
      <c r="U928" s="34" t="str">
        <f aca="false">IF(B928="","",IF(MONTH(B928)=12,"X",""))</f>
        <v/>
      </c>
      <c r="V928" s="24" t="str">
        <f aca="false">IF(E928="","",COUNTIF($E$5:$E$1000,E928))</f>
        <v/>
      </c>
      <c r="W928" s="35" t="str">
        <f aca="false">IF(E928="","",_xlfn.TEXTJOIN(" + ",TRUE(),IF(COUNTIFS($E$5:$E$1000,E928,$C$5:$C$1000,"Auditoría Interna")&gt;0,"Interna",""),IF(COUNTIFS($E$5:$E$1000,E928,$C$5:$C$1000,"Auditoría Externa")&gt;0,"Externa",""),IF(COUNTIFS($E$5:$E$1000,E928,$C$5:$C$1000,"SSF")&gt;0,"SSF",""),IF(COUNTIFS($E$5:$E$1000,E928,$C$5:$C$1000,"Comité de Supervisión")&gt;0,"Comité Sup.",""),IF(COUNTIFS($E$5:$E$1000,E928,$C$5:$C$1000,"Consejo de Administración")&gt;0,"Consejo",""),IF(COUNTIFS($E$5:$E$1000,E928,$C$5:$C$1000,"Otros")&gt;0,"Otros","")))</f>
        <v/>
      </c>
      <c r="X928" s="24" t="str">
        <f aca="false">IF(E928="","",COUNTIFS($E$5:$E$1000,E928,$AB$5:$AB$1000,AB928,$C$5:$C$1000,"&lt;&gt;"&amp;C928))</f>
        <v/>
      </c>
      <c r="Y928" s="33"/>
      <c r="Z928" s="31"/>
      <c r="AA928" s="33"/>
      <c r="AB928" s="37" t="str">
        <f aca="false">IF(B928="","",YEAR(B928)*100+MONTH(B928))</f>
        <v/>
      </c>
      <c r="AC928" s="37" t="str">
        <f aca="false">IF(AND(E928&lt;&gt;"",E928=Cruce!$C$5),COUNTIF($E$5:E928,E928),"")</f>
        <v/>
      </c>
      <c r="AD928" s="37" t="str">
        <f aca="false">IF(E928="","",C928&amp;"|"&amp;Y928&amp;"|"&amp;IF(B928="","s/f",TEXT(B928,"yyyymmdd")))</f>
        <v/>
      </c>
      <c r="AE928" s="37" t="n">
        <f aca="false">IF(E928="",0,IF(COUNTIFS($E$5:E928,E928,$AD$5:AD928,AD928)=1,1,0))</f>
        <v>0</v>
      </c>
    </row>
    <row r="929" customFormat="false" ht="15" hidden="false" customHeight="true" outlineLevel="0" collapsed="false">
      <c r="A929" s="31"/>
      <c r="B929" s="30"/>
      <c r="C929" s="31"/>
      <c r="D929" s="31"/>
      <c r="E929" s="32"/>
      <c r="F929" s="32"/>
      <c r="G929" s="33"/>
      <c r="H929" s="31"/>
      <c r="I929" s="24" t="str">
        <f aca="false">IF(B929="","",YEAR(B929))</f>
        <v/>
      </c>
      <c r="J929" s="34" t="str">
        <f aca="false">IF(B929="","",IF(MONTH(B929)=1,"X",""))</f>
        <v/>
      </c>
      <c r="K929" s="34" t="str">
        <f aca="false">IF(B929="","",IF(MONTH(B929)=2,"X",""))</f>
        <v/>
      </c>
      <c r="L929" s="34" t="str">
        <f aca="false">IF(B929="","",IF(MONTH(B929)=3,"X",""))</f>
        <v/>
      </c>
      <c r="M929" s="34" t="str">
        <f aca="false">IF(B929="","",IF(MONTH(B929)=4,"X",""))</f>
        <v/>
      </c>
      <c r="N929" s="34" t="str">
        <f aca="false">IF(B929="","",IF(MONTH(B929)=5,"X",""))</f>
        <v/>
      </c>
      <c r="O929" s="34" t="str">
        <f aca="false">IF(B929="","",IF(MONTH(B929)=6,"X",""))</f>
        <v/>
      </c>
      <c r="P929" s="34" t="str">
        <f aca="false">IF(B929="","",IF(MONTH(B929)=7,"X",""))</f>
        <v/>
      </c>
      <c r="Q929" s="34" t="str">
        <f aca="false">IF(B929="","",IF(MONTH(B929)=8,"X",""))</f>
        <v/>
      </c>
      <c r="R929" s="34" t="str">
        <f aca="false">IF(B929="","",IF(MONTH(B929)=9,"X",""))</f>
        <v/>
      </c>
      <c r="S929" s="34" t="str">
        <f aca="false">IF(B929="","",IF(MONTH(B929)=10,"X",""))</f>
        <v/>
      </c>
      <c r="T929" s="34" t="str">
        <f aca="false">IF(B929="","",IF(MONTH(B929)=11,"X",""))</f>
        <v/>
      </c>
      <c r="U929" s="34" t="str">
        <f aca="false">IF(B929="","",IF(MONTH(B929)=12,"X",""))</f>
        <v/>
      </c>
      <c r="V929" s="24" t="str">
        <f aca="false">IF(E929="","",COUNTIF($E$5:$E$1000,E929))</f>
        <v/>
      </c>
      <c r="W929" s="35" t="str">
        <f aca="false">IF(E929="","",_xlfn.TEXTJOIN(" + ",TRUE(),IF(COUNTIFS($E$5:$E$1000,E929,$C$5:$C$1000,"Auditoría Interna")&gt;0,"Interna",""),IF(COUNTIFS($E$5:$E$1000,E929,$C$5:$C$1000,"Auditoría Externa")&gt;0,"Externa",""),IF(COUNTIFS($E$5:$E$1000,E929,$C$5:$C$1000,"SSF")&gt;0,"SSF",""),IF(COUNTIFS($E$5:$E$1000,E929,$C$5:$C$1000,"Comité de Supervisión")&gt;0,"Comité Sup.",""),IF(COUNTIFS($E$5:$E$1000,E929,$C$5:$C$1000,"Consejo de Administración")&gt;0,"Consejo",""),IF(COUNTIFS($E$5:$E$1000,E929,$C$5:$C$1000,"Otros")&gt;0,"Otros","")))</f>
        <v/>
      </c>
      <c r="X929" s="24" t="str">
        <f aca="false">IF(E929="","",COUNTIFS($E$5:$E$1000,E929,$AB$5:$AB$1000,AB929,$C$5:$C$1000,"&lt;&gt;"&amp;C929))</f>
        <v/>
      </c>
      <c r="Y929" s="33"/>
      <c r="Z929" s="31"/>
      <c r="AA929" s="33"/>
      <c r="AB929" s="37" t="str">
        <f aca="false">IF(B929="","",YEAR(B929)*100+MONTH(B929))</f>
        <v/>
      </c>
      <c r="AC929" s="37" t="str">
        <f aca="false">IF(AND(E929&lt;&gt;"",E929=Cruce!$C$5),COUNTIF($E$5:E929,E929),"")</f>
        <v/>
      </c>
      <c r="AD929" s="37" t="str">
        <f aca="false">IF(E929="","",C929&amp;"|"&amp;Y929&amp;"|"&amp;IF(B929="","s/f",TEXT(B929,"yyyymmdd")))</f>
        <v/>
      </c>
      <c r="AE929" s="37" t="n">
        <f aca="false">IF(E929="",0,IF(COUNTIFS($E$5:E929,E929,$AD$5:AD929,AD929)=1,1,0))</f>
        <v>0</v>
      </c>
    </row>
    <row r="930" customFormat="false" ht="15" hidden="false" customHeight="true" outlineLevel="0" collapsed="false">
      <c r="A930" s="31"/>
      <c r="B930" s="30"/>
      <c r="C930" s="31"/>
      <c r="D930" s="31"/>
      <c r="E930" s="32"/>
      <c r="F930" s="32"/>
      <c r="G930" s="33"/>
      <c r="H930" s="31"/>
      <c r="I930" s="24" t="str">
        <f aca="false">IF(B930="","",YEAR(B930))</f>
        <v/>
      </c>
      <c r="J930" s="34" t="str">
        <f aca="false">IF(B930="","",IF(MONTH(B930)=1,"X",""))</f>
        <v/>
      </c>
      <c r="K930" s="34" t="str">
        <f aca="false">IF(B930="","",IF(MONTH(B930)=2,"X",""))</f>
        <v/>
      </c>
      <c r="L930" s="34" t="str">
        <f aca="false">IF(B930="","",IF(MONTH(B930)=3,"X",""))</f>
        <v/>
      </c>
      <c r="M930" s="34" t="str">
        <f aca="false">IF(B930="","",IF(MONTH(B930)=4,"X",""))</f>
        <v/>
      </c>
      <c r="N930" s="34" t="str">
        <f aca="false">IF(B930="","",IF(MONTH(B930)=5,"X",""))</f>
        <v/>
      </c>
      <c r="O930" s="34" t="str">
        <f aca="false">IF(B930="","",IF(MONTH(B930)=6,"X",""))</f>
        <v/>
      </c>
      <c r="P930" s="34" t="str">
        <f aca="false">IF(B930="","",IF(MONTH(B930)=7,"X",""))</f>
        <v/>
      </c>
      <c r="Q930" s="34" t="str">
        <f aca="false">IF(B930="","",IF(MONTH(B930)=8,"X",""))</f>
        <v/>
      </c>
      <c r="R930" s="34" t="str">
        <f aca="false">IF(B930="","",IF(MONTH(B930)=9,"X",""))</f>
        <v/>
      </c>
      <c r="S930" s="34" t="str">
        <f aca="false">IF(B930="","",IF(MONTH(B930)=10,"X",""))</f>
        <v/>
      </c>
      <c r="T930" s="34" t="str">
        <f aca="false">IF(B930="","",IF(MONTH(B930)=11,"X",""))</f>
        <v/>
      </c>
      <c r="U930" s="34" t="str">
        <f aca="false">IF(B930="","",IF(MONTH(B930)=12,"X",""))</f>
        <v/>
      </c>
      <c r="V930" s="24" t="str">
        <f aca="false">IF(E930="","",COUNTIF($E$5:$E$1000,E930))</f>
        <v/>
      </c>
      <c r="W930" s="35" t="str">
        <f aca="false">IF(E930="","",_xlfn.TEXTJOIN(" + ",TRUE(),IF(COUNTIFS($E$5:$E$1000,E930,$C$5:$C$1000,"Auditoría Interna")&gt;0,"Interna",""),IF(COUNTIFS($E$5:$E$1000,E930,$C$5:$C$1000,"Auditoría Externa")&gt;0,"Externa",""),IF(COUNTIFS($E$5:$E$1000,E930,$C$5:$C$1000,"SSF")&gt;0,"SSF",""),IF(COUNTIFS($E$5:$E$1000,E930,$C$5:$C$1000,"Comité de Supervisión")&gt;0,"Comité Sup.",""),IF(COUNTIFS($E$5:$E$1000,E930,$C$5:$C$1000,"Consejo de Administración")&gt;0,"Consejo",""),IF(COUNTIFS($E$5:$E$1000,E930,$C$5:$C$1000,"Otros")&gt;0,"Otros","")))</f>
        <v/>
      </c>
      <c r="X930" s="24" t="str">
        <f aca="false">IF(E930="","",COUNTIFS($E$5:$E$1000,E930,$AB$5:$AB$1000,AB930,$C$5:$C$1000,"&lt;&gt;"&amp;C930))</f>
        <v/>
      </c>
      <c r="Y930" s="33"/>
      <c r="Z930" s="31"/>
      <c r="AA930" s="33"/>
      <c r="AB930" s="37" t="str">
        <f aca="false">IF(B930="","",YEAR(B930)*100+MONTH(B930))</f>
        <v/>
      </c>
      <c r="AC930" s="37" t="str">
        <f aca="false">IF(AND(E930&lt;&gt;"",E930=Cruce!$C$5),COUNTIF($E$5:E930,E930),"")</f>
        <v/>
      </c>
      <c r="AD930" s="37" t="str">
        <f aca="false">IF(E930="","",C930&amp;"|"&amp;Y930&amp;"|"&amp;IF(B930="","s/f",TEXT(B930,"yyyymmdd")))</f>
        <v/>
      </c>
      <c r="AE930" s="37" t="n">
        <f aca="false">IF(E930="",0,IF(COUNTIFS($E$5:E930,E930,$AD$5:AD930,AD930)=1,1,0))</f>
        <v>0</v>
      </c>
    </row>
    <row r="931" customFormat="false" ht="15" hidden="false" customHeight="true" outlineLevel="0" collapsed="false">
      <c r="A931" s="31"/>
      <c r="B931" s="30"/>
      <c r="C931" s="31"/>
      <c r="D931" s="31"/>
      <c r="E931" s="32"/>
      <c r="F931" s="32"/>
      <c r="G931" s="33"/>
      <c r="H931" s="31"/>
      <c r="I931" s="24" t="str">
        <f aca="false">IF(B931="","",YEAR(B931))</f>
        <v/>
      </c>
      <c r="J931" s="34" t="str">
        <f aca="false">IF(B931="","",IF(MONTH(B931)=1,"X",""))</f>
        <v/>
      </c>
      <c r="K931" s="34" t="str">
        <f aca="false">IF(B931="","",IF(MONTH(B931)=2,"X",""))</f>
        <v/>
      </c>
      <c r="L931" s="34" t="str">
        <f aca="false">IF(B931="","",IF(MONTH(B931)=3,"X",""))</f>
        <v/>
      </c>
      <c r="M931" s="34" t="str">
        <f aca="false">IF(B931="","",IF(MONTH(B931)=4,"X",""))</f>
        <v/>
      </c>
      <c r="N931" s="34" t="str">
        <f aca="false">IF(B931="","",IF(MONTH(B931)=5,"X",""))</f>
        <v/>
      </c>
      <c r="O931" s="34" t="str">
        <f aca="false">IF(B931="","",IF(MONTH(B931)=6,"X",""))</f>
        <v/>
      </c>
      <c r="P931" s="34" t="str">
        <f aca="false">IF(B931="","",IF(MONTH(B931)=7,"X",""))</f>
        <v/>
      </c>
      <c r="Q931" s="34" t="str">
        <f aca="false">IF(B931="","",IF(MONTH(B931)=8,"X",""))</f>
        <v/>
      </c>
      <c r="R931" s="34" t="str">
        <f aca="false">IF(B931="","",IF(MONTH(B931)=9,"X",""))</f>
        <v/>
      </c>
      <c r="S931" s="34" t="str">
        <f aca="false">IF(B931="","",IF(MONTH(B931)=10,"X",""))</f>
        <v/>
      </c>
      <c r="T931" s="34" t="str">
        <f aca="false">IF(B931="","",IF(MONTH(B931)=11,"X",""))</f>
        <v/>
      </c>
      <c r="U931" s="34" t="str">
        <f aca="false">IF(B931="","",IF(MONTH(B931)=12,"X",""))</f>
        <v/>
      </c>
      <c r="V931" s="24" t="str">
        <f aca="false">IF(E931="","",COUNTIF($E$5:$E$1000,E931))</f>
        <v/>
      </c>
      <c r="W931" s="35" t="str">
        <f aca="false">IF(E931="","",_xlfn.TEXTJOIN(" + ",TRUE(),IF(COUNTIFS($E$5:$E$1000,E931,$C$5:$C$1000,"Auditoría Interna")&gt;0,"Interna",""),IF(COUNTIFS($E$5:$E$1000,E931,$C$5:$C$1000,"Auditoría Externa")&gt;0,"Externa",""),IF(COUNTIFS($E$5:$E$1000,E931,$C$5:$C$1000,"SSF")&gt;0,"SSF",""),IF(COUNTIFS($E$5:$E$1000,E931,$C$5:$C$1000,"Comité de Supervisión")&gt;0,"Comité Sup.",""),IF(COUNTIFS($E$5:$E$1000,E931,$C$5:$C$1000,"Consejo de Administración")&gt;0,"Consejo",""),IF(COUNTIFS($E$5:$E$1000,E931,$C$5:$C$1000,"Otros")&gt;0,"Otros","")))</f>
        <v/>
      </c>
      <c r="X931" s="24" t="str">
        <f aca="false">IF(E931="","",COUNTIFS($E$5:$E$1000,E931,$AB$5:$AB$1000,AB931,$C$5:$C$1000,"&lt;&gt;"&amp;C931))</f>
        <v/>
      </c>
      <c r="Y931" s="33"/>
      <c r="Z931" s="31"/>
      <c r="AA931" s="33"/>
      <c r="AB931" s="37" t="str">
        <f aca="false">IF(B931="","",YEAR(B931)*100+MONTH(B931))</f>
        <v/>
      </c>
      <c r="AC931" s="37" t="str">
        <f aca="false">IF(AND(E931&lt;&gt;"",E931=Cruce!$C$5),COUNTIF($E$5:E931,E931),"")</f>
        <v/>
      </c>
      <c r="AD931" s="37" t="str">
        <f aca="false">IF(E931="","",C931&amp;"|"&amp;Y931&amp;"|"&amp;IF(B931="","s/f",TEXT(B931,"yyyymmdd")))</f>
        <v/>
      </c>
      <c r="AE931" s="37" t="n">
        <f aca="false">IF(E931="",0,IF(COUNTIFS($E$5:E931,E931,$AD$5:AD931,AD931)=1,1,0))</f>
        <v>0</v>
      </c>
    </row>
    <row r="932" customFormat="false" ht="15" hidden="false" customHeight="true" outlineLevel="0" collapsed="false">
      <c r="A932" s="31"/>
      <c r="B932" s="30"/>
      <c r="C932" s="31"/>
      <c r="D932" s="31"/>
      <c r="E932" s="32"/>
      <c r="F932" s="32"/>
      <c r="G932" s="33"/>
      <c r="H932" s="31"/>
      <c r="I932" s="24" t="str">
        <f aca="false">IF(B932="","",YEAR(B932))</f>
        <v/>
      </c>
      <c r="J932" s="34" t="str">
        <f aca="false">IF(B932="","",IF(MONTH(B932)=1,"X",""))</f>
        <v/>
      </c>
      <c r="K932" s="34" t="str">
        <f aca="false">IF(B932="","",IF(MONTH(B932)=2,"X",""))</f>
        <v/>
      </c>
      <c r="L932" s="34" t="str">
        <f aca="false">IF(B932="","",IF(MONTH(B932)=3,"X",""))</f>
        <v/>
      </c>
      <c r="M932" s="34" t="str">
        <f aca="false">IF(B932="","",IF(MONTH(B932)=4,"X",""))</f>
        <v/>
      </c>
      <c r="N932" s="34" t="str">
        <f aca="false">IF(B932="","",IF(MONTH(B932)=5,"X",""))</f>
        <v/>
      </c>
      <c r="O932" s="34" t="str">
        <f aca="false">IF(B932="","",IF(MONTH(B932)=6,"X",""))</f>
        <v/>
      </c>
      <c r="P932" s="34" t="str">
        <f aca="false">IF(B932="","",IF(MONTH(B932)=7,"X",""))</f>
        <v/>
      </c>
      <c r="Q932" s="34" t="str">
        <f aca="false">IF(B932="","",IF(MONTH(B932)=8,"X",""))</f>
        <v/>
      </c>
      <c r="R932" s="34" t="str">
        <f aca="false">IF(B932="","",IF(MONTH(B932)=9,"X",""))</f>
        <v/>
      </c>
      <c r="S932" s="34" t="str">
        <f aca="false">IF(B932="","",IF(MONTH(B932)=10,"X",""))</f>
        <v/>
      </c>
      <c r="T932" s="34" t="str">
        <f aca="false">IF(B932="","",IF(MONTH(B932)=11,"X",""))</f>
        <v/>
      </c>
      <c r="U932" s="34" t="str">
        <f aca="false">IF(B932="","",IF(MONTH(B932)=12,"X",""))</f>
        <v/>
      </c>
      <c r="V932" s="24" t="str">
        <f aca="false">IF(E932="","",COUNTIF($E$5:$E$1000,E932))</f>
        <v/>
      </c>
      <c r="W932" s="35" t="str">
        <f aca="false">IF(E932="","",_xlfn.TEXTJOIN(" + ",TRUE(),IF(COUNTIFS($E$5:$E$1000,E932,$C$5:$C$1000,"Auditoría Interna")&gt;0,"Interna",""),IF(COUNTIFS($E$5:$E$1000,E932,$C$5:$C$1000,"Auditoría Externa")&gt;0,"Externa",""),IF(COUNTIFS($E$5:$E$1000,E932,$C$5:$C$1000,"SSF")&gt;0,"SSF",""),IF(COUNTIFS($E$5:$E$1000,E932,$C$5:$C$1000,"Comité de Supervisión")&gt;0,"Comité Sup.",""),IF(COUNTIFS($E$5:$E$1000,E932,$C$5:$C$1000,"Consejo de Administración")&gt;0,"Consejo",""),IF(COUNTIFS($E$5:$E$1000,E932,$C$5:$C$1000,"Otros")&gt;0,"Otros","")))</f>
        <v/>
      </c>
      <c r="X932" s="24" t="str">
        <f aca="false">IF(E932="","",COUNTIFS($E$5:$E$1000,E932,$AB$5:$AB$1000,AB932,$C$5:$C$1000,"&lt;&gt;"&amp;C932))</f>
        <v/>
      </c>
      <c r="Y932" s="33"/>
      <c r="Z932" s="31"/>
      <c r="AA932" s="33"/>
      <c r="AB932" s="37" t="str">
        <f aca="false">IF(B932="","",YEAR(B932)*100+MONTH(B932))</f>
        <v/>
      </c>
      <c r="AC932" s="37" t="str">
        <f aca="false">IF(AND(E932&lt;&gt;"",E932=Cruce!$C$5),COUNTIF($E$5:E932,E932),"")</f>
        <v/>
      </c>
      <c r="AD932" s="37" t="str">
        <f aca="false">IF(E932="","",C932&amp;"|"&amp;Y932&amp;"|"&amp;IF(B932="","s/f",TEXT(B932,"yyyymmdd")))</f>
        <v/>
      </c>
      <c r="AE932" s="37" t="n">
        <f aca="false">IF(E932="",0,IF(COUNTIFS($E$5:E932,E932,$AD$5:AD932,AD932)=1,1,0))</f>
        <v>0</v>
      </c>
    </row>
    <row r="933" customFormat="false" ht="15" hidden="false" customHeight="true" outlineLevel="0" collapsed="false">
      <c r="A933" s="31"/>
      <c r="B933" s="30"/>
      <c r="C933" s="31"/>
      <c r="D933" s="31"/>
      <c r="E933" s="32"/>
      <c r="F933" s="32"/>
      <c r="G933" s="33"/>
      <c r="H933" s="31"/>
      <c r="I933" s="24" t="str">
        <f aca="false">IF(B933="","",YEAR(B933))</f>
        <v/>
      </c>
      <c r="J933" s="34" t="str">
        <f aca="false">IF(B933="","",IF(MONTH(B933)=1,"X",""))</f>
        <v/>
      </c>
      <c r="K933" s="34" t="str">
        <f aca="false">IF(B933="","",IF(MONTH(B933)=2,"X",""))</f>
        <v/>
      </c>
      <c r="L933" s="34" t="str">
        <f aca="false">IF(B933="","",IF(MONTH(B933)=3,"X",""))</f>
        <v/>
      </c>
      <c r="M933" s="34" t="str">
        <f aca="false">IF(B933="","",IF(MONTH(B933)=4,"X",""))</f>
        <v/>
      </c>
      <c r="N933" s="34" t="str">
        <f aca="false">IF(B933="","",IF(MONTH(B933)=5,"X",""))</f>
        <v/>
      </c>
      <c r="O933" s="34" t="str">
        <f aca="false">IF(B933="","",IF(MONTH(B933)=6,"X",""))</f>
        <v/>
      </c>
      <c r="P933" s="34" t="str">
        <f aca="false">IF(B933="","",IF(MONTH(B933)=7,"X",""))</f>
        <v/>
      </c>
      <c r="Q933" s="34" t="str">
        <f aca="false">IF(B933="","",IF(MONTH(B933)=8,"X",""))</f>
        <v/>
      </c>
      <c r="R933" s="34" t="str">
        <f aca="false">IF(B933="","",IF(MONTH(B933)=9,"X",""))</f>
        <v/>
      </c>
      <c r="S933" s="34" t="str">
        <f aca="false">IF(B933="","",IF(MONTH(B933)=10,"X",""))</f>
        <v/>
      </c>
      <c r="T933" s="34" t="str">
        <f aca="false">IF(B933="","",IF(MONTH(B933)=11,"X",""))</f>
        <v/>
      </c>
      <c r="U933" s="34" t="str">
        <f aca="false">IF(B933="","",IF(MONTH(B933)=12,"X",""))</f>
        <v/>
      </c>
      <c r="V933" s="24" t="str">
        <f aca="false">IF(E933="","",COUNTIF($E$5:$E$1000,E933))</f>
        <v/>
      </c>
      <c r="W933" s="35" t="str">
        <f aca="false">IF(E933="","",_xlfn.TEXTJOIN(" + ",TRUE(),IF(COUNTIFS($E$5:$E$1000,E933,$C$5:$C$1000,"Auditoría Interna")&gt;0,"Interna",""),IF(COUNTIFS($E$5:$E$1000,E933,$C$5:$C$1000,"Auditoría Externa")&gt;0,"Externa",""),IF(COUNTIFS($E$5:$E$1000,E933,$C$5:$C$1000,"SSF")&gt;0,"SSF",""),IF(COUNTIFS($E$5:$E$1000,E933,$C$5:$C$1000,"Comité de Supervisión")&gt;0,"Comité Sup.",""),IF(COUNTIFS($E$5:$E$1000,E933,$C$5:$C$1000,"Consejo de Administración")&gt;0,"Consejo",""),IF(COUNTIFS($E$5:$E$1000,E933,$C$5:$C$1000,"Otros")&gt;0,"Otros","")))</f>
        <v/>
      </c>
      <c r="X933" s="24" t="str">
        <f aca="false">IF(E933="","",COUNTIFS($E$5:$E$1000,E933,$AB$5:$AB$1000,AB933,$C$5:$C$1000,"&lt;&gt;"&amp;C933))</f>
        <v/>
      </c>
      <c r="Y933" s="33"/>
      <c r="Z933" s="31"/>
      <c r="AA933" s="33"/>
      <c r="AB933" s="37" t="str">
        <f aca="false">IF(B933="","",YEAR(B933)*100+MONTH(B933))</f>
        <v/>
      </c>
      <c r="AC933" s="37" t="str">
        <f aca="false">IF(AND(E933&lt;&gt;"",E933=Cruce!$C$5),COUNTIF($E$5:E933,E933),"")</f>
        <v/>
      </c>
      <c r="AD933" s="37" t="str">
        <f aca="false">IF(E933="","",C933&amp;"|"&amp;Y933&amp;"|"&amp;IF(B933="","s/f",TEXT(B933,"yyyymmdd")))</f>
        <v/>
      </c>
      <c r="AE933" s="37" t="n">
        <f aca="false">IF(E933="",0,IF(COUNTIFS($E$5:E933,E933,$AD$5:AD933,AD933)=1,1,0))</f>
        <v>0</v>
      </c>
    </row>
    <row r="934" customFormat="false" ht="15" hidden="false" customHeight="true" outlineLevel="0" collapsed="false">
      <c r="A934" s="31"/>
      <c r="B934" s="30"/>
      <c r="C934" s="31"/>
      <c r="D934" s="31"/>
      <c r="E934" s="32"/>
      <c r="F934" s="32"/>
      <c r="G934" s="33"/>
      <c r="H934" s="31"/>
      <c r="I934" s="24" t="str">
        <f aca="false">IF(B934="","",YEAR(B934))</f>
        <v/>
      </c>
      <c r="J934" s="34" t="str">
        <f aca="false">IF(B934="","",IF(MONTH(B934)=1,"X",""))</f>
        <v/>
      </c>
      <c r="K934" s="34" t="str">
        <f aca="false">IF(B934="","",IF(MONTH(B934)=2,"X",""))</f>
        <v/>
      </c>
      <c r="L934" s="34" t="str">
        <f aca="false">IF(B934="","",IF(MONTH(B934)=3,"X",""))</f>
        <v/>
      </c>
      <c r="M934" s="34" t="str">
        <f aca="false">IF(B934="","",IF(MONTH(B934)=4,"X",""))</f>
        <v/>
      </c>
      <c r="N934" s="34" t="str">
        <f aca="false">IF(B934="","",IF(MONTH(B934)=5,"X",""))</f>
        <v/>
      </c>
      <c r="O934" s="34" t="str">
        <f aca="false">IF(B934="","",IF(MONTH(B934)=6,"X",""))</f>
        <v/>
      </c>
      <c r="P934" s="34" t="str">
        <f aca="false">IF(B934="","",IF(MONTH(B934)=7,"X",""))</f>
        <v/>
      </c>
      <c r="Q934" s="34" t="str">
        <f aca="false">IF(B934="","",IF(MONTH(B934)=8,"X",""))</f>
        <v/>
      </c>
      <c r="R934" s="34" t="str">
        <f aca="false">IF(B934="","",IF(MONTH(B934)=9,"X",""))</f>
        <v/>
      </c>
      <c r="S934" s="34" t="str">
        <f aca="false">IF(B934="","",IF(MONTH(B934)=10,"X",""))</f>
        <v/>
      </c>
      <c r="T934" s="34" t="str">
        <f aca="false">IF(B934="","",IF(MONTH(B934)=11,"X",""))</f>
        <v/>
      </c>
      <c r="U934" s="34" t="str">
        <f aca="false">IF(B934="","",IF(MONTH(B934)=12,"X",""))</f>
        <v/>
      </c>
      <c r="V934" s="24" t="str">
        <f aca="false">IF(E934="","",COUNTIF($E$5:$E$1000,E934))</f>
        <v/>
      </c>
      <c r="W934" s="35" t="str">
        <f aca="false">IF(E934="","",_xlfn.TEXTJOIN(" + ",TRUE(),IF(COUNTIFS($E$5:$E$1000,E934,$C$5:$C$1000,"Auditoría Interna")&gt;0,"Interna",""),IF(COUNTIFS($E$5:$E$1000,E934,$C$5:$C$1000,"Auditoría Externa")&gt;0,"Externa",""),IF(COUNTIFS($E$5:$E$1000,E934,$C$5:$C$1000,"SSF")&gt;0,"SSF",""),IF(COUNTIFS($E$5:$E$1000,E934,$C$5:$C$1000,"Comité de Supervisión")&gt;0,"Comité Sup.",""),IF(COUNTIFS($E$5:$E$1000,E934,$C$5:$C$1000,"Consejo de Administración")&gt;0,"Consejo",""),IF(COUNTIFS($E$5:$E$1000,E934,$C$5:$C$1000,"Otros")&gt;0,"Otros","")))</f>
        <v/>
      </c>
      <c r="X934" s="24" t="str">
        <f aca="false">IF(E934="","",COUNTIFS($E$5:$E$1000,E934,$AB$5:$AB$1000,AB934,$C$5:$C$1000,"&lt;&gt;"&amp;C934))</f>
        <v/>
      </c>
      <c r="Y934" s="33"/>
      <c r="Z934" s="31"/>
      <c r="AA934" s="33"/>
      <c r="AB934" s="37" t="str">
        <f aca="false">IF(B934="","",YEAR(B934)*100+MONTH(B934))</f>
        <v/>
      </c>
      <c r="AC934" s="37" t="str">
        <f aca="false">IF(AND(E934&lt;&gt;"",E934=Cruce!$C$5),COUNTIF($E$5:E934,E934),"")</f>
        <v/>
      </c>
      <c r="AD934" s="37" t="str">
        <f aca="false">IF(E934="","",C934&amp;"|"&amp;Y934&amp;"|"&amp;IF(B934="","s/f",TEXT(B934,"yyyymmdd")))</f>
        <v/>
      </c>
      <c r="AE934" s="37" t="n">
        <f aca="false">IF(E934="",0,IF(COUNTIFS($E$5:E934,E934,$AD$5:AD934,AD934)=1,1,0))</f>
        <v>0</v>
      </c>
    </row>
    <row r="935" customFormat="false" ht="15" hidden="false" customHeight="true" outlineLevel="0" collapsed="false">
      <c r="A935" s="31"/>
      <c r="B935" s="30"/>
      <c r="C935" s="31"/>
      <c r="D935" s="31"/>
      <c r="E935" s="32"/>
      <c r="F935" s="32"/>
      <c r="G935" s="33"/>
      <c r="H935" s="31"/>
      <c r="I935" s="24" t="str">
        <f aca="false">IF(B935="","",YEAR(B935))</f>
        <v/>
      </c>
      <c r="J935" s="34" t="str">
        <f aca="false">IF(B935="","",IF(MONTH(B935)=1,"X",""))</f>
        <v/>
      </c>
      <c r="K935" s="34" t="str">
        <f aca="false">IF(B935="","",IF(MONTH(B935)=2,"X",""))</f>
        <v/>
      </c>
      <c r="L935" s="34" t="str">
        <f aca="false">IF(B935="","",IF(MONTH(B935)=3,"X",""))</f>
        <v/>
      </c>
      <c r="M935" s="34" t="str">
        <f aca="false">IF(B935="","",IF(MONTH(B935)=4,"X",""))</f>
        <v/>
      </c>
      <c r="N935" s="34" t="str">
        <f aca="false">IF(B935="","",IF(MONTH(B935)=5,"X",""))</f>
        <v/>
      </c>
      <c r="O935" s="34" t="str">
        <f aca="false">IF(B935="","",IF(MONTH(B935)=6,"X",""))</f>
        <v/>
      </c>
      <c r="P935" s="34" t="str">
        <f aca="false">IF(B935="","",IF(MONTH(B935)=7,"X",""))</f>
        <v/>
      </c>
      <c r="Q935" s="34" t="str">
        <f aca="false">IF(B935="","",IF(MONTH(B935)=8,"X",""))</f>
        <v/>
      </c>
      <c r="R935" s="34" t="str">
        <f aca="false">IF(B935="","",IF(MONTH(B935)=9,"X",""))</f>
        <v/>
      </c>
      <c r="S935" s="34" t="str">
        <f aca="false">IF(B935="","",IF(MONTH(B935)=10,"X",""))</f>
        <v/>
      </c>
      <c r="T935" s="34" t="str">
        <f aca="false">IF(B935="","",IF(MONTH(B935)=11,"X",""))</f>
        <v/>
      </c>
      <c r="U935" s="34" t="str">
        <f aca="false">IF(B935="","",IF(MONTH(B935)=12,"X",""))</f>
        <v/>
      </c>
      <c r="V935" s="24" t="str">
        <f aca="false">IF(E935="","",COUNTIF($E$5:$E$1000,E935))</f>
        <v/>
      </c>
      <c r="W935" s="35" t="str">
        <f aca="false">IF(E935="","",_xlfn.TEXTJOIN(" + ",TRUE(),IF(COUNTIFS($E$5:$E$1000,E935,$C$5:$C$1000,"Auditoría Interna")&gt;0,"Interna",""),IF(COUNTIFS($E$5:$E$1000,E935,$C$5:$C$1000,"Auditoría Externa")&gt;0,"Externa",""),IF(COUNTIFS($E$5:$E$1000,E935,$C$5:$C$1000,"SSF")&gt;0,"SSF",""),IF(COUNTIFS($E$5:$E$1000,E935,$C$5:$C$1000,"Comité de Supervisión")&gt;0,"Comité Sup.",""),IF(COUNTIFS($E$5:$E$1000,E935,$C$5:$C$1000,"Consejo de Administración")&gt;0,"Consejo",""),IF(COUNTIFS($E$5:$E$1000,E935,$C$5:$C$1000,"Otros")&gt;0,"Otros","")))</f>
        <v/>
      </c>
      <c r="X935" s="24" t="str">
        <f aca="false">IF(E935="","",COUNTIFS($E$5:$E$1000,E935,$AB$5:$AB$1000,AB935,$C$5:$C$1000,"&lt;&gt;"&amp;C935))</f>
        <v/>
      </c>
      <c r="Y935" s="33"/>
      <c r="Z935" s="31"/>
      <c r="AA935" s="33"/>
      <c r="AB935" s="37" t="str">
        <f aca="false">IF(B935="","",YEAR(B935)*100+MONTH(B935))</f>
        <v/>
      </c>
      <c r="AC935" s="37" t="str">
        <f aca="false">IF(AND(E935&lt;&gt;"",E935=Cruce!$C$5),COUNTIF($E$5:E935,E935),"")</f>
        <v/>
      </c>
      <c r="AD935" s="37" t="str">
        <f aca="false">IF(E935="","",C935&amp;"|"&amp;Y935&amp;"|"&amp;IF(B935="","s/f",TEXT(B935,"yyyymmdd")))</f>
        <v/>
      </c>
      <c r="AE935" s="37" t="n">
        <f aca="false">IF(E935="",0,IF(COUNTIFS($E$5:E935,E935,$AD$5:AD935,AD935)=1,1,0))</f>
        <v>0</v>
      </c>
    </row>
    <row r="936" customFormat="false" ht="15" hidden="false" customHeight="true" outlineLevel="0" collapsed="false">
      <c r="A936" s="31"/>
      <c r="B936" s="30"/>
      <c r="C936" s="31"/>
      <c r="D936" s="31"/>
      <c r="E936" s="32"/>
      <c r="F936" s="32"/>
      <c r="G936" s="33"/>
      <c r="H936" s="31"/>
      <c r="I936" s="24" t="str">
        <f aca="false">IF(B936="","",YEAR(B936))</f>
        <v/>
      </c>
      <c r="J936" s="34" t="str">
        <f aca="false">IF(B936="","",IF(MONTH(B936)=1,"X",""))</f>
        <v/>
      </c>
      <c r="K936" s="34" t="str">
        <f aca="false">IF(B936="","",IF(MONTH(B936)=2,"X",""))</f>
        <v/>
      </c>
      <c r="L936" s="34" t="str">
        <f aca="false">IF(B936="","",IF(MONTH(B936)=3,"X",""))</f>
        <v/>
      </c>
      <c r="M936" s="34" t="str">
        <f aca="false">IF(B936="","",IF(MONTH(B936)=4,"X",""))</f>
        <v/>
      </c>
      <c r="N936" s="34" t="str">
        <f aca="false">IF(B936="","",IF(MONTH(B936)=5,"X",""))</f>
        <v/>
      </c>
      <c r="O936" s="34" t="str">
        <f aca="false">IF(B936="","",IF(MONTH(B936)=6,"X",""))</f>
        <v/>
      </c>
      <c r="P936" s="34" t="str">
        <f aca="false">IF(B936="","",IF(MONTH(B936)=7,"X",""))</f>
        <v/>
      </c>
      <c r="Q936" s="34" t="str">
        <f aca="false">IF(B936="","",IF(MONTH(B936)=8,"X",""))</f>
        <v/>
      </c>
      <c r="R936" s="34" t="str">
        <f aca="false">IF(B936="","",IF(MONTH(B936)=9,"X",""))</f>
        <v/>
      </c>
      <c r="S936" s="34" t="str">
        <f aca="false">IF(B936="","",IF(MONTH(B936)=10,"X",""))</f>
        <v/>
      </c>
      <c r="T936" s="34" t="str">
        <f aca="false">IF(B936="","",IF(MONTH(B936)=11,"X",""))</f>
        <v/>
      </c>
      <c r="U936" s="34" t="str">
        <f aca="false">IF(B936="","",IF(MONTH(B936)=12,"X",""))</f>
        <v/>
      </c>
      <c r="V936" s="24" t="str">
        <f aca="false">IF(E936="","",COUNTIF($E$5:$E$1000,E936))</f>
        <v/>
      </c>
      <c r="W936" s="35" t="str">
        <f aca="false">IF(E936="","",_xlfn.TEXTJOIN(" + ",TRUE(),IF(COUNTIFS($E$5:$E$1000,E936,$C$5:$C$1000,"Auditoría Interna")&gt;0,"Interna",""),IF(COUNTIFS($E$5:$E$1000,E936,$C$5:$C$1000,"Auditoría Externa")&gt;0,"Externa",""),IF(COUNTIFS($E$5:$E$1000,E936,$C$5:$C$1000,"SSF")&gt;0,"SSF",""),IF(COUNTIFS($E$5:$E$1000,E936,$C$5:$C$1000,"Comité de Supervisión")&gt;0,"Comité Sup.",""),IF(COUNTIFS($E$5:$E$1000,E936,$C$5:$C$1000,"Consejo de Administración")&gt;0,"Consejo",""),IF(COUNTIFS($E$5:$E$1000,E936,$C$5:$C$1000,"Otros")&gt;0,"Otros","")))</f>
        <v/>
      </c>
      <c r="X936" s="24" t="str">
        <f aca="false">IF(E936="","",COUNTIFS($E$5:$E$1000,E936,$AB$5:$AB$1000,AB936,$C$5:$C$1000,"&lt;&gt;"&amp;C936))</f>
        <v/>
      </c>
      <c r="Y936" s="33"/>
      <c r="Z936" s="31"/>
      <c r="AA936" s="33"/>
      <c r="AB936" s="37" t="str">
        <f aca="false">IF(B936="","",YEAR(B936)*100+MONTH(B936))</f>
        <v/>
      </c>
      <c r="AC936" s="37" t="str">
        <f aca="false">IF(AND(E936&lt;&gt;"",E936=Cruce!$C$5),COUNTIF($E$5:E936,E936),"")</f>
        <v/>
      </c>
      <c r="AD936" s="37" t="str">
        <f aca="false">IF(E936="","",C936&amp;"|"&amp;Y936&amp;"|"&amp;IF(B936="","s/f",TEXT(B936,"yyyymmdd")))</f>
        <v/>
      </c>
      <c r="AE936" s="37" t="n">
        <f aca="false">IF(E936="",0,IF(COUNTIFS($E$5:E936,E936,$AD$5:AD936,AD936)=1,1,0))</f>
        <v>0</v>
      </c>
    </row>
    <row r="937" customFormat="false" ht="15" hidden="false" customHeight="true" outlineLevel="0" collapsed="false">
      <c r="A937" s="31"/>
      <c r="B937" s="30"/>
      <c r="C937" s="31"/>
      <c r="D937" s="31"/>
      <c r="E937" s="32"/>
      <c r="F937" s="32"/>
      <c r="G937" s="33"/>
      <c r="H937" s="31"/>
      <c r="I937" s="24" t="str">
        <f aca="false">IF(B937="","",YEAR(B937))</f>
        <v/>
      </c>
      <c r="J937" s="34" t="str">
        <f aca="false">IF(B937="","",IF(MONTH(B937)=1,"X",""))</f>
        <v/>
      </c>
      <c r="K937" s="34" t="str">
        <f aca="false">IF(B937="","",IF(MONTH(B937)=2,"X",""))</f>
        <v/>
      </c>
      <c r="L937" s="34" t="str">
        <f aca="false">IF(B937="","",IF(MONTH(B937)=3,"X",""))</f>
        <v/>
      </c>
      <c r="M937" s="34" t="str">
        <f aca="false">IF(B937="","",IF(MONTH(B937)=4,"X",""))</f>
        <v/>
      </c>
      <c r="N937" s="34" t="str">
        <f aca="false">IF(B937="","",IF(MONTH(B937)=5,"X",""))</f>
        <v/>
      </c>
      <c r="O937" s="34" t="str">
        <f aca="false">IF(B937="","",IF(MONTH(B937)=6,"X",""))</f>
        <v/>
      </c>
      <c r="P937" s="34" t="str">
        <f aca="false">IF(B937="","",IF(MONTH(B937)=7,"X",""))</f>
        <v/>
      </c>
      <c r="Q937" s="34" t="str">
        <f aca="false">IF(B937="","",IF(MONTH(B937)=8,"X",""))</f>
        <v/>
      </c>
      <c r="R937" s="34" t="str">
        <f aca="false">IF(B937="","",IF(MONTH(B937)=9,"X",""))</f>
        <v/>
      </c>
      <c r="S937" s="34" t="str">
        <f aca="false">IF(B937="","",IF(MONTH(B937)=10,"X",""))</f>
        <v/>
      </c>
      <c r="T937" s="34" t="str">
        <f aca="false">IF(B937="","",IF(MONTH(B937)=11,"X",""))</f>
        <v/>
      </c>
      <c r="U937" s="34" t="str">
        <f aca="false">IF(B937="","",IF(MONTH(B937)=12,"X",""))</f>
        <v/>
      </c>
      <c r="V937" s="24" t="str">
        <f aca="false">IF(E937="","",COUNTIF($E$5:$E$1000,E937))</f>
        <v/>
      </c>
      <c r="W937" s="35" t="str">
        <f aca="false">IF(E937="","",_xlfn.TEXTJOIN(" + ",TRUE(),IF(COUNTIFS($E$5:$E$1000,E937,$C$5:$C$1000,"Auditoría Interna")&gt;0,"Interna",""),IF(COUNTIFS($E$5:$E$1000,E937,$C$5:$C$1000,"Auditoría Externa")&gt;0,"Externa",""),IF(COUNTIFS($E$5:$E$1000,E937,$C$5:$C$1000,"SSF")&gt;0,"SSF",""),IF(COUNTIFS($E$5:$E$1000,E937,$C$5:$C$1000,"Comité de Supervisión")&gt;0,"Comité Sup.",""),IF(COUNTIFS($E$5:$E$1000,E937,$C$5:$C$1000,"Consejo de Administración")&gt;0,"Consejo",""),IF(COUNTIFS($E$5:$E$1000,E937,$C$5:$C$1000,"Otros")&gt;0,"Otros","")))</f>
        <v/>
      </c>
      <c r="X937" s="24" t="str">
        <f aca="false">IF(E937="","",COUNTIFS($E$5:$E$1000,E937,$AB$5:$AB$1000,AB937,$C$5:$C$1000,"&lt;&gt;"&amp;C937))</f>
        <v/>
      </c>
      <c r="Y937" s="33"/>
      <c r="Z937" s="31"/>
      <c r="AA937" s="33"/>
      <c r="AB937" s="37" t="str">
        <f aca="false">IF(B937="","",YEAR(B937)*100+MONTH(B937))</f>
        <v/>
      </c>
      <c r="AC937" s="37" t="str">
        <f aca="false">IF(AND(E937&lt;&gt;"",E937=Cruce!$C$5),COUNTIF($E$5:E937,E937),"")</f>
        <v/>
      </c>
      <c r="AD937" s="37" t="str">
        <f aca="false">IF(E937="","",C937&amp;"|"&amp;Y937&amp;"|"&amp;IF(B937="","s/f",TEXT(B937,"yyyymmdd")))</f>
        <v/>
      </c>
      <c r="AE937" s="37" t="n">
        <f aca="false">IF(E937="",0,IF(COUNTIFS($E$5:E937,E937,$AD$5:AD937,AD937)=1,1,0))</f>
        <v>0</v>
      </c>
    </row>
    <row r="938" customFormat="false" ht="15" hidden="false" customHeight="true" outlineLevel="0" collapsed="false">
      <c r="A938" s="31"/>
      <c r="B938" s="30"/>
      <c r="C938" s="31"/>
      <c r="D938" s="31"/>
      <c r="E938" s="32"/>
      <c r="F938" s="32"/>
      <c r="G938" s="33"/>
      <c r="H938" s="31"/>
      <c r="I938" s="24" t="str">
        <f aca="false">IF(B938="","",YEAR(B938))</f>
        <v/>
      </c>
      <c r="J938" s="34" t="str">
        <f aca="false">IF(B938="","",IF(MONTH(B938)=1,"X",""))</f>
        <v/>
      </c>
      <c r="K938" s="34" t="str">
        <f aca="false">IF(B938="","",IF(MONTH(B938)=2,"X",""))</f>
        <v/>
      </c>
      <c r="L938" s="34" t="str">
        <f aca="false">IF(B938="","",IF(MONTH(B938)=3,"X",""))</f>
        <v/>
      </c>
      <c r="M938" s="34" t="str">
        <f aca="false">IF(B938="","",IF(MONTH(B938)=4,"X",""))</f>
        <v/>
      </c>
      <c r="N938" s="34" t="str">
        <f aca="false">IF(B938="","",IF(MONTH(B938)=5,"X",""))</f>
        <v/>
      </c>
      <c r="O938" s="34" t="str">
        <f aca="false">IF(B938="","",IF(MONTH(B938)=6,"X",""))</f>
        <v/>
      </c>
      <c r="P938" s="34" t="str">
        <f aca="false">IF(B938="","",IF(MONTH(B938)=7,"X",""))</f>
        <v/>
      </c>
      <c r="Q938" s="34" t="str">
        <f aca="false">IF(B938="","",IF(MONTH(B938)=8,"X",""))</f>
        <v/>
      </c>
      <c r="R938" s="34" t="str">
        <f aca="false">IF(B938="","",IF(MONTH(B938)=9,"X",""))</f>
        <v/>
      </c>
      <c r="S938" s="34" t="str">
        <f aca="false">IF(B938="","",IF(MONTH(B938)=10,"X",""))</f>
        <v/>
      </c>
      <c r="T938" s="34" t="str">
        <f aca="false">IF(B938="","",IF(MONTH(B938)=11,"X",""))</f>
        <v/>
      </c>
      <c r="U938" s="34" t="str">
        <f aca="false">IF(B938="","",IF(MONTH(B938)=12,"X",""))</f>
        <v/>
      </c>
      <c r="V938" s="24" t="str">
        <f aca="false">IF(E938="","",COUNTIF($E$5:$E$1000,E938))</f>
        <v/>
      </c>
      <c r="W938" s="35" t="str">
        <f aca="false">IF(E938="","",_xlfn.TEXTJOIN(" + ",TRUE(),IF(COUNTIFS($E$5:$E$1000,E938,$C$5:$C$1000,"Auditoría Interna")&gt;0,"Interna",""),IF(COUNTIFS($E$5:$E$1000,E938,$C$5:$C$1000,"Auditoría Externa")&gt;0,"Externa",""),IF(COUNTIFS($E$5:$E$1000,E938,$C$5:$C$1000,"SSF")&gt;0,"SSF",""),IF(COUNTIFS($E$5:$E$1000,E938,$C$5:$C$1000,"Comité de Supervisión")&gt;0,"Comité Sup.",""),IF(COUNTIFS($E$5:$E$1000,E938,$C$5:$C$1000,"Consejo de Administración")&gt;0,"Consejo",""),IF(COUNTIFS($E$5:$E$1000,E938,$C$5:$C$1000,"Otros")&gt;0,"Otros","")))</f>
        <v/>
      </c>
      <c r="X938" s="24" t="str">
        <f aca="false">IF(E938="","",COUNTIFS($E$5:$E$1000,E938,$AB$5:$AB$1000,AB938,$C$5:$C$1000,"&lt;&gt;"&amp;C938))</f>
        <v/>
      </c>
      <c r="Y938" s="33"/>
      <c r="Z938" s="31"/>
      <c r="AA938" s="33"/>
      <c r="AB938" s="37" t="str">
        <f aca="false">IF(B938="","",YEAR(B938)*100+MONTH(B938))</f>
        <v/>
      </c>
      <c r="AC938" s="37" t="str">
        <f aca="false">IF(AND(E938&lt;&gt;"",E938=Cruce!$C$5),COUNTIF($E$5:E938,E938),"")</f>
        <v/>
      </c>
      <c r="AD938" s="37" t="str">
        <f aca="false">IF(E938="","",C938&amp;"|"&amp;Y938&amp;"|"&amp;IF(B938="","s/f",TEXT(B938,"yyyymmdd")))</f>
        <v/>
      </c>
      <c r="AE938" s="37" t="n">
        <f aca="false">IF(E938="",0,IF(COUNTIFS($E$5:E938,E938,$AD$5:AD938,AD938)=1,1,0))</f>
        <v>0</v>
      </c>
    </row>
    <row r="939" customFormat="false" ht="15" hidden="false" customHeight="true" outlineLevel="0" collapsed="false">
      <c r="A939" s="31"/>
      <c r="B939" s="30"/>
      <c r="C939" s="31"/>
      <c r="D939" s="31"/>
      <c r="E939" s="32"/>
      <c r="F939" s="32"/>
      <c r="G939" s="33"/>
      <c r="H939" s="31"/>
      <c r="I939" s="24" t="str">
        <f aca="false">IF(B939="","",YEAR(B939))</f>
        <v/>
      </c>
      <c r="J939" s="34" t="str">
        <f aca="false">IF(B939="","",IF(MONTH(B939)=1,"X",""))</f>
        <v/>
      </c>
      <c r="K939" s="34" t="str">
        <f aca="false">IF(B939="","",IF(MONTH(B939)=2,"X",""))</f>
        <v/>
      </c>
      <c r="L939" s="34" t="str">
        <f aca="false">IF(B939="","",IF(MONTH(B939)=3,"X",""))</f>
        <v/>
      </c>
      <c r="M939" s="34" t="str">
        <f aca="false">IF(B939="","",IF(MONTH(B939)=4,"X",""))</f>
        <v/>
      </c>
      <c r="N939" s="34" t="str">
        <f aca="false">IF(B939="","",IF(MONTH(B939)=5,"X",""))</f>
        <v/>
      </c>
      <c r="O939" s="34" t="str">
        <f aca="false">IF(B939="","",IF(MONTH(B939)=6,"X",""))</f>
        <v/>
      </c>
      <c r="P939" s="34" t="str">
        <f aca="false">IF(B939="","",IF(MONTH(B939)=7,"X",""))</f>
        <v/>
      </c>
      <c r="Q939" s="34" t="str">
        <f aca="false">IF(B939="","",IF(MONTH(B939)=8,"X",""))</f>
        <v/>
      </c>
      <c r="R939" s="34" t="str">
        <f aca="false">IF(B939="","",IF(MONTH(B939)=9,"X",""))</f>
        <v/>
      </c>
      <c r="S939" s="34" t="str">
        <f aca="false">IF(B939="","",IF(MONTH(B939)=10,"X",""))</f>
        <v/>
      </c>
      <c r="T939" s="34" t="str">
        <f aca="false">IF(B939="","",IF(MONTH(B939)=11,"X",""))</f>
        <v/>
      </c>
      <c r="U939" s="34" t="str">
        <f aca="false">IF(B939="","",IF(MONTH(B939)=12,"X",""))</f>
        <v/>
      </c>
      <c r="V939" s="24" t="str">
        <f aca="false">IF(E939="","",COUNTIF($E$5:$E$1000,E939))</f>
        <v/>
      </c>
      <c r="W939" s="35" t="str">
        <f aca="false">IF(E939="","",_xlfn.TEXTJOIN(" + ",TRUE(),IF(COUNTIFS($E$5:$E$1000,E939,$C$5:$C$1000,"Auditoría Interna")&gt;0,"Interna",""),IF(COUNTIFS($E$5:$E$1000,E939,$C$5:$C$1000,"Auditoría Externa")&gt;0,"Externa",""),IF(COUNTIFS($E$5:$E$1000,E939,$C$5:$C$1000,"SSF")&gt;0,"SSF",""),IF(COUNTIFS($E$5:$E$1000,E939,$C$5:$C$1000,"Comité de Supervisión")&gt;0,"Comité Sup.",""),IF(COUNTIFS($E$5:$E$1000,E939,$C$5:$C$1000,"Consejo de Administración")&gt;0,"Consejo",""),IF(COUNTIFS($E$5:$E$1000,E939,$C$5:$C$1000,"Otros")&gt;0,"Otros","")))</f>
        <v/>
      </c>
      <c r="X939" s="24" t="str">
        <f aca="false">IF(E939="","",COUNTIFS($E$5:$E$1000,E939,$AB$5:$AB$1000,AB939,$C$5:$C$1000,"&lt;&gt;"&amp;C939))</f>
        <v/>
      </c>
      <c r="Y939" s="33"/>
      <c r="Z939" s="31"/>
      <c r="AA939" s="33"/>
      <c r="AB939" s="37" t="str">
        <f aca="false">IF(B939="","",YEAR(B939)*100+MONTH(B939))</f>
        <v/>
      </c>
      <c r="AC939" s="37" t="str">
        <f aca="false">IF(AND(E939&lt;&gt;"",E939=Cruce!$C$5),COUNTIF($E$5:E939,E939),"")</f>
        <v/>
      </c>
      <c r="AD939" s="37" t="str">
        <f aca="false">IF(E939="","",C939&amp;"|"&amp;Y939&amp;"|"&amp;IF(B939="","s/f",TEXT(B939,"yyyymmdd")))</f>
        <v/>
      </c>
      <c r="AE939" s="37" t="n">
        <f aca="false">IF(E939="",0,IF(COUNTIFS($E$5:E939,E939,$AD$5:AD939,AD939)=1,1,0))</f>
        <v>0</v>
      </c>
    </row>
    <row r="940" customFormat="false" ht="15" hidden="false" customHeight="true" outlineLevel="0" collapsed="false">
      <c r="A940" s="31"/>
      <c r="B940" s="30"/>
      <c r="C940" s="31"/>
      <c r="D940" s="31"/>
      <c r="E940" s="32"/>
      <c r="F940" s="32"/>
      <c r="G940" s="33"/>
      <c r="H940" s="31"/>
      <c r="I940" s="24" t="str">
        <f aca="false">IF(B940="","",YEAR(B940))</f>
        <v/>
      </c>
      <c r="J940" s="34" t="str">
        <f aca="false">IF(B940="","",IF(MONTH(B940)=1,"X",""))</f>
        <v/>
      </c>
      <c r="K940" s="34" t="str">
        <f aca="false">IF(B940="","",IF(MONTH(B940)=2,"X",""))</f>
        <v/>
      </c>
      <c r="L940" s="34" t="str">
        <f aca="false">IF(B940="","",IF(MONTH(B940)=3,"X",""))</f>
        <v/>
      </c>
      <c r="M940" s="34" t="str">
        <f aca="false">IF(B940="","",IF(MONTH(B940)=4,"X",""))</f>
        <v/>
      </c>
      <c r="N940" s="34" t="str">
        <f aca="false">IF(B940="","",IF(MONTH(B940)=5,"X",""))</f>
        <v/>
      </c>
      <c r="O940" s="34" t="str">
        <f aca="false">IF(B940="","",IF(MONTH(B940)=6,"X",""))</f>
        <v/>
      </c>
      <c r="P940" s="34" t="str">
        <f aca="false">IF(B940="","",IF(MONTH(B940)=7,"X",""))</f>
        <v/>
      </c>
      <c r="Q940" s="34" t="str">
        <f aca="false">IF(B940="","",IF(MONTH(B940)=8,"X",""))</f>
        <v/>
      </c>
      <c r="R940" s="34" t="str">
        <f aca="false">IF(B940="","",IF(MONTH(B940)=9,"X",""))</f>
        <v/>
      </c>
      <c r="S940" s="34" t="str">
        <f aca="false">IF(B940="","",IF(MONTH(B940)=10,"X",""))</f>
        <v/>
      </c>
      <c r="T940" s="34" t="str">
        <f aca="false">IF(B940="","",IF(MONTH(B940)=11,"X",""))</f>
        <v/>
      </c>
      <c r="U940" s="34" t="str">
        <f aca="false">IF(B940="","",IF(MONTH(B940)=12,"X",""))</f>
        <v/>
      </c>
      <c r="V940" s="24" t="str">
        <f aca="false">IF(E940="","",COUNTIF($E$5:$E$1000,E940))</f>
        <v/>
      </c>
      <c r="W940" s="35" t="str">
        <f aca="false">IF(E940="","",_xlfn.TEXTJOIN(" + ",TRUE(),IF(COUNTIFS($E$5:$E$1000,E940,$C$5:$C$1000,"Auditoría Interna")&gt;0,"Interna",""),IF(COUNTIFS($E$5:$E$1000,E940,$C$5:$C$1000,"Auditoría Externa")&gt;0,"Externa",""),IF(COUNTIFS($E$5:$E$1000,E940,$C$5:$C$1000,"SSF")&gt;0,"SSF",""),IF(COUNTIFS($E$5:$E$1000,E940,$C$5:$C$1000,"Comité de Supervisión")&gt;0,"Comité Sup.",""),IF(COUNTIFS($E$5:$E$1000,E940,$C$5:$C$1000,"Consejo de Administración")&gt;0,"Consejo",""),IF(COUNTIFS($E$5:$E$1000,E940,$C$5:$C$1000,"Otros")&gt;0,"Otros","")))</f>
        <v/>
      </c>
      <c r="X940" s="24" t="str">
        <f aca="false">IF(E940="","",COUNTIFS($E$5:$E$1000,E940,$AB$5:$AB$1000,AB940,$C$5:$C$1000,"&lt;&gt;"&amp;C940))</f>
        <v/>
      </c>
      <c r="Y940" s="33"/>
      <c r="Z940" s="31"/>
      <c r="AA940" s="33"/>
      <c r="AB940" s="37" t="str">
        <f aca="false">IF(B940="","",YEAR(B940)*100+MONTH(B940))</f>
        <v/>
      </c>
      <c r="AC940" s="37" t="str">
        <f aca="false">IF(AND(E940&lt;&gt;"",E940=Cruce!$C$5),COUNTIF($E$5:E940,E940),"")</f>
        <v/>
      </c>
      <c r="AD940" s="37" t="str">
        <f aca="false">IF(E940="","",C940&amp;"|"&amp;Y940&amp;"|"&amp;IF(B940="","s/f",TEXT(B940,"yyyymmdd")))</f>
        <v/>
      </c>
      <c r="AE940" s="37" t="n">
        <f aca="false">IF(E940="",0,IF(COUNTIFS($E$5:E940,E940,$AD$5:AD940,AD940)=1,1,0))</f>
        <v>0</v>
      </c>
    </row>
    <row r="941" customFormat="false" ht="15" hidden="false" customHeight="true" outlineLevel="0" collapsed="false">
      <c r="A941" s="31"/>
      <c r="B941" s="30"/>
      <c r="C941" s="31"/>
      <c r="D941" s="31"/>
      <c r="E941" s="32"/>
      <c r="F941" s="32"/>
      <c r="G941" s="33"/>
      <c r="H941" s="31"/>
      <c r="I941" s="24" t="str">
        <f aca="false">IF(B941="","",YEAR(B941))</f>
        <v/>
      </c>
      <c r="J941" s="34" t="str">
        <f aca="false">IF(B941="","",IF(MONTH(B941)=1,"X",""))</f>
        <v/>
      </c>
      <c r="K941" s="34" t="str">
        <f aca="false">IF(B941="","",IF(MONTH(B941)=2,"X",""))</f>
        <v/>
      </c>
      <c r="L941" s="34" t="str">
        <f aca="false">IF(B941="","",IF(MONTH(B941)=3,"X",""))</f>
        <v/>
      </c>
      <c r="M941" s="34" t="str">
        <f aca="false">IF(B941="","",IF(MONTH(B941)=4,"X",""))</f>
        <v/>
      </c>
      <c r="N941" s="34" t="str">
        <f aca="false">IF(B941="","",IF(MONTH(B941)=5,"X",""))</f>
        <v/>
      </c>
      <c r="O941" s="34" t="str">
        <f aca="false">IF(B941="","",IF(MONTH(B941)=6,"X",""))</f>
        <v/>
      </c>
      <c r="P941" s="34" t="str">
        <f aca="false">IF(B941="","",IF(MONTH(B941)=7,"X",""))</f>
        <v/>
      </c>
      <c r="Q941" s="34" t="str">
        <f aca="false">IF(B941="","",IF(MONTH(B941)=8,"X",""))</f>
        <v/>
      </c>
      <c r="R941" s="34" t="str">
        <f aca="false">IF(B941="","",IF(MONTH(B941)=9,"X",""))</f>
        <v/>
      </c>
      <c r="S941" s="34" t="str">
        <f aca="false">IF(B941="","",IF(MONTH(B941)=10,"X",""))</f>
        <v/>
      </c>
      <c r="T941" s="34" t="str">
        <f aca="false">IF(B941="","",IF(MONTH(B941)=11,"X",""))</f>
        <v/>
      </c>
      <c r="U941" s="34" t="str">
        <f aca="false">IF(B941="","",IF(MONTH(B941)=12,"X",""))</f>
        <v/>
      </c>
      <c r="V941" s="24" t="str">
        <f aca="false">IF(E941="","",COUNTIF($E$5:$E$1000,E941))</f>
        <v/>
      </c>
      <c r="W941" s="35" t="str">
        <f aca="false">IF(E941="","",_xlfn.TEXTJOIN(" + ",TRUE(),IF(COUNTIFS($E$5:$E$1000,E941,$C$5:$C$1000,"Auditoría Interna")&gt;0,"Interna",""),IF(COUNTIFS($E$5:$E$1000,E941,$C$5:$C$1000,"Auditoría Externa")&gt;0,"Externa",""),IF(COUNTIFS($E$5:$E$1000,E941,$C$5:$C$1000,"SSF")&gt;0,"SSF",""),IF(COUNTIFS($E$5:$E$1000,E941,$C$5:$C$1000,"Comité de Supervisión")&gt;0,"Comité Sup.",""),IF(COUNTIFS($E$5:$E$1000,E941,$C$5:$C$1000,"Consejo de Administración")&gt;0,"Consejo",""),IF(COUNTIFS($E$5:$E$1000,E941,$C$5:$C$1000,"Otros")&gt;0,"Otros","")))</f>
        <v/>
      </c>
      <c r="X941" s="24" t="str">
        <f aca="false">IF(E941="","",COUNTIFS($E$5:$E$1000,E941,$AB$5:$AB$1000,AB941,$C$5:$C$1000,"&lt;&gt;"&amp;C941))</f>
        <v/>
      </c>
      <c r="Y941" s="33"/>
      <c r="Z941" s="31"/>
      <c r="AA941" s="33"/>
      <c r="AB941" s="37" t="str">
        <f aca="false">IF(B941="","",YEAR(B941)*100+MONTH(B941))</f>
        <v/>
      </c>
      <c r="AC941" s="37" t="str">
        <f aca="false">IF(AND(E941&lt;&gt;"",E941=Cruce!$C$5),COUNTIF($E$5:E941,E941),"")</f>
        <v/>
      </c>
      <c r="AD941" s="37" t="str">
        <f aca="false">IF(E941="","",C941&amp;"|"&amp;Y941&amp;"|"&amp;IF(B941="","s/f",TEXT(B941,"yyyymmdd")))</f>
        <v/>
      </c>
      <c r="AE941" s="37" t="n">
        <f aca="false">IF(E941="",0,IF(COUNTIFS($E$5:E941,E941,$AD$5:AD941,AD941)=1,1,0))</f>
        <v>0</v>
      </c>
    </row>
    <row r="942" customFormat="false" ht="15" hidden="false" customHeight="true" outlineLevel="0" collapsed="false">
      <c r="A942" s="31"/>
      <c r="B942" s="30"/>
      <c r="C942" s="31"/>
      <c r="D942" s="31"/>
      <c r="E942" s="32"/>
      <c r="F942" s="32"/>
      <c r="G942" s="33"/>
      <c r="H942" s="31"/>
      <c r="I942" s="24" t="str">
        <f aca="false">IF(B942="","",YEAR(B942))</f>
        <v/>
      </c>
      <c r="J942" s="34" t="str">
        <f aca="false">IF(B942="","",IF(MONTH(B942)=1,"X",""))</f>
        <v/>
      </c>
      <c r="K942" s="34" t="str">
        <f aca="false">IF(B942="","",IF(MONTH(B942)=2,"X",""))</f>
        <v/>
      </c>
      <c r="L942" s="34" t="str">
        <f aca="false">IF(B942="","",IF(MONTH(B942)=3,"X",""))</f>
        <v/>
      </c>
      <c r="M942" s="34" t="str">
        <f aca="false">IF(B942="","",IF(MONTH(B942)=4,"X",""))</f>
        <v/>
      </c>
      <c r="N942" s="34" t="str">
        <f aca="false">IF(B942="","",IF(MONTH(B942)=5,"X",""))</f>
        <v/>
      </c>
      <c r="O942" s="34" t="str">
        <f aca="false">IF(B942="","",IF(MONTH(B942)=6,"X",""))</f>
        <v/>
      </c>
      <c r="P942" s="34" t="str">
        <f aca="false">IF(B942="","",IF(MONTH(B942)=7,"X",""))</f>
        <v/>
      </c>
      <c r="Q942" s="34" t="str">
        <f aca="false">IF(B942="","",IF(MONTH(B942)=8,"X",""))</f>
        <v/>
      </c>
      <c r="R942" s="34" t="str">
        <f aca="false">IF(B942="","",IF(MONTH(B942)=9,"X",""))</f>
        <v/>
      </c>
      <c r="S942" s="34" t="str">
        <f aca="false">IF(B942="","",IF(MONTH(B942)=10,"X",""))</f>
        <v/>
      </c>
      <c r="T942" s="34" t="str">
        <f aca="false">IF(B942="","",IF(MONTH(B942)=11,"X",""))</f>
        <v/>
      </c>
      <c r="U942" s="34" t="str">
        <f aca="false">IF(B942="","",IF(MONTH(B942)=12,"X",""))</f>
        <v/>
      </c>
      <c r="V942" s="24" t="str">
        <f aca="false">IF(E942="","",COUNTIF($E$5:$E$1000,E942))</f>
        <v/>
      </c>
      <c r="W942" s="35" t="str">
        <f aca="false">IF(E942="","",_xlfn.TEXTJOIN(" + ",TRUE(),IF(COUNTIFS($E$5:$E$1000,E942,$C$5:$C$1000,"Auditoría Interna")&gt;0,"Interna",""),IF(COUNTIFS($E$5:$E$1000,E942,$C$5:$C$1000,"Auditoría Externa")&gt;0,"Externa",""),IF(COUNTIFS($E$5:$E$1000,E942,$C$5:$C$1000,"SSF")&gt;0,"SSF",""),IF(COUNTIFS($E$5:$E$1000,E942,$C$5:$C$1000,"Comité de Supervisión")&gt;0,"Comité Sup.",""),IF(COUNTIFS($E$5:$E$1000,E942,$C$5:$C$1000,"Consejo de Administración")&gt;0,"Consejo",""),IF(COUNTIFS($E$5:$E$1000,E942,$C$5:$C$1000,"Otros")&gt;0,"Otros","")))</f>
        <v/>
      </c>
      <c r="X942" s="24" t="str">
        <f aca="false">IF(E942="","",COUNTIFS($E$5:$E$1000,E942,$AB$5:$AB$1000,AB942,$C$5:$C$1000,"&lt;&gt;"&amp;C942))</f>
        <v/>
      </c>
      <c r="Y942" s="33"/>
      <c r="Z942" s="31"/>
      <c r="AA942" s="33"/>
      <c r="AB942" s="37" t="str">
        <f aca="false">IF(B942="","",YEAR(B942)*100+MONTH(B942))</f>
        <v/>
      </c>
      <c r="AC942" s="37" t="str">
        <f aca="false">IF(AND(E942&lt;&gt;"",E942=Cruce!$C$5),COUNTIF($E$5:E942,E942),"")</f>
        <v/>
      </c>
      <c r="AD942" s="37" t="str">
        <f aca="false">IF(E942="","",C942&amp;"|"&amp;Y942&amp;"|"&amp;IF(B942="","s/f",TEXT(B942,"yyyymmdd")))</f>
        <v/>
      </c>
      <c r="AE942" s="37" t="n">
        <f aca="false">IF(E942="",0,IF(COUNTIFS($E$5:E942,E942,$AD$5:AD942,AD942)=1,1,0))</f>
        <v>0</v>
      </c>
    </row>
    <row r="943" customFormat="false" ht="15" hidden="false" customHeight="true" outlineLevel="0" collapsed="false">
      <c r="A943" s="31"/>
      <c r="B943" s="30"/>
      <c r="C943" s="31"/>
      <c r="D943" s="31"/>
      <c r="E943" s="32"/>
      <c r="F943" s="32"/>
      <c r="G943" s="33"/>
      <c r="H943" s="31"/>
      <c r="I943" s="24" t="str">
        <f aca="false">IF(B943="","",YEAR(B943))</f>
        <v/>
      </c>
      <c r="J943" s="34" t="str">
        <f aca="false">IF(B943="","",IF(MONTH(B943)=1,"X",""))</f>
        <v/>
      </c>
      <c r="K943" s="34" t="str">
        <f aca="false">IF(B943="","",IF(MONTH(B943)=2,"X",""))</f>
        <v/>
      </c>
      <c r="L943" s="34" t="str">
        <f aca="false">IF(B943="","",IF(MONTH(B943)=3,"X",""))</f>
        <v/>
      </c>
      <c r="M943" s="34" t="str">
        <f aca="false">IF(B943="","",IF(MONTH(B943)=4,"X",""))</f>
        <v/>
      </c>
      <c r="N943" s="34" t="str">
        <f aca="false">IF(B943="","",IF(MONTH(B943)=5,"X",""))</f>
        <v/>
      </c>
      <c r="O943" s="34" t="str">
        <f aca="false">IF(B943="","",IF(MONTH(B943)=6,"X",""))</f>
        <v/>
      </c>
      <c r="P943" s="34" t="str">
        <f aca="false">IF(B943="","",IF(MONTH(B943)=7,"X",""))</f>
        <v/>
      </c>
      <c r="Q943" s="34" t="str">
        <f aca="false">IF(B943="","",IF(MONTH(B943)=8,"X",""))</f>
        <v/>
      </c>
      <c r="R943" s="34" t="str">
        <f aca="false">IF(B943="","",IF(MONTH(B943)=9,"X",""))</f>
        <v/>
      </c>
      <c r="S943" s="34" t="str">
        <f aca="false">IF(B943="","",IF(MONTH(B943)=10,"X",""))</f>
        <v/>
      </c>
      <c r="T943" s="34" t="str">
        <f aca="false">IF(B943="","",IF(MONTH(B943)=11,"X",""))</f>
        <v/>
      </c>
      <c r="U943" s="34" t="str">
        <f aca="false">IF(B943="","",IF(MONTH(B943)=12,"X",""))</f>
        <v/>
      </c>
      <c r="V943" s="24" t="str">
        <f aca="false">IF(E943="","",COUNTIF($E$5:$E$1000,E943))</f>
        <v/>
      </c>
      <c r="W943" s="35" t="str">
        <f aca="false">IF(E943="","",_xlfn.TEXTJOIN(" + ",TRUE(),IF(COUNTIFS($E$5:$E$1000,E943,$C$5:$C$1000,"Auditoría Interna")&gt;0,"Interna",""),IF(COUNTIFS($E$5:$E$1000,E943,$C$5:$C$1000,"Auditoría Externa")&gt;0,"Externa",""),IF(COUNTIFS($E$5:$E$1000,E943,$C$5:$C$1000,"SSF")&gt;0,"SSF",""),IF(COUNTIFS($E$5:$E$1000,E943,$C$5:$C$1000,"Comité de Supervisión")&gt;0,"Comité Sup.",""),IF(COUNTIFS($E$5:$E$1000,E943,$C$5:$C$1000,"Consejo de Administración")&gt;0,"Consejo",""),IF(COUNTIFS($E$5:$E$1000,E943,$C$5:$C$1000,"Otros")&gt;0,"Otros","")))</f>
        <v/>
      </c>
      <c r="X943" s="24" t="str">
        <f aca="false">IF(E943="","",COUNTIFS($E$5:$E$1000,E943,$AB$5:$AB$1000,AB943,$C$5:$C$1000,"&lt;&gt;"&amp;C943))</f>
        <v/>
      </c>
      <c r="Y943" s="33"/>
      <c r="Z943" s="31"/>
      <c r="AA943" s="33"/>
      <c r="AB943" s="37" t="str">
        <f aca="false">IF(B943="","",YEAR(B943)*100+MONTH(B943))</f>
        <v/>
      </c>
      <c r="AC943" s="37" t="str">
        <f aca="false">IF(AND(E943&lt;&gt;"",E943=Cruce!$C$5),COUNTIF($E$5:E943,E943),"")</f>
        <v/>
      </c>
      <c r="AD943" s="37" t="str">
        <f aca="false">IF(E943="","",C943&amp;"|"&amp;Y943&amp;"|"&amp;IF(B943="","s/f",TEXT(B943,"yyyymmdd")))</f>
        <v/>
      </c>
      <c r="AE943" s="37" t="n">
        <f aca="false">IF(E943="",0,IF(COUNTIFS($E$5:E943,E943,$AD$5:AD943,AD943)=1,1,0))</f>
        <v>0</v>
      </c>
    </row>
    <row r="944" customFormat="false" ht="15" hidden="false" customHeight="true" outlineLevel="0" collapsed="false">
      <c r="A944" s="31"/>
      <c r="B944" s="30"/>
      <c r="C944" s="31"/>
      <c r="D944" s="31"/>
      <c r="E944" s="32"/>
      <c r="F944" s="32"/>
      <c r="G944" s="33"/>
      <c r="H944" s="31"/>
      <c r="I944" s="24" t="str">
        <f aca="false">IF(B944="","",YEAR(B944))</f>
        <v/>
      </c>
      <c r="J944" s="34" t="str">
        <f aca="false">IF(B944="","",IF(MONTH(B944)=1,"X",""))</f>
        <v/>
      </c>
      <c r="K944" s="34" t="str">
        <f aca="false">IF(B944="","",IF(MONTH(B944)=2,"X",""))</f>
        <v/>
      </c>
      <c r="L944" s="34" t="str">
        <f aca="false">IF(B944="","",IF(MONTH(B944)=3,"X",""))</f>
        <v/>
      </c>
      <c r="M944" s="34" t="str">
        <f aca="false">IF(B944="","",IF(MONTH(B944)=4,"X",""))</f>
        <v/>
      </c>
      <c r="N944" s="34" t="str">
        <f aca="false">IF(B944="","",IF(MONTH(B944)=5,"X",""))</f>
        <v/>
      </c>
      <c r="O944" s="34" t="str">
        <f aca="false">IF(B944="","",IF(MONTH(B944)=6,"X",""))</f>
        <v/>
      </c>
      <c r="P944" s="34" t="str">
        <f aca="false">IF(B944="","",IF(MONTH(B944)=7,"X",""))</f>
        <v/>
      </c>
      <c r="Q944" s="34" t="str">
        <f aca="false">IF(B944="","",IF(MONTH(B944)=8,"X",""))</f>
        <v/>
      </c>
      <c r="R944" s="34" t="str">
        <f aca="false">IF(B944="","",IF(MONTH(B944)=9,"X",""))</f>
        <v/>
      </c>
      <c r="S944" s="34" t="str">
        <f aca="false">IF(B944="","",IF(MONTH(B944)=10,"X",""))</f>
        <v/>
      </c>
      <c r="T944" s="34" t="str">
        <f aca="false">IF(B944="","",IF(MONTH(B944)=11,"X",""))</f>
        <v/>
      </c>
      <c r="U944" s="34" t="str">
        <f aca="false">IF(B944="","",IF(MONTH(B944)=12,"X",""))</f>
        <v/>
      </c>
      <c r="V944" s="24" t="str">
        <f aca="false">IF(E944="","",COUNTIF($E$5:$E$1000,E944))</f>
        <v/>
      </c>
      <c r="W944" s="35" t="str">
        <f aca="false">IF(E944="","",_xlfn.TEXTJOIN(" + ",TRUE(),IF(COUNTIFS($E$5:$E$1000,E944,$C$5:$C$1000,"Auditoría Interna")&gt;0,"Interna",""),IF(COUNTIFS($E$5:$E$1000,E944,$C$5:$C$1000,"Auditoría Externa")&gt;0,"Externa",""),IF(COUNTIFS($E$5:$E$1000,E944,$C$5:$C$1000,"SSF")&gt;0,"SSF",""),IF(COUNTIFS($E$5:$E$1000,E944,$C$5:$C$1000,"Comité de Supervisión")&gt;0,"Comité Sup.",""),IF(COUNTIFS($E$5:$E$1000,E944,$C$5:$C$1000,"Consejo de Administración")&gt;0,"Consejo",""),IF(COUNTIFS($E$5:$E$1000,E944,$C$5:$C$1000,"Otros")&gt;0,"Otros","")))</f>
        <v/>
      </c>
      <c r="X944" s="24" t="str">
        <f aca="false">IF(E944="","",COUNTIFS($E$5:$E$1000,E944,$AB$5:$AB$1000,AB944,$C$5:$C$1000,"&lt;&gt;"&amp;C944))</f>
        <v/>
      </c>
      <c r="Y944" s="33"/>
      <c r="Z944" s="31"/>
      <c r="AA944" s="33"/>
      <c r="AB944" s="37" t="str">
        <f aca="false">IF(B944="","",YEAR(B944)*100+MONTH(B944))</f>
        <v/>
      </c>
      <c r="AC944" s="37" t="str">
        <f aca="false">IF(AND(E944&lt;&gt;"",E944=Cruce!$C$5),COUNTIF($E$5:E944,E944),"")</f>
        <v/>
      </c>
      <c r="AD944" s="37" t="str">
        <f aca="false">IF(E944="","",C944&amp;"|"&amp;Y944&amp;"|"&amp;IF(B944="","s/f",TEXT(B944,"yyyymmdd")))</f>
        <v/>
      </c>
      <c r="AE944" s="37" t="n">
        <f aca="false">IF(E944="",0,IF(COUNTIFS($E$5:E944,E944,$AD$5:AD944,AD944)=1,1,0))</f>
        <v>0</v>
      </c>
    </row>
    <row r="945" customFormat="false" ht="15" hidden="false" customHeight="true" outlineLevel="0" collapsed="false">
      <c r="A945" s="31"/>
      <c r="B945" s="30"/>
      <c r="C945" s="31"/>
      <c r="D945" s="31"/>
      <c r="E945" s="32"/>
      <c r="F945" s="32"/>
      <c r="G945" s="33"/>
      <c r="H945" s="31"/>
      <c r="I945" s="24" t="str">
        <f aca="false">IF(B945="","",YEAR(B945))</f>
        <v/>
      </c>
      <c r="J945" s="34" t="str">
        <f aca="false">IF(B945="","",IF(MONTH(B945)=1,"X",""))</f>
        <v/>
      </c>
      <c r="K945" s="34" t="str">
        <f aca="false">IF(B945="","",IF(MONTH(B945)=2,"X",""))</f>
        <v/>
      </c>
      <c r="L945" s="34" t="str">
        <f aca="false">IF(B945="","",IF(MONTH(B945)=3,"X",""))</f>
        <v/>
      </c>
      <c r="M945" s="34" t="str">
        <f aca="false">IF(B945="","",IF(MONTH(B945)=4,"X",""))</f>
        <v/>
      </c>
      <c r="N945" s="34" t="str">
        <f aca="false">IF(B945="","",IF(MONTH(B945)=5,"X",""))</f>
        <v/>
      </c>
      <c r="O945" s="34" t="str">
        <f aca="false">IF(B945="","",IF(MONTH(B945)=6,"X",""))</f>
        <v/>
      </c>
      <c r="P945" s="34" t="str">
        <f aca="false">IF(B945="","",IF(MONTH(B945)=7,"X",""))</f>
        <v/>
      </c>
      <c r="Q945" s="34" t="str">
        <f aca="false">IF(B945="","",IF(MONTH(B945)=8,"X",""))</f>
        <v/>
      </c>
      <c r="R945" s="34" t="str">
        <f aca="false">IF(B945="","",IF(MONTH(B945)=9,"X",""))</f>
        <v/>
      </c>
      <c r="S945" s="34" t="str">
        <f aca="false">IF(B945="","",IF(MONTH(B945)=10,"X",""))</f>
        <v/>
      </c>
      <c r="T945" s="34" t="str">
        <f aca="false">IF(B945="","",IF(MONTH(B945)=11,"X",""))</f>
        <v/>
      </c>
      <c r="U945" s="34" t="str">
        <f aca="false">IF(B945="","",IF(MONTH(B945)=12,"X",""))</f>
        <v/>
      </c>
      <c r="V945" s="24" t="str">
        <f aca="false">IF(E945="","",COUNTIF($E$5:$E$1000,E945))</f>
        <v/>
      </c>
      <c r="W945" s="35" t="str">
        <f aca="false">IF(E945="","",_xlfn.TEXTJOIN(" + ",TRUE(),IF(COUNTIFS($E$5:$E$1000,E945,$C$5:$C$1000,"Auditoría Interna")&gt;0,"Interna",""),IF(COUNTIFS($E$5:$E$1000,E945,$C$5:$C$1000,"Auditoría Externa")&gt;0,"Externa",""),IF(COUNTIFS($E$5:$E$1000,E945,$C$5:$C$1000,"SSF")&gt;0,"SSF",""),IF(COUNTIFS($E$5:$E$1000,E945,$C$5:$C$1000,"Comité de Supervisión")&gt;0,"Comité Sup.",""),IF(COUNTIFS($E$5:$E$1000,E945,$C$5:$C$1000,"Consejo de Administración")&gt;0,"Consejo",""),IF(COUNTIFS($E$5:$E$1000,E945,$C$5:$C$1000,"Otros")&gt;0,"Otros","")))</f>
        <v/>
      </c>
      <c r="X945" s="24" t="str">
        <f aca="false">IF(E945="","",COUNTIFS($E$5:$E$1000,E945,$AB$5:$AB$1000,AB945,$C$5:$C$1000,"&lt;&gt;"&amp;C945))</f>
        <v/>
      </c>
      <c r="Y945" s="33"/>
      <c r="Z945" s="31"/>
      <c r="AA945" s="33"/>
      <c r="AB945" s="37" t="str">
        <f aca="false">IF(B945="","",YEAR(B945)*100+MONTH(B945))</f>
        <v/>
      </c>
      <c r="AC945" s="37" t="str">
        <f aca="false">IF(AND(E945&lt;&gt;"",E945=Cruce!$C$5),COUNTIF($E$5:E945,E945),"")</f>
        <v/>
      </c>
      <c r="AD945" s="37" t="str">
        <f aca="false">IF(E945="","",C945&amp;"|"&amp;Y945&amp;"|"&amp;IF(B945="","s/f",TEXT(B945,"yyyymmdd")))</f>
        <v/>
      </c>
      <c r="AE945" s="37" t="n">
        <f aca="false">IF(E945="",0,IF(COUNTIFS($E$5:E945,E945,$AD$5:AD945,AD945)=1,1,0))</f>
        <v>0</v>
      </c>
    </row>
    <row r="946" customFormat="false" ht="15" hidden="false" customHeight="true" outlineLevel="0" collapsed="false">
      <c r="A946" s="31"/>
      <c r="B946" s="30"/>
      <c r="C946" s="31"/>
      <c r="D946" s="31"/>
      <c r="E946" s="32"/>
      <c r="F946" s="32"/>
      <c r="G946" s="33"/>
      <c r="H946" s="31"/>
      <c r="I946" s="24" t="str">
        <f aca="false">IF(B946="","",YEAR(B946))</f>
        <v/>
      </c>
      <c r="J946" s="34" t="str">
        <f aca="false">IF(B946="","",IF(MONTH(B946)=1,"X",""))</f>
        <v/>
      </c>
      <c r="K946" s="34" t="str">
        <f aca="false">IF(B946="","",IF(MONTH(B946)=2,"X",""))</f>
        <v/>
      </c>
      <c r="L946" s="34" t="str">
        <f aca="false">IF(B946="","",IF(MONTH(B946)=3,"X",""))</f>
        <v/>
      </c>
      <c r="M946" s="34" t="str">
        <f aca="false">IF(B946="","",IF(MONTH(B946)=4,"X",""))</f>
        <v/>
      </c>
      <c r="N946" s="34" t="str">
        <f aca="false">IF(B946="","",IF(MONTH(B946)=5,"X",""))</f>
        <v/>
      </c>
      <c r="O946" s="34" t="str">
        <f aca="false">IF(B946="","",IF(MONTH(B946)=6,"X",""))</f>
        <v/>
      </c>
      <c r="P946" s="34" t="str">
        <f aca="false">IF(B946="","",IF(MONTH(B946)=7,"X",""))</f>
        <v/>
      </c>
      <c r="Q946" s="34" t="str">
        <f aca="false">IF(B946="","",IF(MONTH(B946)=8,"X",""))</f>
        <v/>
      </c>
      <c r="R946" s="34" t="str">
        <f aca="false">IF(B946="","",IF(MONTH(B946)=9,"X",""))</f>
        <v/>
      </c>
      <c r="S946" s="34" t="str">
        <f aca="false">IF(B946="","",IF(MONTH(B946)=10,"X",""))</f>
        <v/>
      </c>
      <c r="T946" s="34" t="str">
        <f aca="false">IF(B946="","",IF(MONTH(B946)=11,"X",""))</f>
        <v/>
      </c>
      <c r="U946" s="34" t="str">
        <f aca="false">IF(B946="","",IF(MONTH(B946)=12,"X",""))</f>
        <v/>
      </c>
      <c r="V946" s="24" t="str">
        <f aca="false">IF(E946="","",COUNTIF($E$5:$E$1000,E946))</f>
        <v/>
      </c>
      <c r="W946" s="35" t="str">
        <f aca="false">IF(E946="","",_xlfn.TEXTJOIN(" + ",TRUE(),IF(COUNTIFS($E$5:$E$1000,E946,$C$5:$C$1000,"Auditoría Interna")&gt;0,"Interna",""),IF(COUNTIFS($E$5:$E$1000,E946,$C$5:$C$1000,"Auditoría Externa")&gt;0,"Externa",""),IF(COUNTIFS($E$5:$E$1000,E946,$C$5:$C$1000,"SSF")&gt;0,"SSF",""),IF(COUNTIFS($E$5:$E$1000,E946,$C$5:$C$1000,"Comité de Supervisión")&gt;0,"Comité Sup.",""),IF(COUNTIFS($E$5:$E$1000,E946,$C$5:$C$1000,"Consejo de Administración")&gt;0,"Consejo",""),IF(COUNTIFS($E$5:$E$1000,E946,$C$5:$C$1000,"Otros")&gt;0,"Otros","")))</f>
        <v/>
      </c>
      <c r="X946" s="24" t="str">
        <f aca="false">IF(E946="","",COUNTIFS($E$5:$E$1000,E946,$AB$5:$AB$1000,AB946,$C$5:$C$1000,"&lt;&gt;"&amp;C946))</f>
        <v/>
      </c>
      <c r="Y946" s="33"/>
      <c r="Z946" s="31"/>
      <c r="AA946" s="33"/>
      <c r="AB946" s="37" t="str">
        <f aca="false">IF(B946="","",YEAR(B946)*100+MONTH(B946))</f>
        <v/>
      </c>
      <c r="AC946" s="37" t="str">
        <f aca="false">IF(AND(E946&lt;&gt;"",E946=Cruce!$C$5),COUNTIF($E$5:E946,E946),"")</f>
        <v/>
      </c>
      <c r="AD946" s="37" t="str">
        <f aca="false">IF(E946="","",C946&amp;"|"&amp;Y946&amp;"|"&amp;IF(B946="","s/f",TEXT(B946,"yyyymmdd")))</f>
        <v/>
      </c>
      <c r="AE946" s="37" t="n">
        <f aca="false">IF(E946="",0,IF(COUNTIFS($E$5:E946,E946,$AD$5:AD946,AD946)=1,1,0))</f>
        <v>0</v>
      </c>
    </row>
    <row r="947" customFormat="false" ht="15" hidden="false" customHeight="true" outlineLevel="0" collapsed="false">
      <c r="A947" s="31"/>
      <c r="B947" s="30"/>
      <c r="C947" s="31"/>
      <c r="D947" s="31"/>
      <c r="E947" s="32"/>
      <c r="F947" s="32"/>
      <c r="G947" s="33"/>
      <c r="H947" s="31"/>
      <c r="I947" s="24" t="str">
        <f aca="false">IF(B947="","",YEAR(B947))</f>
        <v/>
      </c>
      <c r="J947" s="34" t="str">
        <f aca="false">IF(B947="","",IF(MONTH(B947)=1,"X",""))</f>
        <v/>
      </c>
      <c r="K947" s="34" t="str">
        <f aca="false">IF(B947="","",IF(MONTH(B947)=2,"X",""))</f>
        <v/>
      </c>
      <c r="L947" s="34" t="str">
        <f aca="false">IF(B947="","",IF(MONTH(B947)=3,"X",""))</f>
        <v/>
      </c>
      <c r="M947" s="34" t="str">
        <f aca="false">IF(B947="","",IF(MONTH(B947)=4,"X",""))</f>
        <v/>
      </c>
      <c r="N947" s="34" t="str">
        <f aca="false">IF(B947="","",IF(MONTH(B947)=5,"X",""))</f>
        <v/>
      </c>
      <c r="O947" s="34" t="str">
        <f aca="false">IF(B947="","",IF(MONTH(B947)=6,"X",""))</f>
        <v/>
      </c>
      <c r="P947" s="34" t="str">
        <f aca="false">IF(B947="","",IF(MONTH(B947)=7,"X",""))</f>
        <v/>
      </c>
      <c r="Q947" s="34" t="str">
        <f aca="false">IF(B947="","",IF(MONTH(B947)=8,"X",""))</f>
        <v/>
      </c>
      <c r="R947" s="34" t="str">
        <f aca="false">IF(B947="","",IF(MONTH(B947)=9,"X",""))</f>
        <v/>
      </c>
      <c r="S947" s="34" t="str">
        <f aca="false">IF(B947="","",IF(MONTH(B947)=10,"X",""))</f>
        <v/>
      </c>
      <c r="T947" s="34" t="str">
        <f aca="false">IF(B947="","",IF(MONTH(B947)=11,"X",""))</f>
        <v/>
      </c>
      <c r="U947" s="34" t="str">
        <f aca="false">IF(B947="","",IF(MONTH(B947)=12,"X",""))</f>
        <v/>
      </c>
      <c r="V947" s="24" t="str">
        <f aca="false">IF(E947="","",COUNTIF($E$5:$E$1000,E947))</f>
        <v/>
      </c>
      <c r="W947" s="35" t="str">
        <f aca="false">IF(E947="","",_xlfn.TEXTJOIN(" + ",TRUE(),IF(COUNTIFS($E$5:$E$1000,E947,$C$5:$C$1000,"Auditoría Interna")&gt;0,"Interna",""),IF(COUNTIFS($E$5:$E$1000,E947,$C$5:$C$1000,"Auditoría Externa")&gt;0,"Externa",""),IF(COUNTIFS($E$5:$E$1000,E947,$C$5:$C$1000,"SSF")&gt;0,"SSF",""),IF(COUNTIFS($E$5:$E$1000,E947,$C$5:$C$1000,"Comité de Supervisión")&gt;0,"Comité Sup.",""),IF(COUNTIFS($E$5:$E$1000,E947,$C$5:$C$1000,"Consejo de Administración")&gt;0,"Consejo",""),IF(COUNTIFS($E$5:$E$1000,E947,$C$5:$C$1000,"Otros")&gt;0,"Otros","")))</f>
        <v/>
      </c>
      <c r="X947" s="24" t="str">
        <f aca="false">IF(E947="","",COUNTIFS($E$5:$E$1000,E947,$AB$5:$AB$1000,AB947,$C$5:$C$1000,"&lt;&gt;"&amp;C947))</f>
        <v/>
      </c>
      <c r="Y947" s="33"/>
      <c r="Z947" s="31"/>
      <c r="AA947" s="33"/>
      <c r="AB947" s="37" t="str">
        <f aca="false">IF(B947="","",YEAR(B947)*100+MONTH(B947))</f>
        <v/>
      </c>
      <c r="AC947" s="37" t="str">
        <f aca="false">IF(AND(E947&lt;&gt;"",E947=Cruce!$C$5),COUNTIF($E$5:E947,E947),"")</f>
        <v/>
      </c>
      <c r="AD947" s="37" t="str">
        <f aca="false">IF(E947="","",C947&amp;"|"&amp;Y947&amp;"|"&amp;IF(B947="","s/f",TEXT(B947,"yyyymmdd")))</f>
        <v/>
      </c>
      <c r="AE947" s="37" t="n">
        <f aca="false">IF(E947="",0,IF(COUNTIFS($E$5:E947,E947,$AD$5:AD947,AD947)=1,1,0))</f>
        <v>0</v>
      </c>
    </row>
    <row r="948" customFormat="false" ht="15" hidden="false" customHeight="true" outlineLevel="0" collapsed="false">
      <c r="A948" s="31"/>
      <c r="B948" s="30"/>
      <c r="C948" s="31"/>
      <c r="D948" s="31"/>
      <c r="E948" s="32"/>
      <c r="F948" s="32"/>
      <c r="G948" s="33"/>
      <c r="H948" s="31"/>
      <c r="I948" s="24" t="str">
        <f aca="false">IF(B948="","",YEAR(B948))</f>
        <v/>
      </c>
      <c r="J948" s="34" t="str">
        <f aca="false">IF(B948="","",IF(MONTH(B948)=1,"X",""))</f>
        <v/>
      </c>
      <c r="K948" s="34" t="str">
        <f aca="false">IF(B948="","",IF(MONTH(B948)=2,"X",""))</f>
        <v/>
      </c>
      <c r="L948" s="34" t="str">
        <f aca="false">IF(B948="","",IF(MONTH(B948)=3,"X",""))</f>
        <v/>
      </c>
      <c r="M948" s="34" t="str">
        <f aca="false">IF(B948="","",IF(MONTH(B948)=4,"X",""))</f>
        <v/>
      </c>
      <c r="N948" s="34" t="str">
        <f aca="false">IF(B948="","",IF(MONTH(B948)=5,"X",""))</f>
        <v/>
      </c>
      <c r="O948" s="34" t="str">
        <f aca="false">IF(B948="","",IF(MONTH(B948)=6,"X",""))</f>
        <v/>
      </c>
      <c r="P948" s="34" t="str">
        <f aca="false">IF(B948="","",IF(MONTH(B948)=7,"X",""))</f>
        <v/>
      </c>
      <c r="Q948" s="34" t="str">
        <f aca="false">IF(B948="","",IF(MONTH(B948)=8,"X",""))</f>
        <v/>
      </c>
      <c r="R948" s="34" t="str">
        <f aca="false">IF(B948="","",IF(MONTH(B948)=9,"X",""))</f>
        <v/>
      </c>
      <c r="S948" s="34" t="str">
        <f aca="false">IF(B948="","",IF(MONTH(B948)=10,"X",""))</f>
        <v/>
      </c>
      <c r="T948" s="34" t="str">
        <f aca="false">IF(B948="","",IF(MONTH(B948)=11,"X",""))</f>
        <v/>
      </c>
      <c r="U948" s="34" t="str">
        <f aca="false">IF(B948="","",IF(MONTH(B948)=12,"X",""))</f>
        <v/>
      </c>
      <c r="V948" s="24" t="str">
        <f aca="false">IF(E948="","",COUNTIF($E$5:$E$1000,E948))</f>
        <v/>
      </c>
      <c r="W948" s="35" t="str">
        <f aca="false">IF(E948="","",_xlfn.TEXTJOIN(" + ",TRUE(),IF(COUNTIFS($E$5:$E$1000,E948,$C$5:$C$1000,"Auditoría Interna")&gt;0,"Interna",""),IF(COUNTIFS($E$5:$E$1000,E948,$C$5:$C$1000,"Auditoría Externa")&gt;0,"Externa",""),IF(COUNTIFS($E$5:$E$1000,E948,$C$5:$C$1000,"SSF")&gt;0,"SSF",""),IF(COUNTIFS($E$5:$E$1000,E948,$C$5:$C$1000,"Comité de Supervisión")&gt;0,"Comité Sup.",""),IF(COUNTIFS($E$5:$E$1000,E948,$C$5:$C$1000,"Consejo de Administración")&gt;0,"Consejo",""),IF(COUNTIFS($E$5:$E$1000,E948,$C$5:$C$1000,"Otros")&gt;0,"Otros","")))</f>
        <v/>
      </c>
      <c r="X948" s="24" t="str">
        <f aca="false">IF(E948="","",COUNTIFS($E$5:$E$1000,E948,$AB$5:$AB$1000,AB948,$C$5:$C$1000,"&lt;&gt;"&amp;C948))</f>
        <v/>
      </c>
      <c r="Y948" s="33"/>
      <c r="Z948" s="31"/>
      <c r="AA948" s="33"/>
      <c r="AB948" s="37" t="str">
        <f aca="false">IF(B948="","",YEAR(B948)*100+MONTH(B948))</f>
        <v/>
      </c>
      <c r="AC948" s="37" t="str">
        <f aca="false">IF(AND(E948&lt;&gt;"",E948=Cruce!$C$5),COUNTIF($E$5:E948,E948),"")</f>
        <v/>
      </c>
      <c r="AD948" s="37" t="str">
        <f aca="false">IF(E948="","",C948&amp;"|"&amp;Y948&amp;"|"&amp;IF(B948="","s/f",TEXT(B948,"yyyymmdd")))</f>
        <v/>
      </c>
      <c r="AE948" s="37" t="n">
        <f aca="false">IF(E948="",0,IF(COUNTIFS($E$5:E948,E948,$AD$5:AD948,AD948)=1,1,0))</f>
        <v>0</v>
      </c>
    </row>
    <row r="949" customFormat="false" ht="15" hidden="false" customHeight="true" outlineLevel="0" collapsed="false">
      <c r="A949" s="31"/>
      <c r="B949" s="30"/>
      <c r="C949" s="31"/>
      <c r="D949" s="31"/>
      <c r="E949" s="32"/>
      <c r="F949" s="32"/>
      <c r="G949" s="33"/>
      <c r="H949" s="31"/>
      <c r="I949" s="24" t="str">
        <f aca="false">IF(B949="","",YEAR(B949))</f>
        <v/>
      </c>
      <c r="J949" s="34" t="str">
        <f aca="false">IF(B949="","",IF(MONTH(B949)=1,"X",""))</f>
        <v/>
      </c>
      <c r="K949" s="34" t="str">
        <f aca="false">IF(B949="","",IF(MONTH(B949)=2,"X",""))</f>
        <v/>
      </c>
      <c r="L949" s="34" t="str">
        <f aca="false">IF(B949="","",IF(MONTH(B949)=3,"X",""))</f>
        <v/>
      </c>
      <c r="M949" s="34" t="str">
        <f aca="false">IF(B949="","",IF(MONTH(B949)=4,"X",""))</f>
        <v/>
      </c>
      <c r="N949" s="34" t="str">
        <f aca="false">IF(B949="","",IF(MONTH(B949)=5,"X",""))</f>
        <v/>
      </c>
      <c r="O949" s="34" t="str">
        <f aca="false">IF(B949="","",IF(MONTH(B949)=6,"X",""))</f>
        <v/>
      </c>
      <c r="P949" s="34" t="str">
        <f aca="false">IF(B949="","",IF(MONTH(B949)=7,"X",""))</f>
        <v/>
      </c>
      <c r="Q949" s="34" t="str">
        <f aca="false">IF(B949="","",IF(MONTH(B949)=8,"X",""))</f>
        <v/>
      </c>
      <c r="R949" s="34" t="str">
        <f aca="false">IF(B949="","",IF(MONTH(B949)=9,"X",""))</f>
        <v/>
      </c>
      <c r="S949" s="34" t="str">
        <f aca="false">IF(B949="","",IF(MONTH(B949)=10,"X",""))</f>
        <v/>
      </c>
      <c r="T949" s="34" t="str">
        <f aca="false">IF(B949="","",IF(MONTH(B949)=11,"X",""))</f>
        <v/>
      </c>
      <c r="U949" s="34" t="str">
        <f aca="false">IF(B949="","",IF(MONTH(B949)=12,"X",""))</f>
        <v/>
      </c>
      <c r="V949" s="24" t="str">
        <f aca="false">IF(E949="","",COUNTIF($E$5:$E$1000,E949))</f>
        <v/>
      </c>
      <c r="W949" s="35" t="str">
        <f aca="false">IF(E949="","",_xlfn.TEXTJOIN(" + ",TRUE(),IF(COUNTIFS($E$5:$E$1000,E949,$C$5:$C$1000,"Auditoría Interna")&gt;0,"Interna",""),IF(COUNTIFS($E$5:$E$1000,E949,$C$5:$C$1000,"Auditoría Externa")&gt;0,"Externa",""),IF(COUNTIFS($E$5:$E$1000,E949,$C$5:$C$1000,"SSF")&gt;0,"SSF",""),IF(COUNTIFS($E$5:$E$1000,E949,$C$5:$C$1000,"Comité de Supervisión")&gt;0,"Comité Sup.",""),IF(COUNTIFS($E$5:$E$1000,E949,$C$5:$C$1000,"Consejo de Administración")&gt;0,"Consejo",""),IF(COUNTIFS($E$5:$E$1000,E949,$C$5:$C$1000,"Otros")&gt;0,"Otros","")))</f>
        <v/>
      </c>
      <c r="X949" s="24" t="str">
        <f aca="false">IF(E949="","",COUNTIFS($E$5:$E$1000,E949,$AB$5:$AB$1000,AB949,$C$5:$C$1000,"&lt;&gt;"&amp;C949))</f>
        <v/>
      </c>
      <c r="Y949" s="33"/>
      <c r="Z949" s="31"/>
      <c r="AA949" s="33"/>
      <c r="AB949" s="37" t="str">
        <f aca="false">IF(B949="","",YEAR(B949)*100+MONTH(B949))</f>
        <v/>
      </c>
      <c r="AC949" s="37" t="str">
        <f aca="false">IF(AND(E949&lt;&gt;"",E949=Cruce!$C$5),COUNTIF($E$5:E949,E949),"")</f>
        <v/>
      </c>
      <c r="AD949" s="37" t="str">
        <f aca="false">IF(E949="","",C949&amp;"|"&amp;Y949&amp;"|"&amp;IF(B949="","s/f",TEXT(B949,"yyyymmdd")))</f>
        <v/>
      </c>
      <c r="AE949" s="37" t="n">
        <f aca="false">IF(E949="",0,IF(COUNTIFS($E$5:E949,E949,$AD$5:AD949,AD949)=1,1,0))</f>
        <v>0</v>
      </c>
    </row>
    <row r="950" customFormat="false" ht="15" hidden="false" customHeight="true" outlineLevel="0" collapsed="false">
      <c r="A950" s="31"/>
      <c r="B950" s="30"/>
      <c r="C950" s="31"/>
      <c r="D950" s="31"/>
      <c r="E950" s="32"/>
      <c r="F950" s="32"/>
      <c r="G950" s="33"/>
      <c r="H950" s="31"/>
      <c r="I950" s="24" t="str">
        <f aca="false">IF(B950="","",YEAR(B950))</f>
        <v/>
      </c>
      <c r="J950" s="34" t="str">
        <f aca="false">IF(B950="","",IF(MONTH(B950)=1,"X",""))</f>
        <v/>
      </c>
      <c r="K950" s="34" t="str">
        <f aca="false">IF(B950="","",IF(MONTH(B950)=2,"X",""))</f>
        <v/>
      </c>
      <c r="L950" s="34" t="str">
        <f aca="false">IF(B950="","",IF(MONTH(B950)=3,"X",""))</f>
        <v/>
      </c>
      <c r="M950" s="34" t="str">
        <f aca="false">IF(B950="","",IF(MONTH(B950)=4,"X",""))</f>
        <v/>
      </c>
      <c r="N950" s="34" t="str">
        <f aca="false">IF(B950="","",IF(MONTH(B950)=5,"X",""))</f>
        <v/>
      </c>
      <c r="O950" s="34" t="str">
        <f aca="false">IF(B950="","",IF(MONTH(B950)=6,"X",""))</f>
        <v/>
      </c>
      <c r="P950" s="34" t="str">
        <f aca="false">IF(B950="","",IF(MONTH(B950)=7,"X",""))</f>
        <v/>
      </c>
      <c r="Q950" s="34" t="str">
        <f aca="false">IF(B950="","",IF(MONTH(B950)=8,"X",""))</f>
        <v/>
      </c>
      <c r="R950" s="34" t="str">
        <f aca="false">IF(B950="","",IF(MONTH(B950)=9,"X",""))</f>
        <v/>
      </c>
      <c r="S950" s="34" t="str">
        <f aca="false">IF(B950="","",IF(MONTH(B950)=10,"X",""))</f>
        <v/>
      </c>
      <c r="T950" s="34" t="str">
        <f aca="false">IF(B950="","",IF(MONTH(B950)=11,"X",""))</f>
        <v/>
      </c>
      <c r="U950" s="34" t="str">
        <f aca="false">IF(B950="","",IF(MONTH(B950)=12,"X",""))</f>
        <v/>
      </c>
      <c r="V950" s="24" t="str">
        <f aca="false">IF(E950="","",COUNTIF($E$5:$E$1000,E950))</f>
        <v/>
      </c>
      <c r="W950" s="35" t="str">
        <f aca="false">IF(E950="","",_xlfn.TEXTJOIN(" + ",TRUE(),IF(COUNTIFS($E$5:$E$1000,E950,$C$5:$C$1000,"Auditoría Interna")&gt;0,"Interna",""),IF(COUNTIFS($E$5:$E$1000,E950,$C$5:$C$1000,"Auditoría Externa")&gt;0,"Externa",""),IF(COUNTIFS($E$5:$E$1000,E950,$C$5:$C$1000,"SSF")&gt;0,"SSF",""),IF(COUNTIFS($E$5:$E$1000,E950,$C$5:$C$1000,"Comité de Supervisión")&gt;0,"Comité Sup.",""),IF(COUNTIFS($E$5:$E$1000,E950,$C$5:$C$1000,"Consejo de Administración")&gt;0,"Consejo",""),IF(COUNTIFS($E$5:$E$1000,E950,$C$5:$C$1000,"Otros")&gt;0,"Otros","")))</f>
        <v/>
      </c>
      <c r="X950" s="24" t="str">
        <f aca="false">IF(E950="","",COUNTIFS($E$5:$E$1000,E950,$AB$5:$AB$1000,AB950,$C$5:$C$1000,"&lt;&gt;"&amp;C950))</f>
        <v/>
      </c>
      <c r="Y950" s="33"/>
      <c r="Z950" s="31"/>
      <c r="AA950" s="33"/>
      <c r="AB950" s="37" t="str">
        <f aca="false">IF(B950="","",YEAR(B950)*100+MONTH(B950))</f>
        <v/>
      </c>
      <c r="AC950" s="37" t="str">
        <f aca="false">IF(AND(E950&lt;&gt;"",E950=Cruce!$C$5),COUNTIF($E$5:E950,E950),"")</f>
        <v/>
      </c>
      <c r="AD950" s="37" t="str">
        <f aca="false">IF(E950="","",C950&amp;"|"&amp;Y950&amp;"|"&amp;IF(B950="","s/f",TEXT(B950,"yyyymmdd")))</f>
        <v/>
      </c>
      <c r="AE950" s="37" t="n">
        <f aca="false">IF(E950="",0,IF(COUNTIFS($E$5:E950,E950,$AD$5:AD950,AD950)=1,1,0))</f>
        <v>0</v>
      </c>
    </row>
    <row r="951" customFormat="false" ht="15" hidden="false" customHeight="true" outlineLevel="0" collapsed="false">
      <c r="A951" s="31"/>
      <c r="B951" s="30"/>
      <c r="C951" s="31"/>
      <c r="D951" s="31"/>
      <c r="E951" s="32"/>
      <c r="F951" s="32"/>
      <c r="G951" s="33"/>
      <c r="H951" s="31"/>
      <c r="I951" s="24" t="str">
        <f aca="false">IF(B951="","",YEAR(B951))</f>
        <v/>
      </c>
      <c r="J951" s="34" t="str">
        <f aca="false">IF(B951="","",IF(MONTH(B951)=1,"X",""))</f>
        <v/>
      </c>
      <c r="K951" s="34" t="str">
        <f aca="false">IF(B951="","",IF(MONTH(B951)=2,"X",""))</f>
        <v/>
      </c>
      <c r="L951" s="34" t="str">
        <f aca="false">IF(B951="","",IF(MONTH(B951)=3,"X",""))</f>
        <v/>
      </c>
      <c r="M951" s="34" t="str">
        <f aca="false">IF(B951="","",IF(MONTH(B951)=4,"X",""))</f>
        <v/>
      </c>
      <c r="N951" s="34" t="str">
        <f aca="false">IF(B951="","",IF(MONTH(B951)=5,"X",""))</f>
        <v/>
      </c>
      <c r="O951" s="34" t="str">
        <f aca="false">IF(B951="","",IF(MONTH(B951)=6,"X",""))</f>
        <v/>
      </c>
      <c r="P951" s="34" t="str">
        <f aca="false">IF(B951="","",IF(MONTH(B951)=7,"X",""))</f>
        <v/>
      </c>
      <c r="Q951" s="34" t="str">
        <f aca="false">IF(B951="","",IF(MONTH(B951)=8,"X",""))</f>
        <v/>
      </c>
      <c r="R951" s="34" t="str">
        <f aca="false">IF(B951="","",IF(MONTH(B951)=9,"X",""))</f>
        <v/>
      </c>
      <c r="S951" s="34" t="str">
        <f aca="false">IF(B951="","",IF(MONTH(B951)=10,"X",""))</f>
        <v/>
      </c>
      <c r="T951" s="34" t="str">
        <f aca="false">IF(B951="","",IF(MONTH(B951)=11,"X",""))</f>
        <v/>
      </c>
      <c r="U951" s="34" t="str">
        <f aca="false">IF(B951="","",IF(MONTH(B951)=12,"X",""))</f>
        <v/>
      </c>
      <c r="V951" s="24" t="str">
        <f aca="false">IF(E951="","",COUNTIF($E$5:$E$1000,E951))</f>
        <v/>
      </c>
      <c r="W951" s="35" t="str">
        <f aca="false">IF(E951="","",_xlfn.TEXTJOIN(" + ",TRUE(),IF(COUNTIFS($E$5:$E$1000,E951,$C$5:$C$1000,"Auditoría Interna")&gt;0,"Interna",""),IF(COUNTIFS($E$5:$E$1000,E951,$C$5:$C$1000,"Auditoría Externa")&gt;0,"Externa",""),IF(COUNTIFS($E$5:$E$1000,E951,$C$5:$C$1000,"SSF")&gt;0,"SSF",""),IF(COUNTIFS($E$5:$E$1000,E951,$C$5:$C$1000,"Comité de Supervisión")&gt;0,"Comité Sup.",""),IF(COUNTIFS($E$5:$E$1000,E951,$C$5:$C$1000,"Consejo de Administración")&gt;0,"Consejo",""),IF(COUNTIFS($E$5:$E$1000,E951,$C$5:$C$1000,"Otros")&gt;0,"Otros","")))</f>
        <v/>
      </c>
      <c r="X951" s="24" t="str">
        <f aca="false">IF(E951="","",COUNTIFS($E$5:$E$1000,E951,$AB$5:$AB$1000,AB951,$C$5:$C$1000,"&lt;&gt;"&amp;C951))</f>
        <v/>
      </c>
      <c r="Y951" s="33"/>
      <c r="Z951" s="31"/>
      <c r="AA951" s="33"/>
      <c r="AB951" s="37" t="str">
        <f aca="false">IF(B951="","",YEAR(B951)*100+MONTH(B951))</f>
        <v/>
      </c>
      <c r="AC951" s="37" t="str">
        <f aca="false">IF(AND(E951&lt;&gt;"",E951=Cruce!$C$5),COUNTIF($E$5:E951,E951),"")</f>
        <v/>
      </c>
      <c r="AD951" s="37" t="str">
        <f aca="false">IF(E951="","",C951&amp;"|"&amp;Y951&amp;"|"&amp;IF(B951="","s/f",TEXT(B951,"yyyymmdd")))</f>
        <v/>
      </c>
      <c r="AE951" s="37" t="n">
        <f aca="false">IF(E951="",0,IF(COUNTIFS($E$5:E951,E951,$AD$5:AD951,AD951)=1,1,0))</f>
        <v>0</v>
      </c>
    </row>
    <row r="952" customFormat="false" ht="15" hidden="false" customHeight="true" outlineLevel="0" collapsed="false">
      <c r="A952" s="31"/>
      <c r="B952" s="30"/>
      <c r="C952" s="31"/>
      <c r="D952" s="31"/>
      <c r="E952" s="32"/>
      <c r="F952" s="32"/>
      <c r="G952" s="33"/>
      <c r="H952" s="31"/>
      <c r="I952" s="24" t="str">
        <f aca="false">IF(B952="","",YEAR(B952))</f>
        <v/>
      </c>
      <c r="J952" s="34" t="str">
        <f aca="false">IF(B952="","",IF(MONTH(B952)=1,"X",""))</f>
        <v/>
      </c>
      <c r="K952" s="34" t="str">
        <f aca="false">IF(B952="","",IF(MONTH(B952)=2,"X",""))</f>
        <v/>
      </c>
      <c r="L952" s="34" t="str">
        <f aca="false">IF(B952="","",IF(MONTH(B952)=3,"X",""))</f>
        <v/>
      </c>
      <c r="M952" s="34" t="str">
        <f aca="false">IF(B952="","",IF(MONTH(B952)=4,"X",""))</f>
        <v/>
      </c>
      <c r="N952" s="34" t="str">
        <f aca="false">IF(B952="","",IF(MONTH(B952)=5,"X",""))</f>
        <v/>
      </c>
      <c r="O952" s="34" t="str">
        <f aca="false">IF(B952="","",IF(MONTH(B952)=6,"X",""))</f>
        <v/>
      </c>
      <c r="P952" s="34" t="str">
        <f aca="false">IF(B952="","",IF(MONTH(B952)=7,"X",""))</f>
        <v/>
      </c>
      <c r="Q952" s="34" t="str">
        <f aca="false">IF(B952="","",IF(MONTH(B952)=8,"X",""))</f>
        <v/>
      </c>
      <c r="R952" s="34" t="str">
        <f aca="false">IF(B952="","",IF(MONTH(B952)=9,"X",""))</f>
        <v/>
      </c>
      <c r="S952" s="34" t="str">
        <f aca="false">IF(B952="","",IF(MONTH(B952)=10,"X",""))</f>
        <v/>
      </c>
      <c r="T952" s="34" t="str">
        <f aca="false">IF(B952="","",IF(MONTH(B952)=11,"X",""))</f>
        <v/>
      </c>
      <c r="U952" s="34" t="str">
        <f aca="false">IF(B952="","",IF(MONTH(B952)=12,"X",""))</f>
        <v/>
      </c>
      <c r="V952" s="24" t="str">
        <f aca="false">IF(E952="","",COUNTIF($E$5:$E$1000,E952))</f>
        <v/>
      </c>
      <c r="W952" s="35" t="str">
        <f aca="false">IF(E952="","",_xlfn.TEXTJOIN(" + ",TRUE(),IF(COUNTIFS($E$5:$E$1000,E952,$C$5:$C$1000,"Auditoría Interna")&gt;0,"Interna",""),IF(COUNTIFS($E$5:$E$1000,E952,$C$5:$C$1000,"Auditoría Externa")&gt;0,"Externa",""),IF(COUNTIFS($E$5:$E$1000,E952,$C$5:$C$1000,"SSF")&gt;0,"SSF",""),IF(COUNTIFS($E$5:$E$1000,E952,$C$5:$C$1000,"Comité de Supervisión")&gt;0,"Comité Sup.",""),IF(COUNTIFS($E$5:$E$1000,E952,$C$5:$C$1000,"Consejo de Administración")&gt;0,"Consejo",""),IF(COUNTIFS($E$5:$E$1000,E952,$C$5:$C$1000,"Otros")&gt;0,"Otros","")))</f>
        <v/>
      </c>
      <c r="X952" s="24" t="str">
        <f aca="false">IF(E952="","",COUNTIFS($E$5:$E$1000,E952,$AB$5:$AB$1000,AB952,$C$5:$C$1000,"&lt;&gt;"&amp;C952))</f>
        <v/>
      </c>
      <c r="Y952" s="33"/>
      <c r="Z952" s="31"/>
      <c r="AA952" s="33"/>
      <c r="AB952" s="37" t="str">
        <f aca="false">IF(B952="","",YEAR(B952)*100+MONTH(B952))</f>
        <v/>
      </c>
      <c r="AC952" s="37" t="str">
        <f aca="false">IF(AND(E952&lt;&gt;"",E952=Cruce!$C$5),COUNTIF($E$5:E952,E952),"")</f>
        <v/>
      </c>
      <c r="AD952" s="37" t="str">
        <f aca="false">IF(E952="","",C952&amp;"|"&amp;Y952&amp;"|"&amp;IF(B952="","s/f",TEXT(B952,"yyyymmdd")))</f>
        <v/>
      </c>
      <c r="AE952" s="37" t="n">
        <f aca="false">IF(E952="",0,IF(COUNTIFS($E$5:E952,E952,$AD$5:AD952,AD952)=1,1,0))</f>
        <v>0</v>
      </c>
    </row>
    <row r="953" customFormat="false" ht="15" hidden="false" customHeight="true" outlineLevel="0" collapsed="false">
      <c r="A953" s="31"/>
      <c r="B953" s="30"/>
      <c r="C953" s="31"/>
      <c r="D953" s="31"/>
      <c r="E953" s="32"/>
      <c r="F953" s="32"/>
      <c r="G953" s="33"/>
      <c r="H953" s="31"/>
      <c r="I953" s="24" t="str">
        <f aca="false">IF(B953="","",YEAR(B953))</f>
        <v/>
      </c>
      <c r="J953" s="34" t="str">
        <f aca="false">IF(B953="","",IF(MONTH(B953)=1,"X",""))</f>
        <v/>
      </c>
      <c r="K953" s="34" t="str">
        <f aca="false">IF(B953="","",IF(MONTH(B953)=2,"X",""))</f>
        <v/>
      </c>
      <c r="L953" s="34" t="str">
        <f aca="false">IF(B953="","",IF(MONTH(B953)=3,"X",""))</f>
        <v/>
      </c>
      <c r="M953" s="34" t="str">
        <f aca="false">IF(B953="","",IF(MONTH(B953)=4,"X",""))</f>
        <v/>
      </c>
      <c r="N953" s="34" t="str">
        <f aca="false">IF(B953="","",IF(MONTH(B953)=5,"X",""))</f>
        <v/>
      </c>
      <c r="O953" s="34" t="str">
        <f aca="false">IF(B953="","",IF(MONTH(B953)=6,"X",""))</f>
        <v/>
      </c>
      <c r="P953" s="34" t="str">
        <f aca="false">IF(B953="","",IF(MONTH(B953)=7,"X",""))</f>
        <v/>
      </c>
      <c r="Q953" s="34" t="str">
        <f aca="false">IF(B953="","",IF(MONTH(B953)=8,"X",""))</f>
        <v/>
      </c>
      <c r="R953" s="34" t="str">
        <f aca="false">IF(B953="","",IF(MONTH(B953)=9,"X",""))</f>
        <v/>
      </c>
      <c r="S953" s="34" t="str">
        <f aca="false">IF(B953="","",IF(MONTH(B953)=10,"X",""))</f>
        <v/>
      </c>
      <c r="T953" s="34" t="str">
        <f aca="false">IF(B953="","",IF(MONTH(B953)=11,"X",""))</f>
        <v/>
      </c>
      <c r="U953" s="34" t="str">
        <f aca="false">IF(B953="","",IF(MONTH(B953)=12,"X",""))</f>
        <v/>
      </c>
      <c r="V953" s="24" t="str">
        <f aca="false">IF(E953="","",COUNTIF($E$5:$E$1000,E953))</f>
        <v/>
      </c>
      <c r="W953" s="35" t="str">
        <f aca="false">IF(E953="","",_xlfn.TEXTJOIN(" + ",TRUE(),IF(COUNTIFS($E$5:$E$1000,E953,$C$5:$C$1000,"Auditoría Interna")&gt;0,"Interna",""),IF(COUNTIFS($E$5:$E$1000,E953,$C$5:$C$1000,"Auditoría Externa")&gt;0,"Externa",""),IF(COUNTIFS($E$5:$E$1000,E953,$C$5:$C$1000,"SSF")&gt;0,"SSF",""),IF(COUNTIFS($E$5:$E$1000,E953,$C$5:$C$1000,"Comité de Supervisión")&gt;0,"Comité Sup.",""),IF(COUNTIFS($E$5:$E$1000,E953,$C$5:$C$1000,"Consejo de Administración")&gt;0,"Consejo",""),IF(COUNTIFS($E$5:$E$1000,E953,$C$5:$C$1000,"Otros")&gt;0,"Otros","")))</f>
        <v/>
      </c>
      <c r="X953" s="24" t="str">
        <f aca="false">IF(E953="","",COUNTIFS($E$5:$E$1000,E953,$AB$5:$AB$1000,AB953,$C$5:$C$1000,"&lt;&gt;"&amp;C953))</f>
        <v/>
      </c>
      <c r="Y953" s="33"/>
      <c r="Z953" s="31"/>
      <c r="AA953" s="33"/>
      <c r="AB953" s="37" t="str">
        <f aca="false">IF(B953="","",YEAR(B953)*100+MONTH(B953))</f>
        <v/>
      </c>
      <c r="AC953" s="37" t="str">
        <f aca="false">IF(AND(E953&lt;&gt;"",E953=Cruce!$C$5),COUNTIF($E$5:E953,E953),"")</f>
        <v/>
      </c>
      <c r="AD953" s="37" t="str">
        <f aca="false">IF(E953="","",C953&amp;"|"&amp;Y953&amp;"|"&amp;IF(B953="","s/f",TEXT(B953,"yyyymmdd")))</f>
        <v/>
      </c>
      <c r="AE953" s="37" t="n">
        <f aca="false">IF(E953="",0,IF(COUNTIFS($E$5:E953,E953,$AD$5:AD953,AD953)=1,1,0))</f>
        <v>0</v>
      </c>
    </row>
    <row r="954" customFormat="false" ht="15" hidden="false" customHeight="true" outlineLevel="0" collapsed="false">
      <c r="A954" s="31"/>
      <c r="B954" s="30"/>
      <c r="C954" s="31"/>
      <c r="D954" s="31"/>
      <c r="E954" s="32"/>
      <c r="F954" s="32"/>
      <c r="G954" s="33"/>
      <c r="H954" s="31"/>
      <c r="I954" s="24" t="str">
        <f aca="false">IF(B954="","",YEAR(B954))</f>
        <v/>
      </c>
      <c r="J954" s="34" t="str">
        <f aca="false">IF(B954="","",IF(MONTH(B954)=1,"X",""))</f>
        <v/>
      </c>
      <c r="K954" s="34" t="str">
        <f aca="false">IF(B954="","",IF(MONTH(B954)=2,"X",""))</f>
        <v/>
      </c>
      <c r="L954" s="34" t="str">
        <f aca="false">IF(B954="","",IF(MONTH(B954)=3,"X",""))</f>
        <v/>
      </c>
      <c r="M954" s="34" t="str">
        <f aca="false">IF(B954="","",IF(MONTH(B954)=4,"X",""))</f>
        <v/>
      </c>
      <c r="N954" s="34" t="str">
        <f aca="false">IF(B954="","",IF(MONTH(B954)=5,"X",""))</f>
        <v/>
      </c>
      <c r="O954" s="34" t="str">
        <f aca="false">IF(B954="","",IF(MONTH(B954)=6,"X",""))</f>
        <v/>
      </c>
      <c r="P954" s="34" t="str">
        <f aca="false">IF(B954="","",IF(MONTH(B954)=7,"X",""))</f>
        <v/>
      </c>
      <c r="Q954" s="34" t="str">
        <f aca="false">IF(B954="","",IF(MONTH(B954)=8,"X",""))</f>
        <v/>
      </c>
      <c r="R954" s="34" t="str">
        <f aca="false">IF(B954="","",IF(MONTH(B954)=9,"X",""))</f>
        <v/>
      </c>
      <c r="S954" s="34" t="str">
        <f aca="false">IF(B954="","",IF(MONTH(B954)=10,"X",""))</f>
        <v/>
      </c>
      <c r="T954" s="34" t="str">
        <f aca="false">IF(B954="","",IF(MONTH(B954)=11,"X",""))</f>
        <v/>
      </c>
      <c r="U954" s="34" t="str">
        <f aca="false">IF(B954="","",IF(MONTH(B954)=12,"X",""))</f>
        <v/>
      </c>
      <c r="V954" s="24" t="str">
        <f aca="false">IF(E954="","",COUNTIF($E$5:$E$1000,E954))</f>
        <v/>
      </c>
      <c r="W954" s="35" t="str">
        <f aca="false">IF(E954="","",_xlfn.TEXTJOIN(" + ",TRUE(),IF(COUNTIFS($E$5:$E$1000,E954,$C$5:$C$1000,"Auditoría Interna")&gt;0,"Interna",""),IF(COUNTIFS($E$5:$E$1000,E954,$C$5:$C$1000,"Auditoría Externa")&gt;0,"Externa",""),IF(COUNTIFS($E$5:$E$1000,E954,$C$5:$C$1000,"SSF")&gt;0,"SSF",""),IF(COUNTIFS($E$5:$E$1000,E954,$C$5:$C$1000,"Comité de Supervisión")&gt;0,"Comité Sup.",""),IF(COUNTIFS($E$5:$E$1000,E954,$C$5:$C$1000,"Consejo de Administración")&gt;0,"Consejo",""),IF(COUNTIFS($E$5:$E$1000,E954,$C$5:$C$1000,"Otros")&gt;0,"Otros","")))</f>
        <v/>
      </c>
      <c r="X954" s="24" t="str">
        <f aca="false">IF(E954="","",COUNTIFS($E$5:$E$1000,E954,$AB$5:$AB$1000,AB954,$C$5:$C$1000,"&lt;&gt;"&amp;C954))</f>
        <v/>
      </c>
      <c r="Y954" s="33"/>
      <c r="Z954" s="31"/>
      <c r="AA954" s="33"/>
      <c r="AB954" s="37" t="str">
        <f aca="false">IF(B954="","",YEAR(B954)*100+MONTH(B954))</f>
        <v/>
      </c>
      <c r="AC954" s="37" t="str">
        <f aca="false">IF(AND(E954&lt;&gt;"",E954=Cruce!$C$5),COUNTIF($E$5:E954,E954),"")</f>
        <v/>
      </c>
      <c r="AD954" s="37" t="str">
        <f aca="false">IF(E954="","",C954&amp;"|"&amp;Y954&amp;"|"&amp;IF(B954="","s/f",TEXT(B954,"yyyymmdd")))</f>
        <v/>
      </c>
      <c r="AE954" s="37" t="n">
        <f aca="false">IF(E954="",0,IF(COUNTIFS($E$5:E954,E954,$AD$5:AD954,AD954)=1,1,0))</f>
        <v>0</v>
      </c>
    </row>
    <row r="955" customFormat="false" ht="15" hidden="false" customHeight="true" outlineLevel="0" collapsed="false">
      <c r="A955" s="31"/>
      <c r="B955" s="30"/>
      <c r="C955" s="31"/>
      <c r="D955" s="31"/>
      <c r="E955" s="32"/>
      <c r="F955" s="32"/>
      <c r="G955" s="33"/>
      <c r="H955" s="31"/>
      <c r="I955" s="24" t="str">
        <f aca="false">IF(B955="","",YEAR(B955))</f>
        <v/>
      </c>
      <c r="J955" s="34" t="str">
        <f aca="false">IF(B955="","",IF(MONTH(B955)=1,"X",""))</f>
        <v/>
      </c>
      <c r="K955" s="34" t="str">
        <f aca="false">IF(B955="","",IF(MONTH(B955)=2,"X",""))</f>
        <v/>
      </c>
      <c r="L955" s="34" t="str">
        <f aca="false">IF(B955="","",IF(MONTH(B955)=3,"X",""))</f>
        <v/>
      </c>
      <c r="M955" s="34" t="str">
        <f aca="false">IF(B955="","",IF(MONTH(B955)=4,"X",""))</f>
        <v/>
      </c>
      <c r="N955" s="34" t="str">
        <f aca="false">IF(B955="","",IF(MONTH(B955)=5,"X",""))</f>
        <v/>
      </c>
      <c r="O955" s="34" t="str">
        <f aca="false">IF(B955="","",IF(MONTH(B955)=6,"X",""))</f>
        <v/>
      </c>
      <c r="P955" s="34" t="str">
        <f aca="false">IF(B955="","",IF(MONTH(B955)=7,"X",""))</f>
        <v/>
      </c>
      <c r="Q955" s="34" t="str">
        <f aca="false">IF(B955="","",IF(MONTH(B955)=8,"X",""))</f>
        <v/>
      </c>
      <c r="R955" s="34" t="str">
        <f aca="false">IF(B955="","",IF(MONTH(B955)=9,"X",""))</f>
        <v/>
      </c>
      <c r="S955" s="34" t="str">
        <f aca="false">IF(B955="","",IF(MONTH(B955)=10,"X",""))</f>
        <v/>
      </c>
      <c r="T955" s="34" t="str">
        <f aca="false">IF(B955="","",IF(MONTH(B955)=11,"X",""))</f>
        <v/>
      </c>
      <c r="U955" s="34" t="str">
        <f aca="false">IF(B955="","",IF(MONTH(B955)=12,"X",""))</f>
        <v/>
      </c>
      <c r="V955" s="24" t="str">
        <f aca="false">IF(E955="","",COUNTIF($E$5:$E$1000,E955))</f>
        <v/>
      </c>
      <c r="W955" s="35" t="str">
        <f aca="false">IF(E955="","",_xlfn.TEXTJOIN(" + ",TRUE(),IF(COUNTIFS($E$5:$E$1000,E955,$C$5:$C$1000,"Auditoría Interna")&gt;0,"Interna",""),IF(COUNTIFS($E$5:$E$1000,E955,$C$5:$C$1000,"Auditoría Externa")&gt;0,"Externa",""),IF(COUNTIFS($E$5:$E$1000,E955,$C$5:$C$1000,"SSF")&gt;0,"SSF",""),IF(COUNTIFS($E$5:$E$1000,E955,$C$5:$C$1000,"Comité de Supervisión")&gt;0,"Comité Sup.",""),IF(COUNTIFS($E$5:$E$1000,E955,$C$5:$C$1000,"Consejo de Administración")&gt;0,"Consejo",""),IF(COUNTIFS($E$5:$E$1000,E955,$C$5:$C$1000,"Otros")&gt;0,"Otros","")))</f>
        <v/>
      </c>
      <c r="X955" s="24" t="str">
        <f aca="false">IF(E955="","",COUNTIFS($E$5:$E$1000,E955,$AB$5:$AB$1000,AB955,$C$5:$C$1000,"&lt;&gt;"&amp;C955))</f>
        <v/>
      </c>
      <c r="Y955" s="33"/>
      <c r="Z955" s="31"/>
      <c r="AA955" s="33"/>
      <c r="AB955" s="37" t="str">
        <f aca="false">IF(B955="","",YEAR(B955)*100+MONTH(B955))</f>
        <v/>
      </c>
      <c r="AC955" s="37" t="str">
        <f aca="false">IF(AND(E955&lt;&gt;"",E955=Cruce!$C$5),COUNTIF($E$5:E955,E955),"")</f>
        <v/>
      </c>
      <c r="AD955" s="37" t="str">
        <f aca="false">IF(E955="","",C955&amp;"|"&amp;Y955&amp;"|"&amp;IF(B955="","s/f",TEXT(B955,"yyyymmdd")))</f>
        <v/>
      </c>
      <c r="AE955" s="37" t="n">
        <f aca="false">IF(E955="",0,IF(COUNTIFS($E$5:E955,E955,$AD$5:AD955,AD955)=1,1,0))</f>
        <v>0</v>
      </c>
    </row>
    <row r="956" customFormat="false" ht="15" hidden="false" customHeight="true" outlineLevel="0" collapsed="false">
      <c r="A956" s="31"/>
      <c r="B956" s="30"/>
      <c r="C956" s="31"/>
      <c r="D956" s="31"/>
      <c r="E956" s="32"/>
      <c r="F956" s="32"/>
      <c r="G956" s="33"/>
      <c r="H956" s="31"/>
      <c r="I956" s="24" t="str">
        <f aca="false">IF(B956="","",YEAR(B956))</f>
        <v/>
      </c>
      <c r="J956" s="34" t="str">
        <f aca="false">IF(B956="","",IF(MONTH(B956)=1,"X",""))</f>
        <v/>
      </c>
      <c r="K956" s="34" t="str">
        <f aca="false">IF(B956="","",IF(MONTH(B956)=2,"X",""))</f>
        <v/>
      </c>
      <c r="L956" s="34" t="str">
        <f aca="false">IF(B956="","",IF(MONTH(B956)=3,"X",""))</f>
        <v/>
      </c>
      <c r="M956" s="34" t="str">
        <f aca="false">IF(B956="","",IF(MONTH(B956)=4,"X",""))</f>
        <v/>
      </c>
      <c r="N956" s="34" t="str">
        <f aca="false">IF(B956="","",IF(MONTH(B956)=5,"X",""))</f>
        <v/>
      </c>
      <c r="O956" s="34" t="str">
        <f aca="false">IF(B956="","",IF(MONTH(B956)=6,"X",""))</f>
        <v/>
      </c>
      <c r="P956" s="34" t="str">
        <f aca="false">IF(B956="","",IF(MONTH(B956)=7,"X",""))</f>
        <v/>
      </c>
      <c r="Q956" s="34" t="str">
        <f aca="false">IF(B956="","",IF(MONTH(B956)=8,"X",""))</f>
        <v/>
      </c>
      <c r="R956" s="34" t="str">
        <f aca="false">IF(B956="","",IF(MONTH(B956)=9,"X",""))</f>
        <v/>
      </c>
      <c r="S956" s="34" t="str">
        <f aca="false">IF(B956="","",IF(MONTH(B956)=10,"X",""))</f>
        <v/>
      </c>
      <c r="T956" s="34" t="str">
        <f aca="false">IF(B956="","",IF(MONTH(B956)=11,"X",""))</f>
        <v/>
      </c>
      <c r="U956" s="34" t="str">
        <f aca="false">IF(B956="","",IF(MONTH(B956)=12,"X",""))</f>
        <v/>
      </c>
      <c r="V956" s="24" t="str">
        <f aca="false">IF(E956="","",COUNTIF($E$5:$E$1000,E956))</f>
        <v/>
      </c>
      <c r="W956" s="35" t="str">
        <f aca="false">IF(E956="","",_xlfn.TEXTJOIN(" + ",TRUE(),IF(COUNTIFS($E$5:$E$1000,E956,$C$5:$C$1000,"Auditoría Interna")&gt;0,"Interna",""),IF(COUNTIFS($E$5:$E$1000,E956,$C$5:$C$1000,"Auditoría Externa")&gt;0,"Externa",""),IF(COUNTIFS($E$5:$E$1000,E956,$C$5:$C$1000,"SSF")&gt;0,"SSF",""),IF(COUNTIFS($E$5:$E$1000,E956,$C$5:$C$1000,"Comité de Supervisión")&gt;0,"Comité Sup.",""),IF(COUNTIFS($E$5:$E$1000,E956,$C$5:$C$1000,"Consejo de Administración")&gt;0,"Consejo",""),IF(COUNTIFS($E$5:$E$1000,E956,$C$5:$C$1000,"Otros")&gt;0,"Otros","")))</f>
        <v/>
      </c>
      <c r="X956" s="24" t="str">
        <f aca="false">IF(E956="","",COUNTIFS($E$5:$E$1000,E956,$AB$5:$AB$1000,AB956,$C$5:$C$1000,"&lt;&gt;"&amp;C956))</f>
        <v/>
      </c>
      <c r="Y956" s="33"/>
      <c r="Z956" s="31"/>
      <c r="AA956" s="33"/>
      <c r="AB956" s="37" t="str">
        <f aca="false">IF(B956="","",YEAR(B956)*100+MONTH(B956))</f>
        <v/>
      </c>
      <c r="AC956" s="37" t="str">
        <f aca="false">IF(AND(E956&lt;&gt;"",E956=Cruce!$C$5),COUNTIF($E$5:E956,E956),"")</f>
        <v/>
      </c>
      <c r="AD956" s="37" t="str">
        <f aca="false">IF(E956="","",C956&amp;"|"&amp;Y956&amp;"|"&amp;IF(B956="","s/f",TEXT(B956,"yyyymmdd")))</f>
        <v/>
      </c>
      <c r="AE956" s="37" t="n">
        <f aca="false">IF(E956="",0,IF(COUNTIFS($E$5:E956,E956,$AD$5:AD956,AD956)=1,1,0))</f>
        <v>0</v>
      </c>
    </row>
    <row r="957" customFormat="false" ht="15" hidden="false" customHeight="true" outlineLevel="0" collapsed="false">
      <c r="A957" s="31"/>
      <c r="B957" s="30"/>
      <c r="C957" s="31"/>
      <c r="D957" s="31"/>
      <c r="E957" s="32"/>
      <c r="F957" s="32"/>
      <c r="G957" s="33"/>
      <c r="H957" s="31"/>
      <c r="I957" s="24" t="str">
        <f aca="false">IF(B957="","",YEAR(B957))</f>
        <v/>
      </c>
      <c r="J957" s="34" t="str">
        <f aca="false">IF(B957="","",IF(MONTH(B957)=1,"X",""))</f>
        <v/>
      </c>
      <c r="K957" s="34" t="str">
        <f aca="false">IF(B957="","",IF(MONTH(B957)=2,"X",""))</f>
        <v/>
      </c>
      <c r="L957" s="34" t="str">
        <f aca="false">IF(B957="","",IF(MONTH(B957)=3,"X",""))</f>
        <v/>
      </c>
      <c r="M957" s="34" t="str">
        <f aca="false">IF(B957="","",IF(MONTH(B957)=4,"X",""))</f>
        <v/>
      </c>
      <c r="N957" s="34" t="str">
        <f aca="false">IF(B957="","",IF(MONTH(B957)=5,"X",""))</f>
        <v/>
      </c>
      <c r="O957" s="34" t="str">
        <f aca="false">IF(B957="","",IF(MONTH(B957)=6,"X",""))</f>
        <v/>
      </c>
      <c r="P957" s="34" t="str">
        <f aca="false">IF(B957="","",IF(MONTH(B957)=7,"X",""))</f>
        <v/>
      </c>
      <c r="Q957" s="34" t="str">
        <f aca="false">IF(B957="","",IF(MONTH(B957)=8,"X",""))</f>
        <v/>
      </c>
      <c r="R957" s="34" t="str">
        <f aca="false">IF(B957="","",IF(MONTH(B957)=9,"X",""))</f>
        <v/>
      </c>
      <c r="S957" s="34" t="str">
        <f aca="false">IF(B957="","",IF(MONTH(B957)=10,"X",""))</f>
        <v/>
      </c>
      <c r="T957" s="34" t="str">
        <f aca="false">IF(B957="","",IF(MONTH(B957)=11,"X",""))</f>
        <v/>
      </c>
      <c r="U957" s="34" t="str">
        <f aca="false">IF(B957="","",IF(MONTH(B957)=12,"X",""))</f>
        <v/>
      </c>
      <c r="V957" s="24" t="str">
        <f aca="false">IF(E957="","",COUNTIF($E$5:$E$1000,E957))</f>
        <v/>
      </c>
      <c r="W957" s="35" t="str">
        <f aca="false">IF(E957="","",_xlfn.TEXTJOIN(" + ",TRUE(),IF(COUNTIFS($E$5:$E$1000,E957,$C$5:$C$1000,"Auditoría Interna")&gt;0,"Interna",""),IF(COUNTIFS($E$5:$E$1000,E957,$C$5:$C$1000,"Auditoría Externa")&gt;0,"Externa",""),IF(COUNTIFS($E$5:$E$1000,E957,$C$5:$C$1000,"SSF")&gt;0,"SSF",""),IF(COUNTIFS($E$5:$E$1000,E957,$C$5:$C$1000,"Comité de Supervisión")&gt;0,"Comité Sup.",""),IF(COUNTIFS($E$5:$E$1000,E957,$C$5:$C$1000,"Consejo de Administración")&gt;0,"Consejo",""),IF(COUNTIFS($E$5:$E$1000,E957,$C$5:$C$1000,"Otros")&gt;0,"Otros","")))</f>
        <v/>
      </c>
      <c r="X957" s="24" t="str">
        <f aca="false">IF(E957="","",COUNTIFS($E$5:$E$1000,E957,$AB$5:$AB$1000,AB957,$C$5:$C$1000,"&lt;&gt;"&amp;C957))</f>
        <v/>
      </c>
      <c r="Y957" s="33"/>
      <c r="Z957" s="31"/>
      <c r="AA957" s="33"/>
      <c r="AB957" s="37" t="str">
        <f aca="false">IF(B957="","",YEAR(B957)*100+MONTH(B957))</f>
        <v/>
      </c>
      <c r="AC957" s="37" t="str">
        <f aca="false">IF(AND(E957&lt;&gt;"",E957=Cruce!$C$5),COUNTIF($E$5:E957,E957),"")</f>
        <v/>
      </c>
      <c r="AD957" s="37" t="str">
        <f aca="false">IF(E957="","",C957&amp;"|"&amp;Y957&amp;"|"&amp;IF(B957="","s/f",TEXT(B957,"yyyymmdd")))</f>
        <v/>
      </c>
      <c r="AE957" s="37" t="n">
        <f aca="false">IF(E957="",0,IF(COUNTIFS($E$5:E957,E957,$AD$5:AD957,AD957)=1,1,0))</f>
        <v>0</v>
      </c>
    </row>
    <row r="958" customFormat="false" ht="15" hidden="false" customHeight="true" outlineLevel="0" collapsed="false">
      <c r="A958" s="31"/>
      <c r="B958" s="30"/>
      <c r="C958" s="31"/>
      <c r="D958" s="31"/>
      <c r="E958" s="32"/>
      <c r="F958" s="32"/>
      <c r="G958" s="33"/>
      <c r="H958" s="31"/>
      <c r="I958" s="24" t="str">
        <f aca="false">IF(B958="","",YEAR(B958))</f>
        <v/>
      </c>
      <c r="J958" s="34" t="str">
        <f aca="false">IF(B958="","",IF(MONTH(B958)=1,"X",""))</f>
        <v/>
      </c>
      <c r="K958" s="34" t="str">
        <f aca="false">IF(B958="","",IF(MONTH(B958)=2,"X",""))</f>
        <v/>
      </c>
      <c r="L958" s="34" t="str">
        <f aca="false">IF(B958="","",IF(MONTH(B958)=3,"X",""))</f>
        <v/>
      </c>
      <c r="M958" s="34" t="str">
        <f aca="false">IF(B958="","",IF(MONTH(B958)=4,"X",""))</f>
        <v/>
      </c>
      <c r="N958" s="34" t="str">
        <f aca="false">IF(B958="","",IF(MONTH(B958)=5,"X",""))</f>
        <v/>
      </c>
      <c r="O958" s="34" t="str">
        <f aca="false">IF(B958="","",IF(MONTH(B958)=6,"X",""))</f>
        <v/>
      </c>
      <c r="P958" s="34" t="str">
        <f aca="false">IF(B958="","",IF(MONTH(B958)=7,"X",""))</f>
        <v/>
      </c>
      <c r="Q958" s="34" t="str">
        <f aca="false">IF(B958="","",IF(MONTH(B958)=8,"X",""))</f>
        <v/>
      </c>
      <c r="R958" s="34" t="str">
        <f aca="false">IF(B958="","",IF(MONTH(B958)=9,"X",""))</f>
        <v/>
      </c>
      <c r="S958" s="34" t="str">
        <f aca="false">IF(B958="","",IF(MONTH(B958)=10,"X",""))</f>
        <v/>
      </c>
      <c r="T958" s="34" t="str">
        <f aca="false">IF(B958="","",IF(MONTH(B958)=11,"X",""))</f>
        <v/>
      </c>
      <c r="U958" s="34" t="str">
        <f aca="false">IF(B958="","",IF(MONTH(B958)=12,"X",""))</f>
        <v/>
      </c>
      <c r="V958" s="24" t="str">
        <f aca="false">IF(E958="","",COUNTIF($E$5:$E$1000,E958))</f>
        <v/>
      </c>
      <c r="W958" s="35" t="str">
        <f aca="false">IF(E958="","",_xlfn.TEXTJOIN(" + ",TRUE(),IF(COUNTIFS($E$5:$E$1000,E958,$C$5:$C$1000,"Auditoría Interna")&gt;0,"Interna",""),IF(COUNTIFS($E$5:$E$1000,E958,$C$5:$C$1000,"Auditoría Externa")&gt;0,"Externa",""),IF(COUNTIFS($E$5:$E$1000,E958,$C$5:$C$1000,"SSF")&gt;0,"SSF",""),IF(COUNTIFS($E$5:$E$1000,E958,$C$5:$C$1000,"Comité de Supervisión")&gt;0,"Comité Sup.",""),IF(COUNTIFS($E$5:$E$1000,E958,$C$5:$C$1000,"Consejo de Administración")&gt;0,"Consejo",""),IF(COUNTIFS($E$5:$E$1000,E958,$C$5:$C$1000,"Otros")&gt;0,"Otros","")))</f>
        <v/>
      </c>
      <c r="X958" s="24" t="str">
        <f aca="false">IF(E958="","",COUNTIFS($E$5:$E$1000,E958,$AB$5:$AB$1000,AB958,$C$5:$C$1000,"&lt;&gt;"&amp;C958))</f>
        <v/>
      </c>
      <c r="Y958" s="33"/>
      <c r="Z958" s="31"/>
      <c r="AA958" s="33"/>
      <c r="AB958" s="37" t="str">
        <f aca="false">IF(B958="","",YEAR(B958)*100+MONTH(B958))</f>
        <v/>
      </c>
      <c r="AC958" s="37" t="str">
        <f aca="false">IF(AND(E958&lt;&gt;"",E958=Cruce!$C$5),COUNTIF($E$5:E958,E958),"")</f>
        <v/>
      </c>
      <c r="AD958" s="37" t="str">
        <f aca="false">IF(E958="","",C958&amp;"|"&amp;Y958&amp;"|"&amp;IF(B958="","s/f",TEXT(B958,"yyyymmdd")))</f>
        <v/>
      </c>
      <c r="AE958" s="37" t="n">
        <f aca="false">IF(E958="",0,IF(COUNTIFS($E$5:E958,E958,$AD$5:AD958,AD958)=1,1,0))</f>
        <v>0</v>
      </c>
    </row>
    <row r="959" customFormat="false" ht="15" hidden="false" customHeight="true" outlineLevel="0" collapsed="false">
      <c r="A959" s="31"/>
      <c r="B959" s="30"/>
      <c r="C959" s="31"/>
      <c r="D959" s="31"/>
      <c r="E959" s="32"/>
      <c r="F959" s="32"/>
      <c r="G959" s="33"/>
      <c r="H959" s="31"/>
      <c r="I959" s="24" t="str">
        <f aca="false">IF(B959="","",YEAR(B959))</f>
        <v/>
      </c>
      <c r="J959" s="34" t="str">
        <f aca="false">IF(B959="","",IF(MONTH(B959)=1,"X",""))</f>
        <v/>
      </c>
      <c r="K959" s="34" t="str">
        <f aca="false">IF(B959="","",IF(MONTH(B959)=2,"X",""))</f>
        <v/>
      </c>
      <c r="L959" s="34" t="str">
        <f aca="false">IF(B959="","",IF(MONTH(B959)=3,"X",""))</f>
        <v/>
      </c>
      <c r="M959" s="34" t="str">
        <f aca="false">IF(B959="","",IF(MONTH(B959)=4,"X",""))</f>
        <v/>
      </c>
      <c r="N959" s="34" t="str">
        <f aca="false">IF(B959="","",IF(MONTH(B959)=5,"X",""))</f>
        <v/>
      </c>
      <c r="O959" s="34" t="str">
        <f aca="false">IF(B959="","",IF(MONTH(B959)=6,"X",""))</f>
        <v/>
      </c>
      <c r="P959" s="34" t="str">
        <f aca="false">IF(B959="","",IF(MONTH(B959)=7,"X",""))</f>
        <v/>
      </c>
      <c r="Q959" s="34" t="str">
        <f aca="false">IF(B959="","",IF(MONTH(B959)=8,"X",""))</f>
        <v/>
      </c>
      <c r="R959" s="34" t="str">
        <f aca="false">IF(B959="","",IF(MONTH(B959)=9,"X",""))</f>
        <v/>
      </c>
      <c r="S959" s="34" t="str">
        <f aca="false">IF(B959="","",IF(MONTH(B959)=10,"X",""))</f>
        <v/>
      </c>
      <c r="T959" s="34" t="str">
        <f aca="false">IF(B959="","",IF(MONTH(B959)=11,"X",""))</f>
        <v/>
      </c>
      <c r="U959" s="34" t="str">
        <f aca="false">IF(B959="","",IF(MONTH(B959)=12,"X",""))</f>
        <v/>
      </c>
      <c r="V959" s="24" t="str">
        <f aca="false">IF(E959="","",COUNTIF($E$5:$E$1000,E959))</f>
        <v/>
      </c>
      <c r="W959" s="35" t="str">
        <f aca="false">IF(E959="","",_xlfn.TEXTJOIN(" + ",TRUE(),IF(COUNTIFS($E$5:$E$1000,E959,$C$5:$C$1000,"Auditoría Interna")&gt;0,"Interna",""),IF(COUNTIFS($E$5:$E$1000,E959,$C$5:$C$1000,"Auditoría Externa")&gt;0,"Externa",""),IF(COUNTIFS($E$5:$E$1000,E959,$C$5:$C$1000,"SSF")&gt;0,"SSF",""),IF(COUNTIFS($E$5:$E$1000,E959,$C$5:$C$1000,"Comité de Supervisión")&gt;0,"Comité Sup.",""),IF(COUNTIFS($E$5:$E$1000,E959,$C$5:$C$1000,"Consejo de Administración")&gt;0,"Consejo",""),IF(COUNTIFS($E$5:$E$1000,E959,$C$5:$C$1000,"Otros")&gt;0,"Otros","")))</f>
        <v/>
      </c>
      <c r="X959" s="24" t="str">
        <f aca="false">IF(E959="","",COUNTIFS($E$5:$E$1000,E959,$AB$5:$AB$1000,AB959,$C$5:$C$1000,"&lt;&gt;"&amp;C959))</f>
        <v/>
      </c>
      <c r="Y959" s="33"/>
      <c r="Z959" s="31"/>
      <c r="AA959" s="33"/>
      <c r="AB959" s="37" t="str">
        <f aca="false">IF(B959="","",YEAR(B959)*100+MONTH(B959))</f>
        <v/>
      </c>
      <c r="AC959" s="37" t="str">
        <f aca="false">IF(AND(E959&lt;&gt;"",E959=Cruce!$C$5),COUNTIF($E$5:E959,E959),"")</f>
        <v/>
      </c>
      <c r="AD959" s="37" t="str">
        <f aca="false">IF(E959="","",C959&amp;"|"&amp;Y959&amp;"|"&amp;IF(B959="","s/f",TEXT(B959,"yyyymmdd")))</f>
        <v/>
      </c>
      <c r="AE959" s="37" t="n">
        <f aca="false">IF(E959="",0,IF(COUNTIFS($E$5:E959,E959,$AD$5:AD959,AD959)=1,1,0))</f>
        <v>0</v>
      </c>
    </row>
    <row r="960" customFormat="false" ht="15" hidden="false" customHeight="true" outlineLevel="0" collapsed="false">
      <c r="A960" s="31"/>
      <c r="B960" s="30"/>
      <c r="C960" s="31"/>
      <c r="D960" s="31"/>
      <c r="E960" s="32"/>
      <c r="F960" s="32"/>
      <c r="G960" s="33"/>
      <c r="H960" s="31"/>
      <c r="I960" s="24" t="str">
        <f aca="false">IF(B960="","",YEAR(B960))</f>
        <v/>
      </c>
      <c r="J960" s="34" t="str">
        <f aca="false">IF(B960="","",IF(MONTH(B960)=1,"X",""))</f>
        <v/>
      </c>
      <c r="K960" s="34" t="str">
        <f aca="false">IF(B960="","",IF(MONTH(B960)=2,"X",""))</f>
        <v/>
      </c>
      <c r="L960" s="34" t="str">
        <f aca="false">IF(B960="","",IF(MONTH(B960)=3,"X",""))</f>
        <v/>
      </c>
      <c r="M960" s="34" t="str">
        <f aca="false">IF(B960="","",IF(MONTH(B960)=4,"X",""))</f>
        <v/>
      </c>
      <c r="N960" s="34" t="str">
        <f aca="false">IF(B960="","",IF(MONTH(B960)=5,"X",""))</f>
        <v/>
      </c>
      <c r="O960" s="34" t="str">
        <f aca="false">IF(B960="","",IF(MONTH(B960)=6,"X",""))</f>
        <v/>
      </c>
      <c r="P960" s="34" t="str">
        <f aca="false">IF(B960="","",IF(MONTH(B960)=7,"X",""))</f>
        <v/>
      </c>
      <c r="Q960" s="34" t="str">
        <f aca="false">IF(B960="","",IF(MONTH(B960)=8,"X",""))</f>
        <v/>
      </c>
      <c r="R960" s="34" t="str">
        <f aca="false">IF(B960="","",IF(MONTH(B960)=9,"X",""))</f>
        <v/>
      </c>
      <c r="S960" s="34" t="str">
        <f aca="false">IF(B960="","",IF(MONTH(B960)=10,"X",""))</f>
        <v/>
      </c>
      <c r="T960" s="34" t="str">
        <f aca="false">IF(B960="","",IF(MONTH(B960)=11,"X",""))</f>
        <v/>
      </c>
      <c r="U960" s="34" t="str">
        <f aca="false">IF(B960="","",IF(MONTH(B960)=12,"X",""))</f>
        <v/>
      </c>
      <c r="V960" s="24" t="str">
        <f aca="false">IF(E960="","",COUNTIF($E$5:$E$1000,E960))</f>
        <v/>
      </c>
      <c r="W960" s="35" t="str">
        <f aca="false">IF(E960="","",_xlfn.TEXTJOIN(" + ",TRUE(),IF(COUNTIFS($E$5:$E$1000,E960,$C$5:$C$1000,"Auditoría Interna")&gt;0,"Interna",""),IF(COUNTIFS($E$5:$E$1000,E960,$C$5:$C$1000,"Auditoría Externa")&gt;0,"Externa",""),IF(COUNTIFS($E$5:$E$1000,E960,$C$5:$C$1000,"SSF")&gt;0,"SSF",""),IF(COUNTIFS($E$5:$E$1000,E960,$C$5:$C$1000,"Comité de Supervisión")&gt;0,"Comité Sup.",""),IF(COUNTIFS($E$5:$E$1000,E960,$C$5:$C$1000,"Consejo de Administración")&gt;0,"Consejo",""),IF(COUNTIFS($E$5:$E$1000,E960,$C$5:$C$1000,"Otros")&gt;0,"Otros","")))</f>
        <v/>
      </c>
      <c r="X960" s="24" t="str">
        <f aca="false">IF(E960="","",COUNTIFS($E$5:$E$1000,E960,$AB$5:$AB$1000,AB960,$C$5:$C$1000,"&lt;&gt;"&amp;C960))</f>
        <v/>
      </c>
      <c r="Y960" s="33"/>
      <c r="Z960" s="31"/>
      <c r="AA960" s="33"/>
      <c r="AB960" s="37" t="str">
        <f aca="false">IF(B960="","",YEAR(B960)*100+MONTH(B960))</f>
        <v/>
      </c>
      <c r="AC960" s="37" t="str">
        <f aca="false">IF(AND(E960&lt;&gt;"",E960=Cruce!$C$5),COUNTIF($E$5:E960,E960),"")</f>
        <v/>
      </c>
      <c r="AD960" s="37" t="str">
        <f aca="false">IF(E960="","",C960&amp;"|"&amp;Y960&amp;"|"&amp;IF(B960="","s/f",TEXT(B960,"yyyymmdd")))</f>
        <v/>
      </c>
      <c r="AE960" s="37" t="n">
        <f aca="false">IF(E960="",0,IF(COUNTIFS($E$5:E960,E960,$AD$5:AD960,AD960)=1,1,0))</f>
        <v>0</v>
      </c>
    </row>
    <row r="961" customFormat="false" ht="15" hidden="false" customHeight="true" outlineLevel="0" collapsed="false">
      <c r="A961" s="31"/>
      <c r="B961" s="30"/>
      <c r="C961" s="31"/>
      <c r="D961" s="31"/>
      <c r="E961" s="32"/>
      <c r="F961" s="32"/>
      <c r="G961" s="33"/>
      <c r="H961" s="31"/>
      <c r="I961" s="24" t="str">
        <f aca="false">IF(B961="","",YEAR(B961))</f>
        <v/>
      </c>
      <c r="J961" s="34" t="str">
        <f aca="false">IF(B961="","",IF(MONTH(B961)=1,"X",""))</f>
        <v/>
      </c>
      <c r="K961" s="34" t="str">
        <f aca="false">IF(B961="","",IF(MONTH(B961)=2,"X",""))</f>
        <v/>
      </c>
      <c r="L961" s="34" t="str">
        <f aca="false">IF(B961="","",IF(MONTH(B961)=3,"X",""))</f>
        <v/>
      </c>
      <c r="M961" s="34" t="str">
        <f aca="false">IF(B961="","",IF(MONTH(B961)=4,"X",""))</f>
        <v/>
      </c>
      <c r="N961" s="34" t="str">
        <f aca="false">IF(B961="","",IF(MONTH(B961)=5,"X",""))</f>
        <v/>
      </c>
      <c r="O961" s="34" t="str">
        <f aca="false">IF(B961="","",IF(MONTH(B961)=6,"X",""))</f>
        <v/>
      </c>
      <c r="P961" s="34" t="str">
        <f aca="false">IF(B961="","",IF(MONTH(B961)=7,"X",""))</f>
        <v/>
      </c>
      <c r="Q961" s="34" t="str">
        <f aca="false">IF(B961="","",IF(MONTH(B961)=8,"X",""))</f>
        <v/>
      </c>
      <c r="R961" s="34" t="str">
        <f aca="false">IF(B961="","",IF(MONTH(B961)=9,"X",""))</f>
        <v/>
      </c>
      <c r="S961" s="34" t="str">
        <f aca="false">IF(B961="","",IF(MONTH(B961)=10,"X",""))</f>
        <v/>
      </c>
      <c r="T961" s="34" t="str">
        <f aca="false">IF(B961="","",IF(MONTH(B961)=11,"X",""))</f>
        <v/>
      </c>
      <c r="U961" s="34" t="str">
        <f aca="false">IF(B961="","",IF(MONTH(B961)=12,"X",""))</f>
        <v/>
      </c>
      <c r="V961" s="24" t="str">
        <f aca="false">IF(E961="","",COUNTIF($E$5:$E$1000,E961))</f>
        <v/>
      </c>
      <c r="W961" s="35" t="str">
        <f aca="false">IF(E961="","",_xlfn.TEXTJOIN(" + ",TRUE(),IF(COUNTIFS($E$5:$E$1000,E961,$C$5:$C$1000,"Auditoría Interna")&gt;0,"Interna",""),IF(COUNTIFS($E$5:$E$1000,E961,$C$5:$C$1000,"Auditoría Externa")&gt;0,"Externa",""),IF(COUNTIFS($E$5:$E$1000,E961,$C$5:$C$1000,"SSF")&gt;0,"SSF",""),IF(COUNTIFS($E$5:$E$1000,E961,$C$5:$C$1000,"Comité de Supervisión")&gt;0,"Comité Sup.",""),IF(COUNTIFS($E$5:$E$1000,E961,$C$5:$C$1000,"Consejo de Administración")&gt;0,"Consejo",""),IF(COUNTIFS($E$5:$E$1000,E961,$C$5:$C$1000,"Otros")&gt;0,"Otros","")))</f>
        <v/>
      </c>
      <c r="X961" s="24" t="str">
        <f aca="false">IF(E961="","",COUNTIFS($E$5:$E$1000,E961,$AB$5:$AB$1000,AB961,$C$5:$C$1000,"&lt;&gt;"&amp;C961))</f>
        <v/>
      </c>
      <c r="Y961" s="33"/>
      <c r="Z961" s="31"/>
      <c r="AA961" s="33"/>
      <c r="AB961" s="37" t="str">
        <f aca="false">IF(B961="","",YEAR(B961)*100+MONTH(B961))</f>
        <v/>
      </c>
      <c r="AC961" s="37" t="str">
        <f aca="false">IF(AND(E961&lt;&gt;"",E961=Cruce!$C$5),COUNTIF($E$5:E961,E961),"")</f>
        <v/>
      </c>
      <c r="AD961" s="37" t="str">
        <f aca="false">IF(E961="","",C961&amp;"|"&amp;Y961&amp;"|"&amp;IF(B961="","s/f",TEXT(B961,"yyyymmdd")))</f>
        <v/>
      </c>
      <c r="AE961" s="37" t="n">
        <f aca="false">IF(E961="",0,IF(COUNTIFS($E$5:E961,E961,$AD$5:AD961,AD961)=1,1,0))</f>
        <v>0</v>
      </c>
    </row>
    <row r="962" customFormat="false" ht="15" hidden="false" customHeight="true" outlineLevel="0" collapsed="false">
      <c r="A962" s="31"/>
      <c r="B962" s="30"/>
      <c r="C962" s="31"/>
      <c r="D962" s="31"/>
      <c r="E962" s="32"/>
      <c r="F962" s="32"/>
      <c r="G962" s="33"/>
      <c r="H962" s="31"/>
      <c r="I962" s="24" t="str">
        <f aca="false">IF(B962="","",YEAR(B962))</f>
        <v/>
      </c>
      <c r="J962" s="34" t="str">
        <f aca="false">IF(B962="","",IF(MONTH(B962)=1,"X",""))</f>
        <v/>
      </c>
      <c r="K962" s="34" t="str">
        <f aca="false">IF(B962="","",IF(MONTH(B962)=2,"X",""))</f>
        <v/>
      </c>
      <c r="L962" s="34" t="str">
        <f aca="false">IF(B962="","",IF(MONTH(B962)=3,"X",""))</f>
        <v/>
      </c>
      <c r="M962" s="34" t="str">
        <f aca="false">IF(B962="","",IF(MONTH(B962)=4,"X",""))</f>
        <v/>
      </c>
      <c r="N962" s="34" t="str">
        <f aca="false">IF(B962="","",IF(MONTH(B962)=5,"X",""))</f>
        <v/>
      </c>
      <c r="O962" s="34" t="str">
        <f aca="false">IF(B962="","",IF(MONTH(B962)=6,"X",""))</f>
        <v/>
      </c>
      <c r="P962" s="34" t="str">
        <f aca="false">IF(B962="","",IF(MONTH(B962)=7,"X",""))</f>
        <v/>
      </c>
      <c r="Q962" s="34" t="str">
        <f aca="false">IF(B962="","",IF(MONTH(B962)=8,"X",""))</f>
        <v/>
      </c>
      <c r="R962" s="34" t="str">
        <f aca="false">IF(B962="","",IF(MONTH(B962)=9,"X",""))</f>
        <v/>
      </c>
      <c r="S962" s="34" t="str">
        <f aca="false">IF(B962="","",IF(MONTH(B962)=10,"X",""))</f>
        <v/>
      </c>
      <c r="T962" s="34" t="str">
        <f aca="false">IF(B962="","",IF(MONTH(B962)=11,"X",""))</f>
        <v/>
      </c>
      <c r="U962" s="34" t="str">
        <f aca="false">IF(B962="","",IF(MONTH(B962)=12,"X",""))</f>
        <v/>
      </c>
      <c r="V962" s="24" t="str">
        <f aca="false">IF(E962="","",COUNTIF($E$5:$E$1000,E962))</f>
        <v/>
      </c>
      <c r="W962" s="35" t="str">
        <f aca="false">IF(E962="","",_xlfn.TEXTJOIN(" + ",TRUE(),IF(COUNTIFS($E$5:$E$1000,E962,$C$5:$C$1000,"Auditoría Interna")&gt;0,"Interna",""),IF(COUNTIFS($E$5:$E$1000,E962,$C$5:$C$1000,"Auditoría Externa")&gt;0,"Externa",""),IF(COUNTIFS($E$5:$E$1000,E962,$C$5:$C$1000,"SSF")&gt;0,"SSF",""),IF(COUNTIFS($E$5:$E$1000,E962,$C$5:$C$1000,"Comité de Supervisión")&gt;0,"Comité Sup.",""),IF(COUNTIFS($E$5:$E$1000,E962,$C$5:$C$1000,"Consejo de Administración")&gt;0,"Consejo",""),IF(COUNTIFS($E$5:$E$1000,E962,$C$5:$C$1000,"Otros")&gt;0,"Otros","")))</f>
        <v/>
      </c>
      <c r="X962" s="24" t="str">
        <f aca="false">IF(E962="","",COUNTIFS($E$5:$E$1000,E962,$AB$5:$AB$1000,AB962,$C$5:$C$1000,"&lt;&gt;"&amp;C962))</f>
        <v/>
      </c>
      <c r="Y962" s="33"/>
      <c r="Z962" s="31"/>
      <c r="AA962" s="33"/>
      <c r="AB962" s="37" t="str">
        <f aca="false">IF(B962="","",YEAR(B962)*100+MONTH(B962))</f>
        <v/>
      </c>
      <c r="AC962" s="37" t="str">
        <f aca="false">IF(AND(E962&lt;&gt;"",E962=Cruce!$C$5),COUNTIF($E$5:E962,E962),"")</f>
        <v/>
      </c>
      <c r="AD962" s="37" t="str">
        <f aca="false">IF(E962="","",C962&amp;"|"&amp;Y962&amp;"|"&amp;IF(B962="","s/f",TEXT(B962,"yyyymmdd")))</f>
        <v/>
      </c>
      <c r="AE962" s="37" t="n">
        <f aca="false">IF(E962="",0,IF(COUNTIFS($E$5:E962,E962,$AD$5:AD962,AD962)=1,1,0))</f>
        <v>0</v>
      </c>
    </row>
    <row r="963" customFormat="false" ht="15" hidden="false" customHeight="true" outlineLevel="0" collapsed="false">
      <c r="A963" s="31"/>
      <c r="B963" s="30"/>
      <c r="C963" s="31"/>
      <c r="D963" s="31"/>
      <c r="E963" s="32"/>
      <c r="F963" s="32"/>
      <c r="G963" s="33"/>
      <c r="H963" s="31"/>
      <c r="I963" s="24" t="str">
        <f aca="false">IF(B963="","",YEAR(B963))</f>
        <v/>
      </c>
      <c r="J963" s="34" t="str">
        <f aca="false">IF(B963="","",IF(MONTH(B963)=1,"X",""))</f>
        <v/>
      </c>
      <c r="K963" s="34" t="str">
        <f aca="false">IF(B963="","",IF(MONTH(B963)=2,"X",""))</f>
        <v/>
      </c>
      <c r="L963" s="34" t="str">
        <f aca="false">IF(B963="","",IF(MONTH(B963)=3,"X",""))</f>
        <v/>
      </c>
      <c r="M963" s="34" t="str">
        <f aca="false">IF(B963="","",IF(MONTH(B963)=4,"X",""))</f>
        <v/>
      </c>
      <c r="N963" s="34" t="str">
        <f aca="false">IF(B963="","",IF(MONTH(B963)=5,"X",""))</f>
        <v/>
      </c>
      <c r="O963" s="34" t="str">
        <f aca="false">IF(B963="","",IF(MONTH(B963)=6,"X",""))</f>
        <v/>
      </c>
      <c r="P963" s="34" t="str">
        <f aca="false">IF(B963="","",IF(MONTH(B963)=7,"X",""))</f>
        <v/>
      </c>
      <c r="Q963" s="34" t="str">
        <f aca="false">IF(B963="","",IF(MONTH(B963)=8,"X",""))</f>
        <v/>
      </c>
      <c r="R963" s="34" t="str">
        <f aca="false">IF(B963="","",IF(MONTH(B963)=9,"X",""))</f>
        <v/>
      </c>
      <c r="S963" s="34" t="str">
        <f aca="false">IF(B963="","",IF(MONTH(B963)=10,"X",""))</f>
        <v/>
      </c>
      <c r="T963" s="34" t="str">
        <f aca="false">IF(B963="","",IF(MONTH(B963)=11,"X",""))</f>
        <v/>
      </c>
      <c r="U963" s="34" t="str">
        <f aca="false">IF(B963="","",IF(MONTH(B963)=12,"X",""))</f>
        <v/>
      </c>
      <c r="V963" s="24" t="str">
        <f aca="false">IF(E963="","",COUNTIF($E$5:$E$1000,E963))</f>
        <v/>
      </c>
      <c r="W963" s="35" t="str">
        <f aca="false">IF(E963="","",_xlfn.TEXTJOIN(" + ",TRUE(),IF(COUNTIFS($E$5:$E$1000,E963,$C$5:$C$1000,"Auditoría Interna")&gt;0,"Interna",""),IF(COUNTIFS($E$5:$E$1000,E963,$C$5:$C$1000,"Auditoría Externa")&gt;0,"Externa",""),IF(COUNTIFS($E$5:$E$1000,E963,$C$5:$C$1000,"SSF")&gt;0,"SSF",""),IF(COUNTIFS($E$5:$E$1000,E963,$C$5:$C$1000,"Comité de Supervisión")&gt;0,"Comité Sup.",""),IF(COUNTIFS($E$5:$E$1000,E963,$C$5:$C$1000,"Consejo de Administración")&gt;0,"Consejo",""),IF(COUNTIFS($E$5:$E$1000,E963,$C$5:$C$1000,"Otros")&gt;0,"Otros","")))</f>
        <v/>
      </c>
      <c r="X963" s="24" t="str">
        <f aca="false">IF(E963="","",COUNTIFS($E$5:$E$1000,E963,$AB$5:$AB$1000,AB963,$C$5:$C$1000,"&lt;&gt;"&amp;C963))</f>
        <v/>
      </c>
      <c r="Y963" s="33"/>
      <c r="Z963" s="31"/>
      <c r="AA963" s="33"/>
      <c r="AB963" s="37" t="str">
        <f aca="false">IF(B963="","",YEAR(B963)*100+MONTH(B963))</f>
        <v/>
      </c>
      <c r="AC963" s="37" t="str">
        <f aca="false">IF(AND(E963&lt;&gt;"",E963=Cruce!$C$5),COUNTIF($E$5:E963,E963),"")</f>
        <v/>
      </c>
      <c r="AD963" s="37" t="str">
        <f aca="false">IF(E963="","",C963&amp;"|"&amp;Y963&amp;"|"&amp;IF(B963="","s/f",TEXT(B963,"yyyymmdd")))</f>
        <v/>
      </c>
      <c r="AE963" s="37" t="n">
        <f aca="false">IF(E963="",0,IF(COUNTIFS($E$5:E963,E963,$AD$5:AD963,AD963)=1,1,0))</f>
        <v>0</v>
      </c>
    </row>
    <row r="964" customFormat="false" ht="15" hidden="false" customHeight="true" outlineLevel="0" collapsed="false">
      <c r="A964" s="31"/>
      <c r="B964" s="30"/>
      <c r="C964" s="31"/>
      <c r="D964" s="31"/>
      <c r="E964" s="32"/>
      <c r="F964" s="32"/>
      <c r="G964" s="33"/>
      <c r="H964" s="31"/>
      <c r="I964" s="24" t="str">
        <f aca="false">IF(B964="","",YEAR(B964))</f>
        <v/>
      </c>
      <c r="J964" s="34" t="str">
        <f aca="false">IF(B964="","",IF(MONTH(B964)=1,"X",""))</f>
        <v/>
      </c>
      <c r="K964" s="34" t="str">
        <f aca="false">IF(B964="","",IF(MONTH(B964)=2,"X",""))</f>
        <v/>
      </c>
      <c r="L964" s="34" t="str">
        <f aca="false">IF(B964="","",IF(MONTH(B964)=3,"X",""))</f>
        <v/>
      </c>
      <c r="M964" s="34" t="str">
        <f aca="false">IF(B964="","",IF(MONTH(B964)=4,"X",""))</f>
        <v/>
      </c>
      <c r="N964" s="34" t="str">
        <f aca="false">IF(B964="","",IF(MONTH(B964)=5,"X",""))</f>
        <v/>
      </c>
      <c r="O964" s="34" t="str">
        <f aca="false">IF(B964="","",IF(MONTH(B964)=6,"X",""))</f>
        <v/>
      </c>
      <c r="P964" s="34" t="str">
        <f aca="false">IF(B964="","",IF(MONTH(B964)=7,"X",""))</f>
        <v/>
      </c>
      <c r="Q964" s="34" t="str">
        <f aca="false">IF(B964="","",IF(MONTH(B964)=8,"X",""))</f>
        <v/>
      </c>
      <c r="R964" s="34" t="str">
        <f aca="false">IF(B964="","",IF(MONTH(B964)=9,"X",""))</f>
        <v/>
      </c>
      <c r="S964" s="34" t="str">
        <f aca="false">IF(B964="","",IF(MONTH(B964)=10,"X",""))</f>
        <v/>
      </c>
      <c r="T964" s="34" t="str">
        <f aca="false">IF(B964="","",IF(MONTH(B964)=11,"X",""))</f>
        <v/>
      </c>
      <c r="U964" s="34" t="str">
        <f aca="false">IF(B964="","",IF(MONTH(B964)=12,"X",""))</f>
        <v/>
      </c>
      <c r="V964" s="24" t="str">
        <f aca="false">IF(E964="","",COUNTIF($E$5:$E$1000,E964))</f>
        <v/>
      </c>
      <c r="W964" s="35" t="str">
        <f aca="false">IF(E964="","",_xlfn.TEXTJOIN(" + ",TRUE(),IF(COUNTIFS($E$5:$E$1000,E964,$C$5:$C$1000,"Auditoría Interna")&gt;0,"Interna",""),IF(COUNTIFS($E$5:$E$1000,E964,$C$5:$C$1000,"Auditoría Externa")&gt;0,"Externa",""),IF(COUNTIFS($E$5:$E$1000,E964,$C$5:$C$1000,"SSF")&gt;0,"SSF",""),IF(COUNTIFS($E$5:$E$1000,E964,$C$5:$C$1000,"Comité de Supervisión")&gt;0,"Comité Sup.",""),IF(COUNTIFS($E$5:$E$1000,E964,$C$5:$C$1000,"Consejo de Administración")&gt;0,"Consejo",""),IF(COUNTIFS($E$5:$E$1000,E964,$C$5:$C$1000,"Otros")&gt;0,"Otros","")))</f>
        <v/>
      </c>
      <c r="X964" s="24" t="str">
        <f aca="false">IF(E964="","",COUNTIFS($E$5:$E$1000,E964,$AB$5:$AB$1000,AB964,$C$5:$C$1000,"&lt;&gt;"&amp;C964))</f>
        <v/>
      </c>
      <c r="Y964" s="33"/>
      <c r="Z964" s="31"/>
      <c r="AA964" s="33"/>
      <c r="AB964" s="37" t="str">
        <f aca="false">IF(B964="","",YEAR(B964)*100+MONTH(B964))</f>
        <v/>
      </c>
      <c r="AC964" s="37" t="str">
        <f aca="false">IF(AND(E964&lt;&gt;"",E964=Cruce!$C$5),COUNTIF($E$5:E964,E964),"")</f>
        <v/>
      </c>
      <c r="AD964" s="37" t="str">
        <f aca="false">IF(E964="","",C964&amp;"|"&amp;Y964&amp;"|"&amp;IF(B964="","s/f",TEXT(B964,"yyyymmdd")))</f>
        <v/>
      </c>
      <c r="AE964" s="37" t="n">
        <f aca="false">IF(E964="",0,IF(COUNTIFS($E$5:E964,E964,$AD$5:AD964,AD964)=1,1,0))</f>
        <v>0</v>
      </c>
    </row>
    <row r="965" customFormat="false" ht="15" hidden="false" customHeight="true" outlineLevel="0" collapsed="false">
      <c r="A965" s="31"/>
      <c r="B965" s="30"/>
      <c r="C965" s="31"/>
      <c r="D965" s="31"/>
      <c r="E965" s="32"/>
      <c r="F965" s="32"/>
      <c r="G965" s="33"/>
      <c r="H965" s="31"/>
      <c r="I965" s="24" t="str">
        <f aca="false">IF(B965="","",YEAR(B965))</f>
        <v/>
      </c>
      <c r="J965" s="34" t="str">
        <f aca="false">IF(B965="","",IF(MONTH(B965)=1,"X",""))</f>
        <v/>
      </c>
      <c r="K965" s="34" t="str">
        <f aca="false">IF(B965="","",IF(MONTH(B965)=2,"X",""))</f>
        <v/>
      </c>
      <c r="L965" s="34" t="str">
        <f aca="false">IF(B965="","",IF(MONTH(B965)=3,"X",""))</f>
        <v/>
      </c>
      <c r="M965" s="34" t="str">
        <f aca="false">IF(B965="","",IF(MONTH(B965)=4,"X",""))</f>
        <v/>
      </c>
      <c r="N965" s="34" t="str">
        <f aca="false">IF(B965="","",IF(MONTH(B965)=5,"X",""))</f>
        <v/>
      </c>
      <c r="O965" s="34" t="str">
        <f aca="false">IF(B965="","",IF(MONTH(B965)=6,"X",""))</f>
        <v/>
      </c>
      <c r="P965" s="34" t="str">
        <f aca="false">IF(B965="","",IF(MONTH(B965)=7,"X",""))</f>
        <v/>
      </c>
      <c r="Q965" s="34" t="str">
        <f aca="false">IF(B965="","",IF(MONTH(B965)=8,"X",""))</f>
        <v/>
      </c>
      <c r="R965" s="34" t="str">
        <f aca="false">IF(B965="","",IF(MONTH(B965)=9,"X",""))</f>
        <v/>
      </c>
      <c r="S965" s="34" t="str">
        <f aca="false">IF(B965="","",IF(MONTH(B965)=10,"X",""))</f>
        <v/>
      </c>
      <c r="T965" s="34" t="str">
        <f aca="false">IF(B965="","",IF(MONTH(B965)=11,"X",""))</f>
        <v/>
      </c>
      <c r="U965" s="34" t="str">
        <f aca="false">IF(B965="","",IF(MONTH(B965)=12,"X",""))</f>
        <v/>
      </c>
      <c r="V965" s="24" t="str">
        <f aca="false">IF(E965="","",COUNTIF($E$5:$E$1000,E965))</f>
        <v/>
      </c>
      <c r="W965" s="35" t="str">
        <f aca="false">IF(E965="","",_xlfn.TEXTJOIN(" + ",TRUE(),IF(COUNTIFS($E$5:$E$1000,E965,$C$5:$C$1000,"Auditoría Interna")&gt;0,"Interna",""),IF(COUNTIFS($E$5:$E$1000,E965,$C$5:$C$1000,"Auditoría Externa")&gt;0,"Externa",""),IF(COUNTIFS($E$5:$E$1000,E965,$C$5:$C$1000,"SSF")&gt;0,"SSF",""),IF(COUNTIFS($E$5:$E$1000,E965,$C$5:$C$1000,"Comité de Supervisión")&gt;0,"Comité Sup.",""),IF(COUNTIFS($E$5:$E$1000,E965,$C$5:$C$1000,"Consejo de Administración")&gt;0,"Consejo",""),IF(COUNTIFS($E$5:$E$1000,E965,$C$5:$C$1000,"Otros")&gt;0,"Otros","")))</f>
        <v/>
      </c>
      <c r="X965" s="24" t="str">
        <f aca="false">IF(E965="","",COUNTIFS($E$5:$E$1000,E965,$AB$5:$AB$1000,AB965,$C$5:$C$1000,"&lt;&gt;"&amp;C965))</f>
        <v/>
      </c>
      <c r="Y965" s="33"/>
      <c r="Z965" s="31"/>
      <c r="AA965" s="33"/>
      <c r="AB965" s="37" t="str">
        <f aca="false">IF(B965="","",YEAR(B965)*100+MONTH(B965))</f>
        <v/>
      </c>
      <c r="AC965" s="37" t="str">
        <f aca="false">IF(AND(E965&lt;&gt;"",E965=Cruce!$C$5),COUNTIF($E$5:E965,E965),"")</f>
        <v/>
      </c>
      <c r="AD965" s="37" t="str">
        <f aca="false">IF(E965="","",C965&amp;"|"&amp;Y965&amp;"|"&amp;IF(B965="","s/f",TEXT(B965,"yyyymmdd")))</f>
        <v/>
      </c>
      <c r="AE965" s="37" t="n">
        <f aca="false">IF(E965="",0,IF(COUNTIFS($E$5:E965,E965,$AD$5:AD965,AD965)=1,1,0))</f>
        <v>0</v>
      </c>
    </row>
    <row r="966" customFormat="false" ht="15" hidden="false" customHeight="true" outlineLevel="0" collapsed="false">
      <c r="A966" s="31"/>
      <c r="B966" s="30"/>
      <c r="C966" s="31"/>
      <c r="D966" s="31"/>
      <c r="E966" s="32"/>
      <c r="F966" s="32"/>
      <c r="G966" s="33"/>
      <c r="H966" s="31"/>
      <c r="I966" s="24" t="str">
        <f aca="false">IF(B966="","",YEAR(B966))</f>
        <v/>
      </c>
      <c r="J966" s="34" t="str">
        <f aca="false">IF(B966="","",IF(MONTH(B966)=1,"X",""))</f>
        <v/>
      </c>
      <c r="K966" s="34" t="str">
        <f aca="false">IF(B966="","",IF(MONTH(B966)=2,"X",""))</f>
        <v/>
      </c>
      <c r="L966" s="34" t="str">
        <f aca="false">IF(B966="","",IF(MONTH(B966)=3,"X",""))</f>
        <v/>
      </c>
      <c r="M966" s="34" t="str">
        <f aca="false">IF(B966="","",IF(MONTH(B966)=4,"X",""))</f>
        <v/>
      </c>
      <c r="N966" s="34" t="str">
        <f aca="false">IF(B966="","",IF(MONTH(B966)=5,"X",""))</f>
        <v/>
      </c>
      <c r="O966" s="34" t="str">
        <f aca="false">IF(B966="","",IF(MONTH(B966)=6,"X",""))</f>
        <v/>
      </c>
      <c r="P966" s="34" t="str">
        <f aca="false">IF(B966="","",IF(MONTH(B966)=7,"X",""))</f>
        <v/>
      </c>
      <c r="Q966" s="34" t="str">
        <f aca="false">IF(B966="","",IF(MONTH(B966)=8,"X",""))</f>
        <v/>
      </c>
      <c r="R966" s="34" t="str">
        <f aca="false">IF(B966="","",IF(MONTH(B966)=9,"X",""))</f>
        <v/>
      </c>
      <c r="S966" s="34" t="str">
        <f aca="false">IF(B966="","",IF(MONTH(B966)=10,"X",""))</f>
        <v/>
      </c>
      <c r="T966" s="34" t="str">
        <f aca="false">IF(B966="","",IF(MONTH(B966)=11,"X",""))</f>
        <v/>
      </c>
      <c r="U966" s="34" t="str">
        <f aca="false">IF(B966="","",IF(MONTH(B966)=12,"X",""))</f>
        <v/>
      </c>
      <c r="V966" s="24" t="str">
        <f aca="false">IF(E966="","",COUNTIF($E$5:$E$1000,E966))</f>
        <v/>
      </c>
      <c r="W966" s="35" t="str">
        <f aca="false">IF(E966="","",_xlfn.TEXTJOIN(" + ",TRUE(),IF(COUNTIFS($E$5:$E$1000,E966,$C$5:$C$1000,"Auditoría Interna")&gt;0,"Interna",""),IF(COUNTIFS($E$5:$E$1000,E966,$C$5:$C$1000,"Auditoría Externa")&gt;0,"Externa",""),IF(COUNTIFS($E$5:$E$1000,E966,$C$5:$C$1000,"SSF")&gt;0,"SSF",""),IF(COUNTIFS($E$5:$E$1000,E966,$C$5:$C$1000,"Comité de Supervisión")&gt;0,"Comité Sup.",""),IF(COUNTIFS($E$5:$E$1000,E966,$C$5:$C$1000,"Consejo de Administración")&gt;0,"Consejo",""),IF(COUNTIFS($E$5:$E$1000,E966,$C$5:$C$1000,"Otros")&gt;0,"Otros","")))</f>
        <v/>
      </c>
      <c r="X966" s="24" t="str">
        <f aca="false">IF(E966="","",COUNTIFS($E$5:$E$1000,E966,$AB$5:$AB$1000,AB966,$C$5:$C$1000,"&lt;&gt;"&amp;C966))</f>
        <v/>
      </c>
      <c r="Y966" s="33"/>
      <c r="Z966" s="31"/>
      <c r="AA966" s="33"/>
      <c r="AB966" s="37" t="str">
        <f aca="false">IF(B966="","",YEAR(B966)*100+MONTH(B966))</f>
        <v/>
      </c>
      <c r="AC966" s="37" t="str">
        <f aca="false">IF(AND(E966&lt;&gt;"",E966=Cruce!$C$5),COUNTIF($E$5:E966,E966),"")</f>
        <v/>
      </c>
      <c r="AD966" s="37" t="str">
        <f aca="false">IF(E966="","",C966&amp;"|"&amp;Y966&amp;"|"&amp;IF(B966="","s/f",TEXT(B966,"yyyymmdd")))</f>
        <v/>
      </c>
      <c r="AE966" s="37" t="n">
        <f aca="false">IF(E966="",0,IF(COUNTIFS($E$5:E966,E966,$AD$5:AD966,AD966)=1,1,0))</f>
        <v>0</v>
      </c>
    </row>
    <row r="967" customFormat="false" ht="15" hidden="false" customHeight="true" outlineLevel="0" collapsed="false">
      <c r="A967" s="31"/>
      <c r="B967" s="30"/>
      <c r="C967" s="31"/>
      <c r="D967" s="31"/>
      <c r="E967" s="32"/>
      <c r="F967" s="32"/>
      <c r="G967" s="33"/>
      <c r="H967" s="31"/>
      <c r="I967" s="24" t="str">
        <f aca="false">IF(B967="","",YEAR(B967))</f>
        <v/>
      </c>
      <c r="J967" s="34" t="str">
        <f aca="false">IF(B967="","",IF(MONTH(B967)=1,"X",""))</f>
        <v/>
      </c>
      <c r="K967" s="34" t="str">
        <f aca="false">IF(B967="","",IF(MONTH(B967)=2,"X",""))</f>
        <v/>
      </c>
      <c r="L967" s="34" t="str">
        <f aca="false">IF(B967="","",IF(MONTH(B967)=3,"X",""))</f>
        <v/>
      </c>
      <c r="M967" s="34" t="str">
        <f aca="false">IF(B967="","",IF(MONTH(B967)=4,"X",""))</f>
        <v/>
      </c>
      <c r="N967" s="34" t="str">
        <f aca="false">IF(B967="","",IF(MONTH(B967)=5,"X",""))</f>
        <v/>
      </c>
      <c r="O967" s="34" t="str">
        <f aca="false">IF(B967="","",IF(MONTH(B967)=6,"X",""))</f>
        <v/>
      </c>
      <c r="P967" s="34" t="str">
        <f aca="false">IF(B967="","",IF(MONTH(B967)=7,"X",""))</f>
        <v/>
      </c>
      <c r="Q967" s="34" t="str">
        <f aca="false">IF(B967="","",IF(MONTH(B967)=8,"X",""))</f>
        <v/>
      </c>
      <c r="R967" s="34" t="str">
        <f aca="false">IF(B967="","",IF(MONTH(B967)=9,"X",""))</f>
        <v/>
      </c>
      <c r="S967" s="34" t="str">
        <f aca="false">IF(B967="","",IF(MONTH(B967)=10,"X",""))</f>
        <v/>
      </c>
      <c r="T967" s="34" t="str">
        <f aca="false">IF(B967="","",IF(MONTH(B967)=11,"X",""))</f>
        <v/>
      </c>
      <c r="U967" s="34" t="str">
        <f aca="false">IF(B967="","",IF(MONTH(B967)=12,"X",""))</f>
        <v/>
      </c>
      <c r="V967" s="24" t="str">
        <f aca="false">IF(E967="","",COUNTIF($E$5:$E$1000,E967))</f>
        <v/>
      </c>
      <c r="W967" s="35" t="str">
        <f aca="false">IF(E967="","",_xlfn.TEXTJOIN(" + ",TRUE(),IF(COUNTIFS($E$5:$E$1000,E967,$C$5:$C$1000,"Auditoría Interna")&gt;0,"Interna",""),IF(COUNTIFS($E$5:$E$1000,E967,$C$5:$C$1000,"Auditoría Externa")&gt;0,"Externa",""),IF(COUNTIFS($E$5:$E$1000,E967,$C$5:$C$1000,"SSF")&gt;0,"SSF",""),IF(COUNTIFS($E$5:$E$1000,E967,$C$5:$C$1000,"Comité de Supervisión")&gt;0,"Comité Sup.",""),IF(COUNTIFS($E$5:$E$1000,E967,$C$5:$C$1000,"Consejo de Administración")&gt;0,"Consejo",""),IF(COUNTIFS($E$5:$E$1000,E967,$C$5:$C$1000,"Otros")&gt;0,"Otros","")))</f>
        <v/>
      </c>
      <c r="X967" s="24" t="str">
        <f aca="false">IF(E967="","",COUNTIFS($E$5:$E$1000,E967,$AB$5:$AB$1000,AB967,$C$5:$C$1000,"&lt;&gt;"&amp;C967))</f>
        <v/>
      </c>
      <c r="Y967" s="33"/>
      <c r="Z967" s="31"/>
      <c r="AA967" s="33"/>
      <c r="AB967" s="37" t="str">
        <f aca="false">IF(B967="","",YEAR(B967)*100+MONTH(B967))</f>
        <v/>
      </c>
      <c r="AC967" s="37" t="str">
        <f aca="false">IF(AND(E967&lt;&gt;"",E967=Cruce!$C$5),COUNTIF($E$5:E967,E967),"")</f>
        <v/>
      </c>
      <c r="AD967" s="37" t="str">
        <f aca="false">IF(E967="","",C967&amp;"|"&amp;Y967&amp;"|"&amp;IF(B967="","s/f",TEXT(B967,"yyyymmdd")))</f>
        <v/>
      </c>
      <c r="AE967" s="37" t="n">
        <f aca="false">IF(E967="",0,IF(COUNTIFS($E$5:E967,E967,$AD$5:AD967,AD967)=1,1,0))</f>
        <v>0</v>
      </c>
    </row>
    <row r="968" customFormat="false" ht="15" hidden="false" customHeight="true" outlineLevel="0" collapsed="false">
      <c r="A968" s="31"/>
      <c r="B968" s="30"/>
      <c r="C968" s="31"/>
      <c r="D968" s="31"/>
      <c r="E968" s="32"/>
      <c r="F968" s="32"/>
      <c r="G968" s="33"/>
      <c r="H968" s="31"/>
      <c r="I968" s="24" t="str">
        <f aca="false">IF(B968="","",YEAR(B968))</f>
        <v/>
      </c>
      <c r="J968" s="34" t="str">
        <f aca="false">IF(B968="","",IF(MONTH(B968)=1,"X",""))</f>
        <v/>
      </c>
      <c r="K968" s="34" t="str">
        <f aca="false">IF(B968="","",IF(MONTH(B968)=2,"X",""))</f>
        <v/>
      </c>
      <c r="L968" s="34" t="str">
        <f aca="false">IF(B968="","",IF(MONTH(B968)=3,"X",""))</f>
        <v/>
      </c>
      <c r="M968" s="34" t="str">
        <f aca="false">IF(B968="","",IF(MONTH(B968)=4,"X",""))</f>
        <v/>
      </c>
      <c r="N968" s="34" t="str">
        <f aca="false">IF(B968="","",IF(MONTH(B968)=5,"X",""))</f>
        <v/>
      </c>
      <c r="O968" s="34" t="str">
        <f aca="false">IF(B968="","",IF(MONTH(B968)=6,"X",""))</f>
        <v/>
      </c>
      <c r="P968" s="34" t="str">
        <f aca="false">IF(B968="","",IF(MONTH(B968)=7,"X",""))</f>
        <v/>
      </c>
      <c r="Q968" s="34" t="str">
        <f aca="false">IF(B968="","",IF(MONTH(B968)=8,"X",""))</f>
        <v/>
      </c>
      <c r="R968" s="34" t="str">
        <f aca="false">IF(B968="","",IF(MONTH(B968)=9,"X",""))</f>
        <v/>
      </c>
      <c r="S968" s="34" t="str">
        <f aca="false">IF(B968="","",IF(MONTH(B968)=10,"X",""))</f>
        <v/>
      </c>
      <c r="T968" s="34" t="str">
        <f aca="false">IF(B968="","",IF(MONTH(B968)=11,"X",""))</f>
        <v/>
      </c>
      <c r="U968" s="34" t="str">
        <f aca="false">IF(B968="","",IF(MONTH(B968)=12,"X",""))</f>
        <v/>
      </c>
      <c r="V968" s="24" t="str">
        <f aca="false">IF(E968="","",COUNTIF($E$5:$E$1000,E968))</f>
        <v/>
      </c>
      <c r="W968" s="35" t="str">
        <f aca="false">IF(E968="","",_xlfn.TEXTJOIN(" + ",TRUE(),IF(COUNTIFS($E$5:$E$1000,E968,$C$5:$C$1000,"Auditoría Interna")&gt;0,"Interna",""),IF(COUNTIFS($E$5:$E$1000,E968,$C$5:$C$1000,"Auditoría Externa")&gt;0,"Externa",""),IF(COUNTIFS($E$5:$E$1000,E968,$C$5:$C$1000,"SSF")&gt;0,"SSF",""),IF(COUNTIFS($E$5:$E$1000,E968,$C$5:$C$1000,"Comité de Supervisión")&gt;0,"Comité Sup.",""),IF(COUNTIFS($E$5:$E$1000,E968,$C$5:$C$1000,"Consejo de Administración")&gt;0,"Consejo",""),IF(COUNTIFS($E$5:$E$1000,E968,$C$5:$C$1000,"Otros")&gt;0,"Otros","")))</f>
        <v/>
      </c>
      <c r="X968" s="24" t="str">
        <f aca="false">IF(E968="","",COUNTIFS($E$5:$E$1000,E968,$AB$5:$AB$1000,AB968,$C$5:$C$1000,"&lt;&gt;"&amp;C968))</f>
        <v/>
      </c>
      <c r="Y968" s="33"/>
      <c r="Z968" s="31"/>
      <c r="AA968" s="33"/>
      <c r="AB968" s="37" t="str">
        <f aca="false">IF(B968="","",YEAR(B968)*100+MONTH(B968))</f>
        <v/>
      </c>
      <c r="AC968" s="37" t="str">
        <f aca="false">IF(AND(E968&lt;&gt;"",E968=Cruce!$C$5),COUNTIF($E$5:E968,E968),"")</f>
        <v/>
      </c>
      <c r="AD968" s="37" t="str">
        <f aca="false">IF(E968="","",C968&amp;"|"&amp;Y968&amp;"|"&amp;IF(B968="","s/f",TEXT(B968,"yyyymmdd")))</f>
        <v/>
      </c>
      <c r="AE968" s="37" t="n">
        <f aca="false">IF(E968="",0,IF(COUNTIFS($E$5:E968,E968,$AD$5:AD968,AD968)=1,1,0))</f>
        <v>0</v>
      </c>
    </row>
    <row r="969" customFormat="false" ht="15" hidden="false" customHeight="true" outlineLevel="0" collapsed="false">
      <c r="A969" s="31"/>
      <c r="B969" s="30"/>
      <c r="C969" s="31"/>
      <c r="D969" s="31"/>
      <c r="E969" s="32"/>
      <c r="F969" s="32"/>
      <c r="G969" s="33"/>
      <c r="H969" s="31"/>
      <c r="I969" s="24" t="str">
        <f aca="false">IF(B969="","",YEAR(B969))</f>
        <v/>
      </c>
      <c r="J969" s="34" t="str">
        <f aca="false">IF(B969="","",IF(MONTH(B969)=1,"X",""))</f>
        <v/>
      </c>
      <c r="K969" s="34" t="str">
        <f aca="false">IF(B969="","",IF(MONTH(B969)=2,"X",""))</f>
        <v/>
      </c>
      <c r="L969" s="34" t="str">
        <f aca="false">IF(B969="","",IF(MONTH(B969)=3,"X",""))</f>
        <v/>
      </c>
      <c r="M969" s="34" t="str">
        <f aca="false">IF(B969="","",IF(MONTH(B969)=4,"X",""))</f>
        <v/>
      </c>
      <c r="N969" s="34" t="str">
        <f aca="false">IF(B969="","",IF(MONTH(B969)=5,"X",""))</f>
        <v/>
      </c>
      <c r="O969" s="34" t="str">
        <f aca="false">IF(B969="","",IF(MONTH(B969)=6,"X",""))</f>
        <v/>
      </c>
      <c r="P969" s="34" t="str">
        <f aca="false">IF(B969="","",IF(MONTH(B969)=7,"X",""))</f>
        <v/>
      </c>
      <c r="Q969" s="34" t="str">
        <f aca="false">IF(B969="","",IF(MONTH(B969)=8,"X",""))</f>
        <v/>
      </c>
      <c r="R969" s="34" t="str">
        <f aca="false">IF(B969="","",IF(MONTH(B969)=9,"X",""))</f>
        <v/>
      </c>
      <c r="S969" s="34" t="str">
        <f aca="false">IF(B969="","",IF(MONTH(B969)=10,"X",""))</f>
        <v/>
      </c>
      <c r="T969" s="34" t="str">
        <f aca="false">IF(B969="","",IF(MONTH(B969)=11,"X",""))</f>
        <v/>
      </c>
      <c r="U969" s="34" t="str">
        <f aca="false">IF(B969="","",IF(MONTH(B969)=12,"X",""))</f>
        <v/>
      </c>
      <c r="V969" s="24" t="str">
        <f aca="false">IF(E969="","",COUNTIF($E$5:$E$1000,E969))</f>
        <v/>
      </c>
      <c r="W969" s="35" t="str">
        <f aca="false">IF(E969="","",_xlfn.TEXTJOIN(" + ",TRUE(),IF(COUNTIFS($E$5:$E$1000,E969,$C$5:$C$1000,"Auditoría Interna")&gt;0,"Interna",""),IF(COUNTIFS($E$5:$E$1000,E969,$C$5:$C$1000,"Auditoría Externa")&gt;0,"Externa",""),IF(COUNTIFS($E$5:$E$1000,E969,$C$5:$C$1000,"SSF")&gt;0,"SSF",""),IF(COUNTIFS($E$5:$E$1000,E969,$C$5:$C$1000,"Comité de Supervisión")&gt;0,"Comité Sup.",""),IF(COUNTIFS($E$5:$E$1000,E969,$C$5:$C$1000,"Consejo de Administración")&gt;0,"Consejo",""),IF(COUNTIFS($E$5:$E$1000,E969,$C$5:$C$1000,"Otros")&gt;0,"Otros","")))</f>
        <v/>
      </c>
      <c r="X969" s="24" t="str">
        <f aca="false">IF(E969="","",COUNTIFS($E$5:$E$1000,E969,$AB$5:$AB$1000,AB969,$C$5:$C$1000,"&lt;&gt;"&amp;C969))</f>
        <v/>
      </c>
      <c r="Y969" s="33"/>
      <c r="Z969" s="31"/>
      <c r="AA969" s="33"/>
      <c r="AB969" s="37" t="str">
        <f aca="false">IF(B969="","",YEAR(B969)*100+MONTH(B969))</f>
        <v/>
      </c>
      <c r="AC969" s="37" t="str">
        <f aca="false">IF(AND(E969&lt;&gt;"",E969=Cruce!$C$5),COUNTIF($E$5:E969,E969),"")</f>
        <v/>
      </c>
      <c r="AD969" s="37" t="str">
        <f aca="false">IF(E969="","",C969&amp;"|"&amp;Y969&amp;"|"&amp;IF(B969="","s/f",TEXT(B969,"yyyymmdd")))</f>
        <v/>
      </c>
      <c r="AE969" s="37" t="n">
        <f aca="false">IF(E969="",0,IF(COUNTIFS($E$5:E969,E969,$AD$5:AD969,AD969)=1,1,0))</f>
        <v>0</v>
      </c>
    </row>
    <row r="970" customFormat="false" ht="15" hidden="false" customHeight="true" outlineLevel="0" collapsed="false">
      <c r="A970" s="31"/>
      <c r="B970" s="30"/>
      <c r="C970" s="31"/>
      <c r="D970" s="31"/>
      <c r="E970" s="32"/>
      <c r="F970" s="32"/>
      <c r="G970" s="33"/>
      <c r="H970" s="31"/>
      <c r="I970" s="24" t="str">
        <f aca="false">IF(B970="","",YEAR(B970))</f>
        <v/>
      </c>
      <c r="J970" s="34" t="str">
        <f aca="false">IF(B970="","",IF(MONTH(B970)=1,"X",""))</f>
        <v/>
      </c>
      <c r="K970" s="34" t="str">
        <f aca="false">IF(B970="","",IF(MONTH(B970)=2,"X",""))</f>
        <v/>
      </c>
      <c r="L970" s="34" t="str">
        <f aca="false">IF(B970="","",IF(MONTH(B970)=3,"X",""))</f>
        <v/>
      </c>
      <c r="M970" s="34" t="str">
        <f aca="false">IF(B970="","",IF(MONTH(B970)=4,"X",""))</f>
        <v/>
      </c>
      <c r="N970" s="34" t="str">
        <f aca="false">IF(B970="","",IF(MONTH(B970)=5,"X",""))</f>
        <v/>
      </c>
      <c r="O970" s="34" t="str">
        <f aca="false">IF(B970="","",IF(MONTH(B970)=6,"X",""))</f>
        <v/>
      </c>
      <c r="P970" s="34" t="str">
        <f aca="false">IF(B970="","",IF(MONTH(B970)=7,"X",""))</f>
        <v/>
      </c>
      <c r="Q970" s="34" t="str">
        <f aca="false">IF(B970="","",IF(MONTH(B970)=8,"X",""))</f>
        <v/>
      </c>
      <c r="R970" s="34" t="str">
        <f aca="false">IF(B970="","",IF(MONTH(B970)=9,"X",""))</f>
        <v/>
      </c>
      <c r="S970" s="34" t="str">
        <f aca="false">IF(B970="","",IF(MONTH(B970)=10,"X",""))</f>
        <v/>
      </c>
      <c r="T970" s="34" t="str">
        <f aca="false">IF(B970="","",IF(MONTH(B970)=11,"X",""))</f>
        <v/>
      </c>
      <c r="U970" s="34" t="str">
        <f aca="false">IF(B970="","",IF(MONTH(B970)=12,"X",""))</f>
        <v/>
      </c>
      <c r="V970" s="24" t="str">
        <f aca="false">IF(E970="","",COUNTIF($E$5:$E$1000,E970))</f>
        <v/>
      </c>
      <c r="W970" s="35" t="str">
        <f aca="false">IF(E970="","",_xlfn.TEXTJOIN(" + ",TRUE(),IF(COUNTIFS($E$5:$E$1000,E970,$C$5:$C$1000,"Auditoría Interna")&gt;0,"Interna",""),IF(COUNTIFS($E$5:$E$1000,E970,$C$5:$C$1000,"Auditoría Externa")&gt;0,"Externa",""),IF(COUNTIFS($E$5:$E$1000,E970,$C$5:$C$1000,"SSF")&gt;0,"SSF",""),IF(COUNTIFS($E$5:$E$1000,E970,$C$5:$C$1000,"Comité de Supervisión")&gt;0,"Comité Sup.",""),IF(COUNTIFS($E$5:$E$1000,E970,$C$5:$C$1000,"Consejo de Administración")&gt;0,"Consejo",""),IF(COUNTIFS($E$5:$E$1000,E970,$C$5:$C$1000,"Otros")&gt;0,"Otros","")))</f>
        <v/>
      </c>
      <c r="X970" s="24" t="str">
        <f aca="false">IF(E970="","",COUNTIFS($E$5:$E$1000,E970,$AB$5:$AB$1000,AB970,$C$5:$C$1000,"&lt;&gt;"&amp;C970))</f>
        <v/>
      </c>
      <c r="Y970" s="33"/>
      <c r="Z970" s="31"/>
      <c r="AA970" s="33"/>
      <c r="AB970" s="37" t="str">
        <f aca="false">IF(B970="","",YEAR(B970)*100+MONTH(B970))</f>
        <v/>
      </c>
      <c r="AC970" s="37" t="str">
        <f aca="false">IF(AND(E970&lt;&gt;"",E970=Cruce!$C$5),COUNTIF($E$5:E970,E970),"")</f>
        <v/>
      </c>
      <c r="AD970" s="37" t="str">
        <f aca="false">IF(E970="","",C970&amp;"|"&amp;Y970&amp;"|"&amp;IF(B970="","s/f",TEXT(B970,"yyyymmdd")))</f>
        <v/>
      </c>
      <c r="AE970" s="37" t="n">
        <f aca="false">IF(E970="",0,IF(COUNTIFS($E$5:E970,E970,$AD$5:AD970,AD970)=1,1,0))</f>
        <v>0</v>
      </c>
    </row>
    <row r="971" customFormat="false" ht="15" hidden="false" customHeight="true" outlineLevel="0" collapsed="false">
      <c r="A971" s="31"/>
      <c r="B971" s="30"/>
      <c r="C971" s="31"/>
      <c r="D971" s="31"/>
      <c r="E971" s="32"/>
      <c r="F971" s="32"/>
      <c r="G971" s="33"/>
      <c r="H971" s="31"/>
      <c r="I971" s="24" t="str">
        <f aca="false">IF(B971="","",YEAR(B971))</f>
        <v/>
      </c>
      <c r="J971" s="34" t="str">
        <f aca="false">IF(B971="","",IF(MONTH(B971)=1,"X",""))</f>
        <v/>
      </c>
      <c r="K971" s="34" t="str">
        <f aca="false">IF(B971="","",IF(MONTH(B971)=2,"X",""))</f>
        <v/>
      </c>
      <c r="L971" s="34" t="str">
        <f aca="false">IF(B971="","",IF(MONTH(B971)=3,"X",""))</f>
        <v/>
      </c>
      <c r="M971" s="34" t="str">
        <f aca="false">IF(B971="","",IF(MONTH(B971)=4,"X",""))</f>
        <v/>
      </c>
      <c r="N971" s="34" t="str">
        <f aca="false">IF(B971="","",IF(MONTH(B971)=5,"X",""))</f>
        <v/>
      </c>
      <c r="O971" s="34" t="str">
        <f aca="false">IF(B971="","",IF(MONTH(B971)=6,"X",""))</f>
        <v/>
      </c>
      <c r="P971" s="34" t="str">
        <f aca="false">IF(B971="","",IF(MONTH(B971)=7,"X",""))</f>
        <v/>
      </c>
      <c r="Q971" s="34" t="str">
        <f aca="false">IF(B971="","",IF(MONTH(B971)=8,"X",""))</f>
        <v/>
      </c>
      <c r="R971" s="34" t="str">
        <f aca="false">IF(B971="","",IF(MONTH(B971)=9,"X",""))</f>
        <v/>
      </c>
      <c r="S971" s="34" t="str">
        <f aca="false">IF(B971="","",IF(MONTH(B971)=10,"X",""))</f>
        <v/>
      </c>
      <c r="T971" s="34" t="str">
        <f aca="false">IF(B971="","",IF(MONTH(B971)=11,"X",""))</f>
        <v/>
      </c>
      <c r="U971" s="34" t="str">
        <f aca="false">IF(B971="","",IF(MONTH(B971)=12,"X",""))</f>
        <v/>
      </c>
      <c r="V971" s="24" t="str">
        <f aca="false">IF(E971="","",COUNTIF($E$5:$E$1000,E971))</f>
        <v/>
      </c>
      <c r="W971" s="35" t="str">
        <f aca="false">IF(E971="","",_xlfn.TEXTJOIN(" + ",TRUE(),IF(COUNTIFS($E$5:$E$1000,E971,$C$5:$C$1000,"Auditoría Interna")&gt;0,"Interna",""),IF(COUNTIFS($E$5:$E$1000,E971,$C$5:$C$1000,"Auditoría Externa")&gt;0,"Externa",""),IF(COUNTIFS($E$5:$E$1000,E971,$C$5:$C$1000,"SSF")&gt;0,"SSF",""),IF(COUNTIFS($E$5:$E$1000,E971,$C$5:$C$1000,"Comité de Supervisión")&gt;0,"Comité Sup.",""),IF(COUNTIFS($E$5:$E$1000,E971,$C$5:$C$1000,"Consejo de Administración")&gt;0,"Consejo",""),IF(COUNTIFS($E$5:$E$1000,E971,$C$5:$C$1000,"Otros")&gt;0,"Otros","")))</f>
        <v/>
      </c>
      <c r="X971" s="24" t="str">
        <f aca="false">IF(E971="","",COUNTIFS($E$5:$E$1000,E971,$AB$5:$AB$1000,AB971,$C$5:$C$1000,"&lt;&gt;"&amp;C971))</f>
        <v/>
      </c>
      <c r="Y971" s="33"/>
      <c r="Z971" s="31"/>
      <c r="AA971" s="33"/>
      <c r="AB971" s="37" t="str">
        <f aca="false">IF(B971="","",YEAR(B971)*100+MONTH(B971))</f>
        <v/>
      </c>
      <c r="AC971" s="37" t="str">
        <f aca="false">IF(AND(E971&lt;&gt;"",E971=Cruce!$C$5),COUNTIF($E$5:E971,E971),"")</f>
        <v/>
      </c>
      <c r="AD971" s="37" t="str">
        <f aca="false">IF(E971="","",C971&amp;"|"&amp;Y971&amp;"|"&amp;IF(B971="","s/f",TEXT(B971,"yyyymmdd")))</f>
        <v/>
      </c>
      <c r="AE971" s="37" t="n">
        <f aca="false">IF(E971="",0,IF(COUNTIFS($E$5:E971,E971,$AD$5:AD971,AD971)=1,1,0))</f>
        <v>0</v>
      </c>
    </row>
    <row r="972" customFormat="false" ht="15" hidden="false" customHeight="true" outlineLevel="0" collapsed="false">
      <c r="A972" s="31"/>
      <c r="B972" s="30"/>
      <c r="C972" s="31"/>
      <c r="D972" s="31"/>
      <c r="E972" s="32"/>
      <c r="F972" s="32"/>
      <c r="G972" s="33"/>
      <c r="H972" s="31"/>
      <c r="I972" s="24" t="str">
        <f aca="false">IF(B972="","",YEAR(B972))</f>
        <v/>
      </c>
      <c r="J972" s="34" t="str">
        <f aca="false">IF(B972="","",IF(MONTH(B972)=1,"X",""))</f>
        <v/>
      </c>
      <c r="K972" s="34" t="str">
        <f aca="false">IF(B972="","",IF(MONTH(B972)=2,"X",""))</f>
        <v/>
      </c>
      <c r="L972" s="34" t="str">
        <f aca="false">IF(B972="","",IF(MONTH(B972)=3,"X",""))</f>
        <v/>
      </c>
      <c r="M972" s="34" t="str">
        <f aca="false">IF(B972="","",IF(MONTH(B972)=4,"X",""))</f>
        <v/>
      </c>
      <c r="N972" s="34" t="str">
        <f aca="false">IF(B972="","",IF(MONTH(B972)=5,"X",""))</f>
        <v/>
      </c>
      <c r="O972" s="34" t="str">
        <f aca="false">IF(B972="","",IF(MONTH(B972)=6,"X",""))</f>
        <v/>
      </c>
      <c r="P972" s="34" t="str">
        <f aca="false">IF(B972="","",IF(MONTH(B972)=7,"X",""))</f>
        <v/>
      </c>
      <c r="Q972" s="34" t="str">
        <f aca="false">IF(B972="","",IF(MONTH(B972)=8,"X",""))</f>
        <v/>
      </c>
      <c r="R972" s="34" t="str">
        <f aca="false">IF(B972="","",IF(MONTH(B972)=9,"X",""))</f>
        <v/>
      </c>
      <c r="S972" s="34" t="str">
        <f aca="false">IF(B972="","",IF(MONTH(B972)=10,"X",""))</f>
        <v/>
      </c>
      <c r="T972" s="34" t="str">
        <f aca="false">IF(B972="","",IF(MONTH(B972)=11,"X",""))</f>
        <v/>
      </c>
      <c r="U972" s="34" t="str">
        <f aca="false">IF(B972="","",IF(MONTH(B972)=12,"X",""))</f>
        <v/>
      </c>
      <c r="V972" s="24" t="str">
        <f aca="false">IF(E972="","",COUNTIF($E$5:$E$1000,E972))</f>
        <v/>
      </c>
      <c r="W972" s="35" t="str">
        <f aca="false">IF(E972="","",_xlfn.TEXTJOIN(" + ",TRUE(),IF(COUNTIFS($E$5:$E$1000,E972,$C$5:$C$1000,"Auditoría Interna")&gt;0,"Interna",""),IF(COUNTIFS($E$5:$E$1000,E972,$C$5:$C$1000,"Auditoría Externa")&gt;0,"Externa",""),IF(COUNTIFS($E$5:$E$1000,E972,$C$5:$C$1000,"SSF")&gt;0,"SSF",""),IF(COUNTIFS($E$5:$E$1000,E972,$C$5:$C$1000,"Comité de Supervisión")&gt;0,"Comité Sup.",""),IF(COUNTIFS($E$5:$E$1000,E972,$C$5:$C$1000,"Consejo de Administración")&gt;0,"Consejo",""),IF(COUNTIFS($E$5:$E$1000,E972,$C$5:$C$1000,"Otros")&gt;0,"Otros","")))</f>
        <v/>
      </c>
      <c r="X972" s="24" t="str">
        <f aca="false">IF(E972="","",COUNTIFS($E$5:$E$1000,E972,$AB$5:$AB$1000,AB972,$C$5:$C$1000,"&lt;&gt;"&amp;C972))</f>
        <v/>
      </c>
      <c r="Y972" s="33"/>
      <c r="Z972" s="31"/>
      <c r="AA972" s="33"/>
      <c r="AB972" s="37" t="str">
        <f aca="false">IF(B972="","",YEAR(B972)*100+MONTH(B972))</f>
        <v/>
      </c>
      <c r="AC972" s="37" t="str">
        <f aca="false">IF(AND(E972&lt;&gt;"",E972=Cruce!$C$5),COUNTIF($E$5:E972,E972),"")</f>
        <v/>
      </c>
      <c r="AD972" s="37" t="str">
        <f aca="false">IF(E972="","",C972&amp;"|"&amp;Y972&amp;"|"&amp;IF(B972="","s/f",TEXT(B972,"yyyymmdd")))</f>
        <v/>
      </c>
      <c r="AE972" s="37" t="n">
        <f aca="false">IF(E972="",0,IF(COUNTIFS($E$5:E972,E972,$AD$5:AD972,AD972)=1,1,0))</f>
        <v>0</v>
      </c>
    </row>
    <row r="973" customFormat="false" ht="15" hidden="false" customHeight="true" outlineLevel="0" collapsed="false">
      <c r="A973" s="31"/>
      <c r="B973" s="30"/>
      <c r="C973" s="31"/>
      <c r="D973" s="31"/>
      <c r="E973" s="32"/>
      <c r="F973" s="32"/>
      <c r="G973" s="33"/>
      <c r="H973" s="31"/>
      <c r="I973" s="24" t="str">
        <f aca="false">IF(B973="","",YEAR(B973))</f>
        <v/>
      </c>
      <c r="J973" s="34" t="str">
        <f aca="false">IF(B973="","",IF(MONTH(B973)=1,"X",""))</f>
        <v/>
      </c>
      <c r="K973" s="34" t="str">
        <f aca="false">IF(B973="","",IF(MONTH(B973)=2,"X",""))</f>
        <v/>
      </c>
      <c r="L973" s="34" t="str">
        <f aca="false">IF(B973="","",IF(MONTH(B973)=3,"X",""))</f>
        <v/>
      </c>
      <c r="M973" s="34" t="str">
        <f aca="false">IF(B973="","",IF(MONTH(B973)=4,"X",""))</f>
        <v/>
      </c>
      <c r="N973" s="34" t="str">
        <f aca="false">IF(B973="","",IF(MONTH(B973)=5,"X",""))</f>
        <v/>
      </c>
      <c r="O973" s="34" t="str">
        <f aca="false">IF(B973="","",IF(MONTH(B973)=6,"X",""))</f>
        <v/>
      </c>
      <c r="P973" s="34" t="str">
        <f aca="false">IF(B973="","",IF(MONTH(B973)=7,"X",""))</f>
        <v/>
      </c>
      <c r="Q973" s="34" t="str">
        <f aca="false">IF(B973="","",IF(MONTH(B973)=8,"X",""))</f>
        <v/>
      </c>
      <c r="R973" s="34" t="str">
        <f aca="false">IF(B973="","",IF(MONTH(B973)=9,"X",""))</f>
        <v/>
      </c>
      <c r="S973" s="34" t="str">
        <f aca="false">IF(B973="","",IF(MONTH(B973)=10,"X",""))</f>
        <v/>
      </c>
      <c r="T973" s="34" t="str">
        <f aca="false">IF(B973="","",IF(MONTH(B973)=11,"X",""))</f>
        <v/>
      </c>
      <c r="U973" s="34" t="str">
        <f aca="false">IF(B973="","",IF(MONTH(B973)=12,"X",""))</f>
        <v/>
      </c>
      <c r="V973" s="24" t="str">
        <f aca="false">IF(E973="","",COUNTIF($E$5:$E$1000,E973))</f>
        <v/>
      </c>
      <c r="W973" s="35" t="str">
        <f aca="false">IF(E973="","",_xlfn.TEXTJOIN(" + ",TRUE(),IF(COUNTIFS($E$5:$E$1000,E973,$C$5:$C$1000,"Auditoría Interna")&gt;0,"Interna",""),IF(COUNTIFS($E$5:$E$1000,E973,$C$5:$C$1000,"Auditoría Externa")&gt;0,"Externa",""),IF(COUNTIFS($E$5:$E$1000,E973,$C$5:$C$1000,"SSF")&gt;0,"SSF",""),IF(COUNTIFS($E$5:$E$1000,E973,$C$5:$C$1000,"Comité de Supervisión")&gt;0,"Comité Sup.",""),IF(COUNTIFS($E$5:$E$1000,E973,$C$5:$C$1000,"Consejo de Administración")&gt;0,"Consejo",""),IF(COUNTIFS($E$5:$E$1000,E973,$C$5:$C$1000,"Otros")&gt;0,"Otros","")))</f>
        <v/>
      </c>
      <c r="X973" s="24" t="str">
        <f aca="false">IF(E973="","",COUNTIFS($E$5:$E$1000,E973,$AB$5:$AB$1000,AB973,$C$5:$C$1000,"&lt;&gt;"&amp;C973))</f>
        <v/>
      </c>
      <c r="Y973" s="33"/>
      <c r="Z973" s="31"/>
      <c r="AA973" s="33"/>
      <c r="AB973" s="37" t="str">
        <f aca="false">IF(B973="","",YEAR(B973)*100+MONTH(B973))</f>
        <v/>
      </c>
      <c r="AC973" s="37" t="str">
        <f aca="false">IF(AND(E973&lt;&gt;"",E973=Cruce!$C$5),COUNTIF($E$5:E973,E973),"")</f>
        <v/>
      </c>
      <c r="AD973" s="37" t="str">
        <f aca="false">IF(E973="","",C973&amp;"|"&amp;Y973&amp;"|"&amp;IF(B973="","s/f",TEXT(B973,"yyyymmdd")))</f>
        <v/>
      </c>
      <c r="AE973" s="37" t="n">
        <f aca="false">IF(E973="",0,IF(COUNTIFS($E$5:E973,E973,$AD$5:AD973,AD973)=1,1,0))</f>
        <v>0</v>
      </c>
    </row>
    <row r="974" customFormat="false" ht="15" hidden="false" customHeight="true" outlineLevel="0" collapsed="false">
      <c r="A974" s="31"/>
      <c r="B974" s="30"/>
      <c r="C974" s="31"/>
      <c r="D974" s="31"/>
      <c r="E974" s="32"/>
      <c r="F974" s="32"/>
      <c r="G974" s="33"/>
      <c r="H974" s="31"/>
      <c r="I974" s="24" t="str">
        <f aca="false">IF(B974="","",YEAR(B974))</f>
        <v/>
      </c>
      <c r="J974" s="34" t="str">
        <f aca="false">IF(B974="","",IF(MONTH(B974)=1,"X",""))</f>
        <v/>
      </c>
      <c r="K974" s="34" t="str">
        <f aca="false">IF(B974="","",IF(MONTH(B974)=2,"X",""))</f>
        <v/>
      </c>
      <c r="L974" s="34" t="str">
        <f aca="false">IF(B974="","",IF(MONTH(B974)=3,"X",""))</f>
        <v/>
      </c>
      <c r="M974" s="34" t="str">
        <f aca="false">IF(B974="","",IF(MONTH(B974)=4,"X",""))</f>
        <v/>
      </c>
      <c r="N974" s="34" t="str">
        <f aca="false">IF(B974="","",IF(MONTH(B974)=5,"X",""))</f>
        <v/>
      </c>
      <c r="O974" s="34" t="str">
        <f aca="false">IF(B974="","",IF(MONTH(B974)=6,"X",""))</f>
        <v/>
      </c>
      <c r="P974" s="34" t="str">
        <f aca="false">IF(B974="","",IF(MONTH(B974)=7,"X",""))</f>
        <v/>
      </c>
      <c r="Q974" s="34" t="str">
        <f aca="false">IF(B974="","",IF(MONTH(B974)=8,"X",""))</f>
        <v/>
      </c>
      <c r="R974" s="34" t="str">
        <f aca="false">IF(B974="","",IF(MONTH(B974)=9,"X",""))</f>
        <v/>
      </c>
      <c r="S974" s="34" t="str">
        <f aca="false">IF(B974="","",IF(MONTH(B974)=10,"X",""))</f>
        <v/>
      </c>
      <c r="T974" s="34" t="str">
        <f aca="false">IF(B974="","",IF(MONTH(B974)=11,"X",""))</f>
        <v/>
      </c>
      <c r="U974" s="34" t="str">
        <f aca="false">IF(B974="","",IF(MONTH(B974)=12,"X",""))</f>
        <v/>
      </c>
      <c r="V974" s="24" t="str">
        <f aca="false">IF(E974="","",COUNTIF($E$5:$E$1000,E974))</f>
        <v/>
      </c>
      <c r="W974" s="35" t="str">
        <f aca="false">IF(E974="","",_xlfn.TEXTJOIN(" + ",TRUE(),IF(COUNTIFS($E$5:$E$1000,E974,$C$5:$C$1000,"Auditoría Interna")&gt;0,"Interna",""),IF(COUNTIFS($E$5:$E$1000,E974,$C$5:$C$1000,"Auditoría Externa")&gt;0,"Externa",""),IF(COUNTIFS($E$5:$E$1000,E974,$C$5:$C$1000,"SSF")&gt;0,"SSF",""),IF(COUNTIFS($E$5:$E$1000,E974,$C$5:$C$1000,"Comité de Supervisión")&gt;0,"Comité Sup.",""),IF(COUNTIFS($E$5:$E$1000,E974,$C$5:$C$1000,"Consejo de Administración")&gt;0,"Consejo",""),IF(COUNTIFS($E$5:$E$1000,E974,$C$5:$C$1000,"Otros")&gt;0,"Otros","")))</f>
        <v/>
      </c>
      <c r="X974" s="24" t="str">
        <f aca="false">IF(E974="","",COUNTIFS($E$5:$E$1000,E974,$AB$5:$AB$1000,AB974,$C$5:$C$1000,"&lt;&gt;"&amp;C974))</f>
        <v/>
      </c>
      <c r="Y974" s="33"/>
      <c r="Z974" s="31"/>
      <c r="AA974" s="33"/>
      <c r="AB974" s="37" t="str">
        <f aca="false">IF(B974="","",YEAR(B974)*100+MONTH(B974))</f>
        <v/>
      </c>
      <c r="AC974" s="37" t="str">
        <f aca="false">IF(AND(E974&lt;&gt;"",E974=Cruce!$C$5),COUNTIF($E$5:E974,E974),"")</f>
        <v/>
      </c>
      <c r="AD974" s="37" t="str">
        <f aca="false">IF(E974="","",C974&amp;"|"&amp;Y974&amp;"|"&amp;IF(B974="","s/f",TEXT(B974,"yyyymmdd")))</f>
        <v/>
      </c>
      <c r="AE974" s="37" t="n">
        <f aca="false">IF(E974="",0,IF(COUNTIFS($E$5:E974,E974,$AD$5:AD974,AD974)=1,1,0))</f>
        <v>0</v>
      </c>
    </row>
    <row r="975" customFormat="false" ht="15" hidden="false" customHeight="true" outlineLevel="0" collapsed="false">
      <c r="A975" s="31"/>
      <c r="B975" s="30"/>
      <c r="C975" s="31"/>
      <c r="D975" s="31"/>
      <c r="E975" s="32"/>
      <c r="F975" s="32"/>
      <c r="G975" s="33"/>
      <c r="H975" s="31"/>
      <c r="I975" s="24" t="str">
        <f aca="false">IF(B975="","",YEAR(B975))</f>
        <v/>
      </c>
      <c r="J975" s="34" t="str">
        <f aca="false">IF(B975="","",IF(MONTH(B975)=1,"X",""))</f>
        <v/>
      </c>
      <c r="K975" s="34" t="str">
        <f aca="false">IF(B975="","",IF(MONTH(B975)=2,"X",""))</f>
        <v/>
      </c>
      <c r="L975" s="34" t="str">
        <f aca="false">IF(B975="","",IF(MONTH(B975)=3,"X",""))</f>
        <v/>
      </c>
      <c r="M975" s="34" t="str">
        <f aca="false">IF(B975="","",IF(MONTH(B975)=4,"X",""))</f>
        <v/>
      </c>
      <c r="N975" s="34" t="str">
        <f aca="false">IF(B975="","",IF(MONTH(B975)=5,"X",""))</f>
        <v/>
      </c>
      <c r="O975" s="34" t="str">
        <f aca="false">IF(B975="","",IF(MONTH(B975)=6,"X",""))</f>
        <v/>
      </c>
      <c r="P975" s="34" t="str">
        <f aca="false">IF(B975="","",IF(MONTH(B975)=7,"X",""))</f>
        <v/>
      </c>
      <c r="Q975" s="34" t="str">
        <f aca="false">IF(B975="","",IF(MONTH(B975)=8,"X",""))</f>
        <v/>
      </c>
      <c r="R975" s="34" t="str">
        <f aca="false">IF(B975="","",IF(MONTH(B975)=9,"X",""))</f>
        <v/>
      </c>
      <c r="S975" s="34" t="str">
        <f aca="false">IF(B975="","",IF(MONTH(B975)=10,"X",""))</f>
        <v/>
      </c>
      <c r="T975" s="34" t="str">
        <f aca="false">IF(B975="","",IF(MONTH(B975)=11,"X",""))</f>
        <v/>
      </c>
      <c r="U975" s="34" t="str">
        <f aca="false">IF(B975="","",IF(MONTH(B975)=12,"X",""))</f>
        <v/>
      </c>
      <c r="V975" s="24" t="str">
        <f aca="false">IF(E975="","",COUNTIF($E$5:$E$1000,E975))</f>
        <v/>
      </c>
      <c r="W975" s="35" t="str">
        <f aca="false">IF(E975="","",_xlfn.TEXTJOIN(" + ",TRUE(),IF(COUNTIFS($E$5:$E$1000,E975,$C$5:$C$1000,"Auditoría Interna")&gt;0,"Interna",""),IF(COUNTIFS($E$5:$E$1000,E975,$C$5:$C$1000,"Auditoría Externa")&gt;0,"Externa",""),IF(COUNTIFS($E$5:$E$1000,E975,$C$5:$C$1000,"SSF")&gt;0,"SSF",""),IF(COUNTIFS($E$5:$E$1000,E975,$C$5:$C$1000,"Comité de Supervisión")&gt;0,"Comité Sup.",""),IF(COUNTIFS($E$5:$E$1000,E975,$C$5:$C$1000,"Consejo de Administración")&gt;0,"Consejo",""),IF(COUNTIFS($E$5:$E$1000,E975,$C$5:$C$1000,"Otros")&gt;0,"Otros","")))</f>
        <v/>
      </c>
      <c r="X975" s="24" t="str">
        <f aca="false">IF(E975="","",COUNTIFS($E$5:$E$1000,E975,$AB$5:$AB$1000,AB975,$C$5:$C$1000,"&lt;&gt;"&amp;C975))</f>
        <v/>
      </c>
      <c r="Y975" s="33"/>
      <c r="Z975" s="31"/>
      <c r="AA975" s="33"/>
      <c r="AB975" s="37" t="str">
        <f aca="false">IF(B975="","",YEAR(B975)*100+MONTH(B975))</f>
        <v/>
      </c>
      <c r="AC975" s="37" t="str">
        <f aca="false">IF(AND(E975&lt;&gt;"",E975=Cruce!$C$5),COUNTIF($E$5:E975,E975),"")</f>
        <v/>
      </c>
      <c r="AD975" s="37" t="str">
        <f aca="false">IF(E975="","",C975&amp;"|"&amp;Y975&amp;"|"&amp;IF(B975="","s/f",TEXT(B975,"yyyymmdd")))</f>
        <v/>
      </c>
      <c r="AE975" s="37" t="n">
        <f aca="false">IF(E975="",0,IF(COUNTIFS($E$5:E975,E975,$AD$5:AD975,AD975)=1,1,0))</f>
        <v>0</v>
      </c>
    </row>
    <row r="976" customFormat="false" ht="15" hidden="false" customHeight="true" outlineLevel="0" collapsed="false">
      <c r="A976" s="31"/>
      <c r="B976" s="30"/>
      <c r="C976" s="31"/>
      <c r="D976" s="31"/>
      <c r="E976" s="32"/>
      <c r="F976" s="32"/>
      <c r="G976" s="33"/>
      <c r="H976" s="31"/>
      <c r="I976" s="24" t="str">
        <f aca="false">IF(B976="","",YEAR(B976))</f>
        <v/>
      </c>
      <c r="J976" s="34" t="str">
        <f aca="false">IF(B976="","",IF(MONTH(B976)=1,"X",""))</f>
        <v/>
      </c>
      <c r="K976" s="34" t="str">
        <f aca="false">IF(B976="","",IF(MONTH(B976)=2,"X",""))</f>
        <v/>
      </c>
      <c r="L976" s="34" t="str">
        <f aca="false">IF(B976="","",IF(MONTH(B976)=3,"X",""))</f>
        <v/>
      </c>
      <c r="M976" s="34" t="str">
        <f aca="false">IF(B976="","",IF(MONTH(B976)=4,"X",""))</f>
        <v/>
      </c>
      <c r="N976" s="34" t="str">
        <f aca="false">IF(B976="","",IF(MONTH(B976)=5,"X",""))</f>
        <v/>
      </c>
      <c r="O976" s="34" t="str">
        <f aca="false">IF(B976="","",IF(MONTH(B976)=6,"X",""))</f>
        <v/>
      </c>
      <c r="P976" s="34" t="str">
        <f aca="false">IF(B976="","",IF(MONTH(B976)=7,"X",""))</f>
        <v/>
      </c>
      <c r="Q976" s="34" t="str">
        <f aca="false">IF(B976="","",IF(MONTH(B976)=8,"X",""))</f>
        <v/>
      </c>
      <c r="R976" s="34" t="str">
        <f aca="false">IF(B976="","",IF(MONTH(B976)=9,"X",""))</f>
        <v/>
      </c>
      <c r="S976" s="34" t="str">
        <f aca="false">IF(B976="","",IF(MONTH(B976)=10,"X",""))</f>
        <v/>
      </c>
      <c r="T976" s="34" t="str">
        <f aca="false">IF(B976="","",IF(MONTH(B976)=11,"X",""))</f>
        <v/>
      </c>
      <c r="U976" s="34" t="str">
        <f aca="false">IF(B976="","",IF(MONTH(B976)=12,"X",""))</f>
        <v/>
      </c>
      <c r="V976" s="24" t="str">
        <f aca="false">IF(E976="","",COUNTIF($E$5:$E$1000,E976))</f>
        <v/>
      </c>
      <c r="W976" s="35" t="str">
        <f aca="false">IF(E976="","",_xlfn.TEXTJOIN(" + ",TRUE(),IF(COUNTIFS($E$5:$E$1000,E976,$C$5:$C$1000,"Auditoría Interna")&gt;0,"Interna",""),IF(COUNTIFS($E$5:$E$1000,E976,$C$5:$C$1000,"Auditoría Externa")&gt;0,"Externa",""),IF(COUNTIFS($E$5:$E$1000,E976,$C$5:$C$1000,"SSF")&gt;0,"SSF",""),IF(COUNTIFS($E$5:$E$1000,E976,$C$5:$C$1000,"Comité de Supervisión")&gt;0,"Comité Sup.",""),IF(COUNTIFS($E$5:$E$1000,E976,$C$5:$C$1000,"Consejo de Administración")&gt;0,"Consejo",""),IF(COUNTIFS($E$5:$E$1000,E976,$C$5:$C$1000,"Otros")&gt;0,"Otros","")))</f>
        <v/>
      </c>
      <c r="X976" s="24" t="str">
        <f aca="false">IF(E976="","",COUNTIFS($E$5:$E$1000,E976,$AB$5:$AB$1000,AB976,$C$5:$C$1000,"&lt;&gt;"&amp;C976))</f>
        <v/>
      </c>
      <c r="Y976" s="33"/>
      <c r="Z976" s="31"/>
      <c r="AA976" s="33"/>
      <c r="AB976" s="37" t="str">
        <f aca="false">IF(B976="","",YEAR(B976)*100+MONTH(B976))</f>
        <v/>
      </c>
      <c r="AC976" s="37" t="str">
        <f aca="false">IF(AND(E976&lt;&gt;"",E976=Cruce!$C$5),COUNTIF($E$5:E976,E976),"")</f>
        <v/>
      </c>
      <c r="AD976" s="37" t="str">
        <f aca="false">IF(E976="","",C976&amp;"|"&amp;Y976&amp;"|"&amp;IF(B976="","s/f",TEXT(B976,"yyyymmdd")))</f>
        <v/>
      </c>
      <c r="AE976" s="37" t="n">
        <f aca="false">IF(E976="",0,IF(COUNTIFS($E$5:E976,E976,$AD$5:AD976,AD976)=1,1,0))</f>
        <v>0</v>
      </c>
    </row>
    <row r="977" customFormat="false" ht="15" hidden="false" customHeight="true" outlineLevel="0" collapsed="false">
      <c r="A977" s="31"/>
      <c r="B977" s="30"/>
      <c r="C977" s="31"/>
      <c r="D977" s="31"/>
      <c r="E977" s="32"/>
      <c r="F977" s="32"/>
      <c r="G977" s="33"/>
      <c r="H977" s="31"/>
      <c r="I977" s="24" t="str">
        <f aca="false">IF(B977="","",YEAR(B977))</f>
        <v/>
      </c>
      <c r="J977" s="34" t="str">
        <f aca="false">IF(B977="","",IF(MONTH(B977)=1,"X",""))</f>
        <v/>
      </c>
      <c r="K977" s="34" t="str">
        <f aca="false">IF(B977="","",IF(MONTH(B977)=2,"X",""))</f>
        <v/>
      </c>
      <c r="L977" s="34" t="str">
        <f aca="false">IF(B977="","",IF(MONTH(B977)=3,"X",""))</f>
        <v/>
      </c>
      <c r="M977" s="34" t="str">
        <f aca="false">IF(B977="","",IF(MONTH(B977)=4,"X",""))</f>
        <v/>
      </c>
      <c r="N977" s="34" t="str">
        <f aca="false">IF(B977="","",IF(MONTH(B977)=5,"X",""))</f>
        <v/>
      </c>
      <c r="O977" s="34" t="str">
        <f aca="false">IF(B977="","",IF(MONTH(B977)=6,"X",""))</f>
        <v/>
      </c>
      <c r="P977" s="34" t="str">
        <f aca="false">IF(B977="","",IF(MONTH(B977)=7,"X",""))</f>
        <v/>
      </c>
      <c r="Q977" s="34" t="str">
        <f aca="false">IF(B977="","",IF(MONTH(B977)=8,"X",""))</f>
        <v/>
      </c>
      <c r="R977" s="34" t="str">
        <f aca="false">IF(B977="","",IF(MONTH(B977)=9,"X",""))</f>
        <v/>
      </c>
      <c r="S977" s="34" t="str">
        <f aca="false">IF(B977="","",IF(MONTH(B977)=10,"X",""))</f>
        <v/>
      </c>
      <c r="T977" s="34" t="str">
        <f aca="false">IF(B977="","",IF(MONTH(B977)=11,"X",""))</f>
        <v/>
      </c>
      <c r="U977" s="34" t="str">
        <f aca="false">IF(B977="","",IF(MONTH(B977)=12,"X",""))</f>
        <v/>
      </c>
      <c r="V977" s="24" t="str">
        <f aca="false">IF(E977="","",COUNTIF($E$5:$E$1000,E977))</f>
        <v/>
      </c>
      <c r="W977" s="35" t="str">
        <f aca="false">IF(E977="","",_xlfn.TEXTJOIN(" + ",TRUE(),IF(COUNTIFS($E$5:$E$1000,E977,$C$5:$C$1000,"Auditoría Interna")&gt;0,"Interna",""),IF(COUNTIFS($E$5:$E$1000,E977,$C$5:$C$1000,"Auditoría Externa")&gt;0,"Externa",""),IF(COUNTIFS($E$5:$E$1000,E977,$C$5:$C$1000,"SSF")&gt;0,"SSF",""),IF(COUNTIFS($E$5:$E$1000,E977,$C$5:$C$1000,"Comité de Supervisión")&gt;0,"Comité Sup.",""),IF(COUNTIFS($E$5:$E$1000,E977,$C$5:$C$1000,"Consejo de Administración")&gt;0,"Consejo",""),IF(COUNTIFS($E$5:$E$1000,E977,$C$5:$C$1000,"Otros")&gt;0,"Otros","")))</f>
        <v/>
      </c>
      <c r="X977" s="24" t="str">
        <f aca="false">IF(E977="","",COUNTIFS($E$5:$E$1000,E977,$AB$5:$AB$1000,AB977,$C$5:$C$1000,"&lt;&gt;"&amp;C977))</f>
        <v/>
      </c>
      <c r="Y977" s="33"/>
      <c r="Z977" s="31"/>
      <c r="AA977" s="33"/>
      <c r="AB977" s="37" t="str">
        <f aca="false">IF(B977="","",YEAR(B977)*100+MONTH(B977))</f>
        <v/>
      </c>
      <c r="AC977" s="37" t="str">
        <f aca="false">IF(AND(E977&lt;&gt;"",E977=Cruce!$C$5),COUNTIF($E$5:E977,E977),"")</f>
        <v/>
      </c>
      <c r="AD977" s="37" t="str">
        <f aca="false">IF(E977="","",C977&amp;"|"&amp;Y977&amp;"|"&amp;IF(B977="","s/f",TEXT(B977,"yyyymmdd")))</f>
        <v/>
      </c>
      <c r="AE977" s="37" t="n">
        <f aca="false">IF(E977="",0,IF(COUNTIFS($E$5:E977,E977,$AD$5:AD977,AD977)=1,1,0))</f>
        <v>0</v>
      </c>
    </row>
    <row r="978" customFormat="false" ht="15" hidden="false" customHeight="true" outlineLevel="0" collapsed="false">
      <c r="A978" s="31"/>
      <c r="B978" s="30"/>
      <c r="C978" s="31"/>
      <c r="D978" s="31"/>
      <c r="E978" s="32"/>
      <c r="F978" s="32"/>
      <c r="G978" s="33"/>
      <c r="H978" s="31"/>
      <c r="I978" s="24" t="str">
        <f aca="false">IF(B978="","",YEAR(B978))</f>
        <v/>
      </c>
      <c r="J978" s="34" t="str">
        <f aca="false">IF(B978="","",IF(MONTH(B978)=1,"X",""))</f>
        <v/>
      </c>
      <c r="K978" s="34" t="str">
        <f aca="false">IF(B978="","",IF(MONTH(B978)=2,"X",""))</f>
        <v/>
      </c>
      <c r="L978" s="34" t="str">
        <f aca="false">IF(B978="","",IF(MONTH(B978)=3,"X",""))</f>
        <v/>
      </c>
      <c r="M978" s="34" t="str">
        <f aca="false">IF(B978="","",IF(MONTH(B978)=4,"X",""))</f>
        <v/>
      </c>
      <c r="N978" s="34" t="str">
        <f aca="false">IF(B978="","",IF(MONTH(B978)=5,"X",""))</f>
        <v/>
      </c>
      <c r="O978" s="34" t="str">
        <f aca="false">IF(B978="","",IF(MONTH(B978)=6,"X",""))</f>
        <v/>
      </c>
      <c r="P978" s="34" t="str">
        <f aca="false">IF(B978="","",IF(MONTH(B978)=7,"X",""))</f>
        <v/>
      </c>
      <c r="Q978" s="34" t="str">
        <f aca="false">IF(B978="","",IF(MONTH(B978)=8,"X",""))</f>
        <v/>
      </c>
      <c r="R978" s="34" t="str">
        <f aca="false">IF(B978="","",IF(MONTH(B978)=9,"X",""))</f>
        <v/>
      </c>
      <c r="S978" s="34" t="str">
        <f aca="false">IF(B978="","",IF(MONTH(B978)=10,"X",""))</f>
        <v/>
      </c>
      <c r="T978" s="34" t="str">
        <f aca="false">IF(B978="","",IF(MONTH(B978)=11,"X",""))</f>
        <v/>
      </c>
      <c r="U978" s="34" t="str">
        <f aca="false">IF(B978="","",IF(MONTH(B978)=12,"X",""))</f>
        <v/>
      </c>
      <c r="V978" s="24" t="str">
        <f aca="false">IF(E978="","",COUNTIF($E$5:$E$1000,E978))</f>
        <v/>
      </c>
      <c r="W978" s="35" t="str">
        <f aca="false">IF(E978="","",_xlfn.TEXTJOIN(" + ",TRUE(),IF(COUNTIFS($E$5:$E$1000,E978,$C$5:$C$1000,"Auditoría Interna")&gt;0,"Interna",""),IF(COUNTIFS($E$5:$E$1000,E978,$C$5:$C$1000,"Auditoría Externa")&gt;0,"Externa",""),IF(COUNTIFS($E$5:$E$1000,E978,$C$5:$C$1000,"SSF")&gt;0,"SSF",""),IF(COUNTIFS($E$5:$E$1000,E978,$C$5:$C$1000,"Comité de Supervisión")&gt;0,"Comité Sup.",""),IF(COUNTIFS($E$5:$E$1000,E978,$C$5:$C$1000,"Consejo de Administración")&gt;0,"Consejo",""),IF(COUNTIFS($E$5:$E$1000,E978,$C$5:$C$1000,"Otros")&gt;0,"Otros","")))</f>
        <v/>
      </c>
      <c r="X978" s="24" t="str">
        <f aca="false">IF(E978="","",COUNTIFS($E$5:$E$1000,E978,$AB$5:$AB$1000,AB978,$C$5:$C$1000,"&lt;&gt;"&amp;C978))</f>
        <v/>
      </c>
      <c r="Y978" s="33"/>
      <c r="Z978" s="31"/>
      <c r="AA978" s="33"/>
      <c r="AB978" s="37" t="str">
        <f aca="false">IF(B978="","",YEAR(B978)*100+MONTH(B978))</f>
        <v/>
      </c>
      <c r="AC978" s="37" t="str">
        <f aca="false">IF(AND(E978&lt;&gt;"",E978=Cruce!$C$5),COUNTIF($E$5:E978,E978),"")</f>
        <v/>
      </c>
      <c r="AD978" s="37" t="str">
        <f aca="false">IF(E978="","",C978&amp;"|"&amp;Y978&amp;"|"&amp;IF(B978="","s/f",TEXT(B978,"yyyymmdd")))</f>
        <v/>
      </c>
      <c r="AE978" s="37" t="n">
        <f aca="false">IF(E978="",0,IF(COUNTIFS($E$5:E978,E978,$AD$5:AD978,AD978)=1,1,0))</f>
        <v>0</v>
      </c>
    </row>
    <row r="979" customFormat="false" ht="15" hidden="false" customHeight="true" outlineLevel="0" collapsed="false">
      <c r="A979" s="31"/>
      <c r="B979" s="30"/>
      <c r="C979" s="31"/>
      <c r="D979" s="31"/>
      <c r="E979" s="32"/>
      <c r="F979" s="32"/>
      <c r="G979" s="33"/>
      <c r="H979" s="31"/>
      <c r="I979" s="24" t="str">
        <f aca="false">IF(B979="","",YEAR(B979))</f>
        <v/>
      </c>
      <c r="J979" s="34" t="str">
        <f aca="false">IF(B979="","",IF(MONTH(B979)=1,"X",""))</f>
        <v/>
      </c>
      <c r="K979" s="34" t="str">
        <f aca="false">IF(B979="","",IF(MONTH(B979)=2,"X",""))</f>
        <v/>
      </c>
      <c r="L979" s="34" t="str">
        <f aca="false">IF(B979="","",IF(MONTH(B979)=3,"X",""))</f>
        <v/>
      </c>
      <c r="M979" s="34" t="str">
        <f aca="false">IF(B979="","",IF(MONTH(B979)=4,"X",""))</f>
        <v/>
      </c>
      <c r="N979" s="34" t="str">
        <f aca="false">IF(B979="","",IF(MONTH(B979)=5,"X",""))</f>
        <v/>
      </c>
      <c r="O979" s="34" t="str">
        <f aca="false">IF(B979="","",IF(MONTH(B979)=6,"X",""))</f>
        <v/>
      </c>
      <c r="P979" s="34" t="str">
        <f aca="false">IF(B979="","",IF(MONTH(B979)=7,"X",""))</f>
        <v/>
      </c>
      <c r="Q979" s="34" t="str">
        <f aca="false">IF(B979="","",IF(MONTH(B979)=8,"X",""))</f>
        <v/>
      </c>
      <c r="R979" s="34" t="str">
        <f aca="false">IF(B979="","",IF(MONTH(B979)=9,"X",""))</f>
        <v/>
      </c>
      <c r="S979" s="34" t="str">
        <f aca="false">IF(B979="","",IF(MONTH(B979)=10,"X",""))</f>
        <v/>
      </c>
      <c r="T979" s="34" t="str">
        <f aca="false">IF(B979="","",IF(MONTH(B979)=11,"X",""))</f>
        <v/>
      </c>
      <c r="U979" s="34" t="str">
        <f aca="false">IF(B979="","",IF(MONTH(B979)=12,"X",""))</f>
        <v/>
      </c>
      <c r="V979" s="24" t="str">
        <f aca="false">IF(E979="","",COUNTIF($E$5:$E$1000,E979))</f>
        <v/>
      </c>
      <c r="W979" s="35" t="str">
        <f aca="false">IF(E979="","",_xlfn.TEXTJOIN(" + ",TRUE(),IF(COUNTIFS($E$5:$E$1000,E979,$C$5:$C$1000,"Auditoría Interna")&gt;0,"Interna",""),IF(COUNTIFS($E$5:$E$1000,E979,$C$5:$C$1000,"Auditoría Externa")&gt;0,"Externa",""),IF(COUNTIFS($E$5:$E$1000,E979,$C$5:$C$1000,"SSF")&gt;0,"SSF",""),IF(COUNTIFS($E$5:$E$1000,E979,$C$5:$C$1000,"Comité de Supervisión")&gt;0,"Comité Sup.",""),IF(COUNTIFS($E$5:$E$1000,E979,$C$5:$C$1000,"Consejo de Administración")&gt;0,"Consejo",""),IF(COUNTIFS($E$5:$E$1000,E979,$C$5:$C$1000,"Otros")&gt;0,"Otros","")))</f>
        <v/>
      </c>
      <c r="X979" s="24" t="str">
        <f aca="false">IF(E979="","",COUNTIFS($E$5:$E$1000,E979,$AB$5:$AB$1000,AB979,$C$5:$C$1000,"&lt;&gt;"&amp;C979))</f>
        <v/>
      </c>
      <c r="Y979" s="33"/>
      <c r="Z979" s="31"/>
      <c r="AA979" s="33"/>
      <c r="AB979" s="37" t="str">
        <f aca="false">IF(B979="","",YEAR(B979)*100+MONTH(B979))</f>
        <v/>
      </c>
      <c r="AC979" s="37" t="str">
        <f aca="false">IF(AND(E979&lt;&gt;"",E979=Cruce!$C$5),COUNTIF($E$5:E979,E979),"")</f>
        <v/>
      </c>
      <c r="AD979" s="37" t="str">
        <f aca="false">IF(E979="","",C979&amp;"|"&amp;Y979&amp;"|"&amp;IF(B979="","s/f",TEXT(B979,"yyyymmdd")))</f>
        <v/>
      </c>
      <c r="AE979" s="37" t="n">
        <f aca="false">IF(E979="",0,IF(COUNTIFS($E$5:E979,E979,$AD$5:AD979,AD979)=1,1,0))</f>
        <v>0</v>
      </c>
    </row>
    <row r="980" customFormat="false" ht="15" hidden="false" customHeight="true" outlineLevel="0" collapsed="false">
      <c r="A980" s="31"/>
      <c r="B980" s="30"/>
      <c r="C980" s="31"/>
      <c r="D980" s="31"/>
      <c r="E980" s="32"/>
      <c r="F980" s="32"/>
      <c r="G980" s="33"/>
      <c r="H980" s="31"/>
      <c r="I980" s="24" t="str">
        <f aca="false">IF(B980="","",YEAR(B980))</f>
        <v/>
      </c>
      <c r="J980" s="34" t="str">
        <f aca="false">IF(B980="","",IF(MONTH(B980)=1,"X",""))</f>
        <v/>
      </c>
      <c r="K980" s="34" t="str">
        <f aca="false">IF(B980="","",IF(MONTH(B980)=2,"X",""))</f>
        <v/>
      </c>
      <c r="L980" s="34" t="str">
        <f aca="false">IF(B980="","",IF(MONTH(B980)=3,"X",""))</f>
        <v/>
      </c>
      <c r="M980" s="34" t="str">
        <f aca="false">IF(B980="","",IF(MONTH(B980)=4,"X",""))</f>
        <v/>
      </c>
      <c r="N980" s="34" t="str">
        <f aca="false">IF(B980="","",IF(MONTH(B980)=5,"X",""))</f>
        <v/>
      </c>
      <c r="O980" s="34" t="str">
        <f aca="false">IF(B980="","",IF(MONTH(B980)=6,"X",""))</f>
        <v/>
      </c>
      <c r="P980" s="34" t="str">
        <f aca="false">IF(B980="","",IF(MONTH(B980)=7,"X",""))</f>
        <v/>
      </c>
      <c r="Q980" s="34" t="str">
        <f aca="false">IF(B980="","",IF(MONTH(B980)=8,"X",""))</f>
        <v/>
      </c>
      <c r="R980" s="34" t="str">
        <f aca="false">IF(B980="","",IF(MONTH(B980)=9,"X",""))</f>
        <v/>
      </c>
      <c r="S980" s="34" t="str">
        <f aca="false">IF(B980="","",IF(MONTH(B980)=10,"X",""))</f>
        <v/>
      </c>
      <c r="T980" s="34" t="str">
        <f aca="false">IF(B980="","",IF(MONTH(B980)=11,"X",""))</f>
        <v/>
      </c>
      <c r="U980" s="34" t="str">
        <f aca="false">IF(B980="","",IF(MONTH(B980)=12,"X",""))</f>
        <v/>
      </c>
      <c r="V980" s="24" t="str">
        <f aca="false">IF(E980="","",COUNTIF($E$5:$E$1000,E980))</f>
        <v/>
      </c>
      <c r="W980" s="35" t="str">
        <f aca="false">IF(E980="","",_xlfn.TEXTJOIN(" + ",TRUE(),IF(COUNTIFS($E$5:$E$1000,E980,$C$5:$C$1000,"Auditoría Interna")&gt;0,"Interna",""),IF(COUNTIFS($E$5:$E$1000,E980,$C$5:$C$1000,"Auditoría Externa")&gt;0,"Externa",""),IF(COUNTIFS($E$5:$E$1000,E980,$C$5:$C$1000,"SSF")&gt;0,"SSF",""),IF(COUNTIFS($E$5:$E$1000,E980,$C$5:$C$1000,"Comité de Supervisión")&gt;0,"Comité Sup.",""),IF(COUNTIFS($E$5:$E$1000,E980,$C$5:$C$1000,"Consejo de Administración")&gt;0,"Consejo",""),IF(COUNTIFS($E$5:$E$1000,E980,$C$5:$C$1000,"Otros")&gt;0,"Otros","")))</f>
        <v/>
      </c>
      <c r="X980" s="24" t="str">
        <f aca="false">IF(E980="","",COUNTIFS($E$5:$E$1000,E980,$AB$5:$AB$1000,AB980,$C$5:$C$1000,"&lt;&gt;"&amp;C980))</f>
        <v/>
      </c>
      <c r="Y980" s="33"/>
      <c r="Z980" s="31"/>
      <c r="AA980" s="33"/>
      <c r="AB980" s="37" t="str">
        <f aca="false">IF(B980="","",YEAR(B980)*100+MONTH(B980))</f>
        <v/>
      </c>
      <c r="AC980" s="37" t="str">
        <f aca="false">IF(AND(E980&lt;&gt;"",E980=Cruce!$C$5),COUNTIF($E$5:E980,E980),"")</f>
        <v/>
      </c>
      <c r="AD980" s="37" t="str">
        <f aca="false">IF(E980="","",C980&amp;"|"&amp;Y980&amp;"|"&amp;IF(B980="","s/f",TEXT(B980,"yyyymmdd")))</f>
        <v/>
      </c>
      <c r="AE980" s="37" t="n">
        <f aca="false">IF(E980="",0,IF(COUNTIFS($E$5:E980,E980,$AD$5:AD980,AD980)=1,1,0))</f>
        <v>0</v>
      </c>
    </row>
    <row r="981" customFormat="false" ht="15" hidden="false" customHeight="true" outlineLevel="0" collapsed="false">
      <c r="A981" s="31"/>
      <c r="B981" s="30"/>
      <c r="C981" s="31"/>
      <c r="D981" s="31"/>
      <c r="E981" s="32"/>
      <c r="F981" s="32"/>
      <c r="G981" s="33"/>
      <c r="H981" s="31"/>
      <c r="I981" s="24" t="str">
        <f aca="false">IF(B981="","",YEAR(B981))</f>
        <v/>
      </c>
      <c r="J981" s="34" t="str">
        <f aca="false">IF(B981="","",IF(MONTH(B981)=1,"X",""))</f>
        <v/>
      </c>
      <c r="K981" s="34" t="str">
        <f aca="false">IF(B981="","",IF(MONTH(B981)=2,"X",""))</f>
        <v/>
      </c>
      <c r="L981" s="34" t="str">
        <f aca="false">IF(B981="","",IF(MONTH(B981)=3,"X",""))</f>
        <v/>
      </c>
      <c r="M981" s="34" t="str">
        <f aca="false">IF(B981="","",IF(MONTH(B981)=4,"X",""))</f>
        <v/>
      </c>
      <c r="N981" s="34" t="str">
        <f aca="false">IF(B981="","",IF(MONTH(B981)=5,"X",""))</f>
        <v/>
      </c>
      <c r="O981" s="34" t="str">
        <f aca="false">IF(B981="","",IF(MONTH(B981)=6,"X",""))</f>
        <v/>
      </c>
      <c r="P981" s="34" t="str">
        <f aca="false">IF(B981="","",IF(MONTH(B981)=7,"X",""))</f>
        <v/>
      </c>
      <c r="Q981" s="34" t="str">
        <f aca="false">IF(B981="","",IF(MONTH(B981)=8,"X",""))</f>
        <v/>
      </c>
      <c r="R981" s="34" t="str">
        <f aca="false">IF(B981="","",IF(MONTH(B981)=9,"X",""))</f>
        <v/>
      </c>
      <c r="S981" s="34" t="str">
        <f aca="false">IF(B981="","",IF(MONTH(B981)=10,"X",""))</f>
        <v/>
      </c>
      <c r="T981" s="34" t="str">
        <f aca="false">IF(B981="","",IF(MONTH(B981)=11,"X",""))</f>
        <v/>
      </c>
      <c r="U981" s="34" t="str">
        <f aca="false">IF(B981="","",IF(MONTH(B981)=12,"X",""))</f>
        <v/>
      </c>
      <c r="V981" s="24" t="str">
        <f aca="false">IF(E981="","",COUNTIF($E$5:$E$1000,E981))</f>
        <v/>
      </c>
      <c r="W981" s="35" t="str">
        <f aca="false">IF(E981="","",_xlfn.TEXTJOIN(" + ",TRUE(),IF(COUNTIFS($E$5:$E$1000,E981,$C$5:$C$1000,"Auditoría Interna")&gt;0,"Interna",""),IF(COUNTIFS($E$5:$E$1000,E981,$C$5:$C$1000,"Auditoría Externa")&gt;0,"Externa",""),IF(COUNTIFS($E$5:$E$1000,E981,$C$5:$C$1000,"SSF")&gt;0,"SSF",""),IF(COUNTIFS($E$5:$E$1000,E981,$C$5:$C$1000,"Comité de Supervisión")&gt;0,"Comité Sup.",""),IF(COUNTIFS($E$5:$E$1000,E981,$C$5:$C$1000,"Consejo de Administración")&gt;0,"Consejo",""),IF(COUNTIFS($E$5:$E$1000,E981,$C$5:$C$1000,"Otros")&gt;0,"Otros","")))</f>
        <v/>
      </c>
      <c r="X981" s="24" t="str">
        <f aca="false">IF(E981="","",COUNTIFS($E$5:$E$1000,E981,$AB$5:$AB$1000,AB981,$C$5:$C$1000,"&lt;&gt;"&amp;C981))</f>
        <v/>
      </c>
      <c r="Y981" s="33"/>
      <c r="Z981" s="31"/>
      <c r="AA981" s="33"/>
      <c r="AB981" s="37" t="str">
        <f aca="false">IF(B981="","",YEAR(B981)*100+MONTH(B981))</f>
        <v/>
      </c>
      <c r="AC981" s="37" t="str">
        <f aca="false">IF(AND(E981&lt;&gt;"",E981=Cruce!$C$5),COUNTIF($E$5:E981,E981),"")</f>
        <v/>
      </c>
      <c r="AD981" s="37" t="str">
        <f aca="false">IF(E981="","",C981&amp;"|"&amp;Y981&amp;"|"&amp;IF(B981="","s/f",TEXT(B981,"yyyymmdd")))</f>
        <v/>
      </c>
      <c r="AE981" s="37" t="n">
        <f aca="false">IF(E981="",0,IF(COUNTIFS($E$5:E981,E981,$AD$5:AD981,AD981)=1,1,0))</f>
        <v>0</v>
      </c>
    </row>
    <row r="982" customFormat="false" ht="15" hidden="false" customHeight="true" outlineLevel="0" collapsed="false">
      <c r="A982" s="31"/>
      <c r="B982" s="30"/>
      <c r="C982" s="31"/>
      <c r="D982" s="31"/>
      <c r="E982" s="32"/>
      <c r="F982" s="32"/>
      <c r="G982" s="33"/>
      <c r="H982" s="31"/>
      <c r="I982" s="24" t="str">
        <f aca="false">IF(B982="","",YEAR(B982))</f>
        <v/>
      </c>
      <c r="J982" s="34" t="str">
        <f aca="false">IF(B982="","",IF(MONTH(B982)=1,"X",""))</f>
        <v/>
      </c>
      <c r="K982" s="34" t="str">
        <f aca="false">IF(B982="","",IF(MONTH(B982)=2,"X",""))</f>
        <v/>
      </c>
      <c r="L982" s="34" t="str">
        <f aca="false">IF(B982="","",IF(MONTH(B982)=3,"X",""))</f>
        <v/>
      </c>
      <c r="M982" s="34" t="str">
        <f aca="false">IF(B982="","",IF(MONTH(B982)=4,"X",""))</f>
        <v/>
      </c>
      <c r="N982" s="34" t="str">
        <f aca="false">IF(B982="","",IF(MONTH(B982)=5,"X",""))</f>
        <v/>
      </c>
      <c r="O982" s="34" t="str">
        <f aca="false">IF(B982="","",IF(MONTH(B982)=6,"X",""))</f>
        <v/>
      </c>
      <c r="P982" s="34" t="str">
        <f aca="false">IF(B982="","",IF(MONTH(B982)=7,"X",""))</f>
        <v/>
      </c>
      <c r="Q982" s="34" t="str">
        <f aca="false">IF(B982="","",IF(MONTH(B982)=8,"X",""))</f>
        <v/>
      </c>
      <c r="R982" s="34" t="str">
        <f aca="false">IF(B982="","",IF(MONTH(B982)=9,"X",""))</f>
        <v/>
      </c>
      <c r="S982" s="34" t="str">
        <f aca="false">IF(B982="","",IF(MONTH(B982)=10,"X",""))</f>
        <v/>
      </c>
      <c r="T982" s="34" t="str">
        <f aca="false">IF(B982="","",IF(MONTH(B982)=11,"X",""))</f>
        <v/>
      </c>
      <c r="U982" s="34" t="str">
        <f aca="false">IF(B982="","",IF(MONTH(B982)=12,"X",""))</f>
        <v/>
      </c>
      <c r="V982" s="24" t="str">
        <f aca="false">IF(E982="","",COUNTIF($E$5:$E$1000,E982))</f>
        <v/>
      </c>
      <c r="W982" s="35" t="str">
        <f aca="false">IF(E982="","",_xlfn.TEXTJOIN(" + ",TRUE(),IF(COUNTIFS($E$5:$E$1000,E982,$C$5:$C$1000,"Auditoría Interna")&gt;0,"Interna",""),IF(COUNTIFS($E$5:$E$1000,E982,$C$5:$C$1000,"Auditoría Externa")&gt;0,"Externa",""),IF(COUNTIFS($E$5:$E$1000,E982,$C$5:$C$1000,"SSF")&gt;0,"SSF",""),IF(COUNTIFS($E$5:$E$1000,E982,$C$5:$C$1000,"Comité de Supervisión")&gt;0,"Comité Sup.",""),IF(COUNTIFS($E$5:$E$1000,E982,$C$5:$C$1000,"Consejo de Administración")&gt;0,"Consejo",""),IF(COUNTIFS($E$5:$E$1000,E982,$C$5:$C$1000,"Otros")&gt;0,"Otros","")))</f>
        <v/>
      </c>
      <c r="X982" s="24" t="str">
        <f aca="false">IF(E982="","",COUNTIFS($E$5:$E$1000,E982,$AB$5:$AB$1000,AB982,$C$5:$C$1000,"&lt;&gt;"&amp;C982))</f>
        <v/>
      </c>
      <c r="Y982" s="33"/>
      <c r="Z982" s="31"/>
      <c r="AA982" s="33"/>
      <c r="AB982" s="37" t="str">
        <f aca="false">IF(B982="","",YEAR(B982)*100+MONTH(B982))</f>
        <v/>
      </c>
      <c r="AC982" s="37" t="str">
        <f aca="false">IF(AND(E982&lt;&gt;"",E982=Cruce!$C$5),COUNTIF($E$5:E982,E982),"")</f>
        <v/>
      </c>
      <c r="AD982" s="37" t="str">
        <f aca="false">IF(E982="","",C982&amp;"|"&amp;Y982&amp;"|"&amp;IF(B982="","s/f",TEXT(B982,"yyyymmdd")))</f>
        <v/>
      </c>
      <c r="AE982" s="37" t="n">
        <f aca="false">IF(E982="",0,IF(COUNTIFS($E$5:E982,E982,$AD$5:AD982,AD982)=1,1,0))</f>
        <v>0</v>
      </c>
    </row>
    <row r="983" customFormat="false" ht="15" hidden="false" customHeight="true" outlineLevel="0" collapsed="false">
      <c r="A983" s="31"/>
      <c r="B983" s="30"/>
      <c r="C983" s="31"/>
      <c r="D983" s="31"/>
      <c r="E983" s="32"/>
      <c r="F983" s="32"/>
      <c r="G983" s="33"/>
      <c r="H983" s="31"/>
      <c r="I983" s="24" t="str">
        <f aca="false">IF(B983="","",YEAR(B983))</f>
        <v/>
      </c>
      <c r="J983" s="34" t="str">
        <f aca="false">IF(B983="","",IF(MONTH(B983)=1,"X",""))</f>
        <v/>
      </c>
      <c r="K983" s="34" t="str">
        <f aca="false">IF(B983="","",IF(MONTH(B983)=2,"X",""))</f>
        <v/>
      </c>
      <c r="L983" s="34" t="str">
        <f aca="false">IF(B983="","",IF(MONTH(B983)=3,"X",""))</f>
        <v/>
      </c>
      <c r="M983" s="34" t="str">
        <f aca="false">IF(B983="","",IF(MONTH(B983)=4,"X",""))</f>
        <v/>
      </c>
      <c r="N983" s="34" t="str">
        <f aca="false">IF(B983="","",IF(MONTH(B983)=5,"X",""))</f>
        <v/>
      </c>
      <c r="O983" s="34" t="str">
        <f aca="false">IF(B983="","",IF(MONTH(B983)=6,"X",""))</f>
        <v/>
      </c>
      <c r="P983" s="34" t="str">
        <f aca="false">IF(B983="","",IF(MONTH(B983)=7,"X",""))</f>
        <v/>
      </c>
      <c r="Q983" s="34" t="str">
        <f aca="false">IF(B983="","",IF(MONTH(B983)=8,"X",""))</f>
        <v/>
      </c>
      <c r="R983" s="34" t="str">
        <f aca="false">IF(B983="","",IF(MONTH(B983)=9,"X",""))</f>
        <v/>
      </c>
      <c r="S983" s="34" t="str">
        <f aca="false">IF(B983="","",IF(MONTH(B983)=10,"X",""))</f>
        <v/>
      </c>
      <c r="T983" s="34" t="str">
        <f aca="false">IF(B983="","",IF(MONTH(B983)=11,"X",""))</f>
        <v/>
      </c>
      <c r="U983" s="34" t="str">
        <f aca="false">IF(B983="","",IF(MONTH(B983)=12,"X",""))</f>
        <v/>
      </c>
      <c r="V983" s="24" t="str">
        <f aca="false">IF(E983="","",COUNTIF($E$5:$E$1000,E983))</f>
        <v/>
      </c>
      <c r="W983" s="35" t="str">
        <f aca="false">IF(E983="","",_xlfn.TEXTJOIN(" + ",TRUE(),IF(COUNTIFS($E$5:$E$1000,E983,$C$5:$C$1000,"Auditoría Interna")&gt;0,"Interna",""),IF(COUNTIFS($E$5:$E$1000,E983,$C$5:$C$1000,"Auditoría Externa")&gt;0,"Externa",""),IF(COUNTIFS($E$5:$E$1000,E983,$C$5:$C$1000,"SSF")&gt;0,"SSF",""),IF(COUNTIFS($E$5:$E$1000,E983,$C$5:$C$1000,"Comité de Supervisión")&gt;0,"Comité Sup.",""),IF(COUNTIFS($E$5:$E$1000,E983,$C$5:$C$1000,"Consejo de Administración")&gt;0,"Consejo",""),IF(COUNTIFS($E$5:$E$1000,E983,$C$5:$C$1000,"Otros")&gt;0,"Otros","")))</f>
        <v/>
      </c>
      <c r="X983" s="24" t="str">
        <f aca="false">IF(E983="","",COUNTIFS($E$5:$E$1000,E983,$AB$5:$AB$1000,AB983,$C$5:$C$1000,"&lt;&gt;"&amp;C983))</f>
        <v/>
      </c>
      <c r="Y983" s="33"/>
      <c r="Z983" s="31"/>
      <c r="AA983" s="33"/>
      <c r="AB983" s="37" t="str">
        <f aca="false">IF(B983="","",YEAR(B983)*100+MONTH(B983))</f>
        <v/>
      </c>
      <c r="AC983" s="37" t="str">
        <f aca="false">IF(AND(E983&lt;&gt;"",E983=Cruce!$C$5),COUNTIF($E$5:E983,E983),"")</f>
        <v/>
      </c>
      <c r="AD983" s="37" t="str">
        <f aca="false">IF(E983="","",C983&amp;"|"&amp;Y983&amp;"|"&amp;IF(B983="","s/f",TEXT(B983,"yyyymmdd")))</f>
        <v/>
      </c>
      <c r="AE983" s="37" t="n">
        <f aca="false">IF(E983="",0,IF(COUNTIFS($E$5:E983,E983,$AD$5:AD983,AD983)=1,1,0))</f>
        <v>0</v>
      </c>
    </row>
    <row r="984" customFormat="false" ht="15" hidden="false" customHeight="true" outlineLevel="0" collapsed="false">
      <c r="A984" s="31"/>
      <c r="B984" s="30"/>
      <c r="C984" s="31"/>
      <c r="D984" s="31"/>
      <c r="E984" s="32"/>
      <c r="F984" s="32"/>
      <c r="G984" s="33"/>
      <c r="H984" s="31"/>
      <c r="I984" s="24" t="str">
        <f aca="false">IF(B984="","",YEAR(B984))</f>
        <v/>
      </c>
      <c r="J984" s="34" t="str">
        <f aca="false">IF(B984="","",IF(MONTH(B984)=1,"X",""))</f>
        <v/>
      </c>
      <c r="K984" s="34" t="str">
        <f aca="false">IF(B984="","",IF(MONTH(B984)=2,"X",""))</f>
        <v/>
      </c>
      <c r="L984" s="34" t="str">
        <f aca="false">IF(B984="","",IF(MONTH(B984)=3,"X",""))</f>
        <v/>
      </c>
      <c r="M984" s="34" t="str">
        <f aca="false">IF(B984="","",IF(MONTH(B984)=4,"X",""))</f>
        <v/>
      </c>
      <c r="N984" s="34" t="str">
        <f aca="false">IF(B984="","",IF(MONTH(B984)=5,"X",""))</f>
        <v/>
      </c>
      <c r="O984" s="34" t="str">
        <f aca="false">IF(B984="","",IF(MONTH(B984)=6,"X",""))</f>
        <v/>
      </c>
      <c r="P984" s="34" t="str">
        <f aca="false">IF(B984="","",IF(MONTH(B984)=7,"X",""))</f>
        <v/>
      </c>
      <c r="Q984" s="34" t="str">
        <f aca="false">IF(B984="","",IF(MONTH(B984)=8,"X",""))</f>
        <v/>
      </c>
      <c r="R984" s="34" t="str">
        <f aca="false">IF(B984="","",IF(MONTH(B984)=9,"X",""))</f>
        <v/>
      </c>
      <c r="S984" s="34" t="str">
        <f aca="false">IF(B984="","",IF(MONTH(B984)=10,"X",""))</f>
        <v/>
      </c>
      <c r="T984" s="34" t="str">
        <f aca="false">IF(B984="","",IF(MONTH(B984)=11,"X",""))</f>
        <v/>
      </c>
      <c r="U984" s="34" t="str">
        <f aca="false">IF(B984="","",IF(MONTH(B984)=12,"X",""))</f>
        <v/>
      </c>
      <c r="V984" s="24" t="str">
        <f aca="false">IF(E984="","",COUNTIF($E$5:$E$1000,E984))</f>
        <v/>
      </c>
      <c r="W984" s="35" t="str">
        <f aca="false">IF(E984="","",_xlfn.TEXTJOIN(" + ",TRUE(),IF(COUNTIFS($E$5:$E$1000,E984,$C$5:$C$1000,"Auditoría Interna")&gt;0,"Interna",""),IF(COUNTIFS($E$5:$E$1000,E984,$C$5:$C$1000,"Auditoría Externa")&gt;0,"Externa",""),IF(COUNTIFS($E$5:$E$1000,E984,$C$5:$C$1000,"SSF")&gt;0,"SSF",""),IF(COUNTIFS($E$5:$E$1000,E984,$C$5:$C$1000,"Comité de Supervisión")&gt;0,"Comité Sup.",""),IF(COUNTIFS($E$5:$E$1000,E984,$C$5:$C$1000,"Consejo de Administración")&gt;0,"Consejo",""),IF(COUNTIFS($E$5:$E$1000,E984,$C$5:$C$1000,"Otros")&gt;0,"Otros","")))</f>
        <v/>
      </c>
      <c r="X984" s="24" t="str">
        <f aca="false">IF(E984="","",COUNTIFS($E$5:$E$1000,E984,$AB$5:$AB$1000,AB984,$C$5:$C$1000,"&lt;&gt;"&amp;C984))</f>
        <v/>
      </c>
      <c r="Y984" s="33"/>
      <c r="Z984" s="31"/>
      <c r="AA984" s="33"/>
      <c r="AB984" s="37" t="str">
        <f aca="false">IF(B984="","",YEAR(B984)*100+MONTH(B984))</f>
        <v/>
      </c>
      <c r="AC984" s="37" t="str">
        <f aca="false">IF(AND(E984&lt;&gt;"",E984=Cruce!$C$5),COUNTIF($E$5:E984,E984),"")</f>
        <v/>
      </c>
      <c r="AD984" s="37" t="str">
        <f aca="false">IF(E984="","",C984&amp;"|"&amp;Y984&amp;"|"&amp;IF(B984="","s/f",TEXT(B984,"yyyymmdd")))</f>
        <v/>
      </c>
      <c r="AE984" s="37" t="n">
        <f aca="false">IF(E984="",0,IF(COUNTIFS($E$5:E984,E984,$AD$5:AD984,AD984)=1,1,0))</f>
        <v>0</v>
      </c>
    </row>
    <row r="985" customFormat="false" ht="15" hidden="false" customHeight="true" outlineLevel="0" collapsed="false">
      <c r="A985" s="31"/>
      <c r="B985" s="30"/>
      <c r="C985" s="31"/>
      <c r="D985" s="31"/>
      <c r="E985" s="32"/>
      <c r="F985" s="32"/>
      <c r="G985" s="33"/>
      <c r="H985" s="31"/>
      <c r="I985" s="24" t="str">
        <f aca="false">IF(B985="","",YEAR(B985))</f>
        <v/>
      </c>
      <c r="J985" s="34" t="str">
        <f aca="false">IF(B985="","",IF(MONTH(B985)=1,"X",""))</f>
        <v/>
      </c>
      <c r="K985" s="34" t="str">
        <f aca="false">IF(B985="","",IF(MONTH(B985)=2,"X",""))</f>
        <v/>
      </c>
      <c r="L985" s="34" t="str">
        <f aca="false">IF(B985="","",IF(MONTH(B985)=3,"X",""))</f>
        <v/>
      </c>
      <c r="M985" s="34" t="str">
        <f aca="false">IF(B985="","",IF(MONTH(B985)=4,"X",""))</f>
        <v/>
      </c>
      <c r="N985" s="34" t="str">
        <f aca="false">IF(B985="","",IF(MONTH(B985)=5,"X",""))</f>
        <v/>
      </c>
      <c r="O985" s="34" t="str">
        <f aca="false">IF(B985="","",IF(MONTH(B985)=6,"X",""))</f>
        <v/>
      </c>
      <c r="P985" s="34" t="str">
        <f aca="false">IF(B985="","",IF(MONTH(B985)=7,"X",""))</f>
        <v/>
      </c>
      <c r="Q985" s="34" t="str">
        <f aca="false">IF(B985="","",IF(MONTH(B985)=8,"X",""))</f>
        <v/>
      </c>
      <c r="R985" s="34" t="str">
        <f aca="false">IF(B985="","",IF(MONTH(B985)=9,"X",""))</f>
        <v/>
      </c>
      <c r="S985" s="34" t="str">
        <f aca="false">IF(B985="","",IF(MONTH(B985)=10,"X",""))</f>
        <v/>
      </c>
      <c r="T985" s="34" t="str">
        <f aca="false">IF(B985="","",IF(MONTH(B985)=11,"X",""))</f>
        <v/>
      </c>
      <c r="U985" s="34" t="str">
        <f aca="false">IF(B985="","",IF(MONTH(B985)=12,"X",""))</f>
        <v/>
      </c>
      <c r="V985" s="24" t="str">
        <f aca="false">IF(E985="","",COUNTIF($E$5:$E$1000,E985))</f>
        <v/>
      </c>
      <c r="W985" s="35" t="str">
        <f aca="false">IF(E985="","",_xlfn.TEXTJOIN(" + ",TRUE(),IF(COUNTIFS($E$5:$E$1000,E985,$C$5:$C$1000,"Auditoría Interna")&gt;0,"Interna",""),IF(COUNTIFS($E$5:$E$1000,E985,$C$5:$C$1000,"Auditoría Externa")&gt;0,"Externa",""),IF(COUNTIFS($E$5:$E$1000,E985,$C$5:$C$1000,"SSF")&gt;0,"SSF",""),IF(COUNTIFS($E$5:$E$1000,E985,$C$5:$C$1000,"Comité de Supervisión")&gt;0,"Comité Sup.",""),IF(COUNTIFS($E$5:$E$1000,E985,$C$5:$C$1000,"Consejo de Administración")&gt;0,"Consejo",""),IF(COUNTIFS($E$5:$E$1000,E985,$C$5:$C$1000,"Otros")&gt;0,"Otros","")))</f>
        <v/>
      </c>
      <c r="X985" s="24" t="str">
        <f aca="false">IF(E985="","",COUNTIFS($E$5:$E$1000,E985,$AB$5:$AB$1000,AB985,$C$5:$C$1000,"&lt;&gt;"&amp;C985))</f>
        <v/>
      </c>
      <c r="Y985" s="33"/>
      <c r="Z985" s="31"/>
      <c r="AA985" s="33"/>
      <c r="AB985" s="37" t="str">
        <f aca="false">IF(B985="","",YEAR(B985)*100+MONTH(B985))</f>
        <v/>
      </c>
      <c r="AC985" s="37" t="str">
        <f aca="false">IF(AND(E985&lt;&gt;"",E985=Cruce!$C$5),COUNTIF($E$5:E985,E985),"")</f>
        <v/>
      </c>
      <c r="AD985" s="37" t="str">
        <f aca="false">IF(E985="","",C985&amp;"|"&amp;Y985&amp;"|"&amp;IF(B985="","s/f",TEXT(B985,"yyyymmdd")))</f>
        <v/>
      </c>
      <c r="AE985" s="37" t="n">
        <f aca="false">IF(E985="",0,IF(COUNTIFS($E$5:E985,E985,$AD$5:AD985,AD985)=1,1,0))</f>
        <v>0</v>
      </c>
    </row>
    <row r="986" customFormat="false" ht="15" hidden="false" customHeight="true" outlineLevel="0" collapsed="false">
      <c r="A986" s="31"/>
      <c r="B986" s="30"/>
      <c r="C986" s="31"/>
      <c r="D986" s="31"/>
      <c r="E986" s="32"/>
      <c r="F986" s="32"/>
      <c r="G986" s="33"/>
      <c r="H986" s="31"/>
      <c r="I986" s="24" t="str">
        <f aca="false">IF(B986="","",YEAR(B986))</f>
        <v/>
      </c>
      <c r="J986" s="34" t="str">
        <f aca="false">IF(B986="","",IF(MONTH(B986)=1,"X",""))</f>
        <v/>
      </c>
      <c r="K986" s="34" t="str">
        <f aca="false">IF(B986="","",IF(MONTH(B986)=2,"X",""))</f>
        <v/>
      </c>
      <c r="L986" s="34" t="str">
        <f aca="false">IF(B986="","",IF(MONTH(B986)=3,"X",""))</f>
        <v/>
      </c>
      <c r="M986" s="34" t="str">
        <f aca="false">IF(B986="","",IF(MONTH(B986)=4,"X",""))</f>
        <v/>
      </c>
      <c r="N986" s="34" t="str">
        <f aca="false">IF(B986="","",IF(MONTH(B986)=5,"X",""))</f>
        <v/>
      </c>
      <c r="O986" s="34" t="str">
        <f aca="false">IF(B986="","",IF(MONTH(B986)=6,"X",""))</f>
        <v/>
      </c>
      <c r="P986" s="34" t="str">
        <f aca="false">IF(B986="","",IF(MONTH(B986)=7,"X",""))</f>
        <v/>
      </c>
      <c r="Q986" s="34" t="str">
        <f aca="false">IF(B986="","",IF(MONTH(B986)=8,"X",""))</f>
        <v/>
      </c>
      <c r="R986" s="34" t="str">
        <f aca="false">IF(B986="","",IF(MONTH(B986)=9,"X",""))</f>
        <v/>
      </c>
      <c r="S986" s="34" t="str">
        <f aca="false">IF(B986="","",IF(MONTH(B986)=10,"X",""))</f>
        <v/>
      </c>
      <c r="T986" s="34" t="str">
        <f aca="false">IF(B986="","",IF(MONTH(B986)=11,"X",""))</f>
        <v/>
      </c>
      <c r="U986" s="34" t="str">
        <f aca="false">IF(B986="","",IF(MONTH(B986)=12,"X",""))</f>
        <v/>
      </c>
      <c r="V986" s="24" t="str">
        <f aca="false">IF(E986="","",COUNTIF($E$5:$E$1000,E986))</f>
        <v/>
      </c>
      <c r="W986" s="35" t="str">
        <f aca="false">IF(E986="","",_xlfn.TEXTJOIN(" + ",TRUE(),IF(COUNTIFS($E$5:$E$1000,E986,$C$5:$C$1000,"Auditoría Interna")&gt;0,"Interna",""),IF(COUNTIFS($E$5:$E$1000,E986,$C$5:$C$1000,"Auditoría Externa")&gt;0,"Externa",""),IF(COUNTIFS($E$5:$E$1000,E986,$C$5:$C$1000,"SSF")&gt;0,"SSF",""),IF(COUNTIFS($E$5:$E$1000,E986,$C$5:$C$1000,"Comité de Supervisión")&gt;0,"Comité Sup.",""),IF(COUNTIFS($E$5:$E$1000,E986,$C$5:$C$1000,"Consejo de Administración")&gt;0,"Consejo",""),IF(COUNTIFS($E$5:$E$1000,E986,$C$5:$C$1000,"Otros")&gt;0,"Otros","")))</f>
        <v/>
      </c>
      <c r="X986" s="24" t="str">
        <f aca="false">IF(E986="","",COUNTIFS($E$5:$E$1000,E986,$AB$5:$AB$1000,AB986,$C$5:$C$1000,"&lt;&gt;"&amp;C986))</f>
        <v/>
      </c>
      <c r="Y986" s="33"/>
      <c r="Z986" s="31"/>
      <c r="AA986" s="33"/>
      <c r="AB986" s="37" t="str">
        <f aca="false">IF(B986="","",YEAR(B986)*100+MONTH(B986))</f>
        <v/>
      </c>
      <c r="AC986" s="37" t="str">
        <f aca="false">IF(AND(E986&lt;&gt;"",E986=Cruce!$C$5),COUNTIF($E$5:E986,E986),"")</f>
        <v/>
      </c>
      <c r="AD986" s="37" t="str">
        <f aca="false">IF(E986="","",C986&amp;"|"&amp;Y986&amp;"|"&amp;IF(B986="","s/f",TEXT(B986,"yyyymmdd")))</f>
        <v/>
      </c>
      <c r="AE986" s="37" t="n">
        <f aca="false">IF(E986="",0,IF(COUNTIFS($E$5:E986,E986,$AD$5:AD986,AD986)=1,1,0))</f>
        <v>0</v>
      </c>
    </row>
    <row r="987" customFormat="false" ht="15" hidden="false" customHeight="true" outlineLevel="0" collapsed="false">
      <c r="A987" s="31"/>
      <c r="B987" s="30"/>
      <c r="C987" s="31"/>
      <c r="D987" s="31"/>
      <c r="E987" s="32"/>
      <c r="F987" s="32"/>
      <c r="G987" s="33"/>
      <c r="H987" s="31"/>
      <c r="I987" s="24" t="str">
        <f aca="false">IF(B987="","",YEAR(B987))</f>
        <v/>
      </c>
      <c r="J987" s="34" t="str">
        <f aca="false">IF(B987="","",IF(MONTH(B987)=1,"X",""))</f>
        <v/>
      </c>
      <c r="K987" s="34" t="str">
        <f aca="false">IF(B987="","",IF(MONTH(B987)=2,"X",""))</f>
        <v/>
      </c>
      <c r="L987" s="34" t="str">
        <f aca="false">IF(B987="","",IF(MONTH(B987)=3,"X",""))</f>
        <v/>
      </c>
      <c r="M987" s="34" t="str">
        <f aca="false">IF(B987="","",IF(MONTH(B987)=4,"X",""))</f>
        <v/>
      </c>
      <c r="N987" s="34" t="str">
        <f aca="false">IF(B987="","",IF(MONTH(B987)=5,"X",""))</f>
        <v/>
      </c>
      <c r="O987" s="34" t="str">
        <f aca="false">IF(B987="","",IF(MONTH(B987)=6,"X",""))</f>
        <v/>
      </c>
      <c r="P987" s="34" t="str">
        <f aca="false">IF(B987="","",IF(MONTH(B987)=7,"X",""))</f>
        <v/>
      </c>
      <c r="Q987" s="34" t="str">
        <f aca="false">IF(B987="","",IF(MONTH(B987)=8,"X",""))</f>
        <v/>
      </c>
      <c r="R987" s="34" t="str">
        <f aca="false">IF(B987="","",IF(MONTH(B987)=9,"X",""))</f>
        <v/>
      </c>
      <c r="S987" s="34" t="str">
        <f aca="false">IF(B987="","",IF(MONTH(B987)=10,"X",""))</f>
        <v/>
      </c>
      <c r="T987" s="34" t="str">
        <f aca="false">IF(B987="","",IF(MONTH(B987)=11,"X",""))</f>
        <v/>
      </c>
      <c r="U987" s="34" t="str">
        <f aca="false">IF(B987="","",IF(MONTH(B987)=12,"X",""))</f>
        <v/>
      </c>
      <c r="V987" s="24" t="str">
        <f aca="false">IF(E987="","",COUNTIF($E$5:$E$1000,E987))</f>
        <v/>
      </c>
      <c r="W987" s="35" t="str">
        <f aca="false">IF(E987="","",_xlfn.TEXTJOIN(" + ",TRUE(),IF(COUNTIFS($E$5:$E$1000,E987,$C$5:$C$1000,"Auditoría Interna")&gt;0,"Interna",""),IF(COUNTIFS($E$5:$E$1000,E987,$C$5:$C$1000,"Auditoría Externa")&gt;0,"Externa",""),IF(COUNTIFS($E$5:$E$1000,E987,$C$5:$C$1000,"SSF")&gt;0,"SSF",""),IF(COUNTIFS($E$5:$E$1000,E987,$C$5:$C$1000,"Comité de Supervisión")&gt;0,"Comité Sup.",""),IF(COUNTIFS($E$5:$E$1000,E987,$C$5:$C$1000,"Consejo de Administración")&gt;0,"Consejo",""),IF(COUNTIFS($E$5:$E$1000,E987,$C$5:$C$1000,"Otros")&gt;0,"Otros","")))</f>
        <v/>
      </c>
      <c r="X987" s="24" t="str">
        <f aca="false">IF(E987="","",COUNTIFS($E$5:$E$1000,E987,$AB$5:$AB$1000,AB987,$C$5:$C$1000,"&lt;&gt;"&amp;C987))</f>
        <v/>
      </c>
      <c r="Y987" s="33"/>
      <c r="Z987" s="31"/>
      <c r="AA987" s="33"/>
      <c r="AB987" s="37" t="str">
        <f aca="false">IF(B987="","",YEAR(B987)*100+MONTH(B987))</f>
        <v/>
      </c>
      <c r="AC987" s="37" t="str">
        <f aca="false">IF(AND(E987&lt;&gt;"",E987=Cruce!$C$5),COUNTIF($E$5:E987,E987),"")</f>
        <v/>
      </c>
      <c r="AD987" s="37" t="str">
        <f aca="false">IF(E987="","",C987&amp;"|"&amp;Y987&amp;"|"&amp;IF(B987="","s/f",TEXT(B987,"yyyymmdd")))</f>
        <v/>
      </c>
      <c r="AE987" s="37" t="n">
        <f aca="false">IF(E987="",0,IF(COUNTIFS($E$5:E987,E987,$AD$5:AD987,AD987)=1,1,0))</f>
        <v>0</v>
      </c>
    </row>
    <row r="988" customFormat="false" ht="15" hidden="false" customHeight="true" outlineLevel="0" collapsed="false">
      <c r="A988" s="31"/>
      <c r="B988" s="30"/>
      <c r="C988" s="31"/>
      <c r="D988" s="31"/>
      <c r="E988" s="32"/>
      <c r="F988" s="32"/>
      <c r="G988" s="33"/>
      <c r="H988" s="31"/>
      <c r="I988" s="24" t="str">
        <f aca="false">IF(B988="","",YEAR(B988))</f>
        <v/>
      </c>
      <c r="J988" s="34" t="str">
        <f aca="false">IF(B988="","",IF(MONTH(B988)=1,"X",""))</f>
        <v/>
      </c>
      <c r="K988" s="34" t="str">
        <f aca="false">IF(B988="","",IF(MONTH(B988)=2,"X",""))</f>
        <v/>
      </c>
      <c r="L988" s="34" t="str">
        <f aca="false">IF(B988="","",IF(MONTH(B988)=3,"X",""))</f>
        <v/>
      </c>
      <c r="M988" s="34" t="str">
        <f aca="false">IF(B988="","",IF(MONTH(B988)=4,"X",""))</f>
        <v/>
      </c>
      <c r="N988" s="34" t="str">
        <f aca="false">IF(B988="","",IF(MONTH(B988)=5,"X",""))</f>
        <v/>
      </c>
      <c r="O988" s="34" t="str">
        <f aca="false">IF(B988="","",IF(MONTH(B988)=6,"X",""))</f>
        <v/>
      </c>
      <c r="P988" s="34" t="str">
        <f aca="false">IF(B988="","",IF(MONTH(B988)=7,"X",""))</f>
        <v/>
      </c>
      <c r="Q988" s="34" t="str">
        <f aca="false">IF(B988="","",IF(MONTH(B988)=8,"X",""))</f>
        <v/>
      </c>
      <c r="R988" s="34" t="str">
        <f aca="false">IF(B988="","",IF(MONTH(B988)=9,"X",""))</f>
        <v/>
      </c>
      <c r="S988" s="34" t="str">
        <f aca="false">IF(B988="","",IF(MONTH(B988)=10,"X",""))</f>
        <v/>
      </c>
      <c r="T988" s="34" t="str">
        <f aca="false">IF(B988="","",IF(MONTH(B988)=11,"X",""))</f>
        <v/>
      </c>
      <c r="U988" s="34" t="str">
        <f aca="false">IF(B988="","",IF(MONTH(B988)=12,"X",""))</f>
        <v/>
      </c>
      <c r="V988" s="24" t="str">
        <f aca="false">IF(E988="","",COUNTIF($E$5:$E$1000,E988))</f>
        <v/>
      </c>
      <c r="W988" s="35" t="str">
        <f aca="false">IF(E988="","",_xlfn.TEXTJOIN(" + ",TRUE(),IF(COUNTIFS($E$5:$E$1000,E988,$C$5:$C$1000,"Auditoría Interna")&gt;0,"Interna",""),IF(COUNTIFS($E$5:$E$1000,E988,$C$5:$C$1000,"Auditoría Externa")&gt;0,"Externa",""),IF(COUNTIFS($E$5:$E$1000,E988,$C$5:$C$1000,"SSF")&gt;0,"SSF",""),IF(COUNTIFS($E$5:$E$1000,E988,$C$5:$C$1000,"Comité de Supervisión")&gt;0,"Comité Sup.",""),IF(COUNTIFS($E$5:$E$1000,E988,$C$5:$C$1000,"Consejo de Administración")&gt;0,"Consejo",""),IF(COUNTIFS($E$5:$E$1000,E988,$C$5:$C$1000,"Otros")&gt;0,"Otros","")))</f>
        <v/>
      </c>
      <c r="X988" s="24" t="str">
        <f aca="false">IF(E988="","",COUNTIFS($E$5:$E$1000,E988,$AB$5:$AB$1000,AB988,$C$5:$C$1000,"&lt;&gt;"&amp;C988))</f>
        <v/>
      </c>
      <c r="Y988" s="33"/>
      <c r="Z988" s="31"/>
      <c r="AA988" s="33"/>
      <c r="AB988" s="37" t="str">
        <f aca="false">IF(B988="","",YEAR(B988)*100+MONTH(B988))</f>
        <v/>
      </c>
      <c r="AC988" s="37" t="str">
        <f aca="false">IF(AND(E988&lt;&gt;"",E988=Cruce!$C$5),COUNTIF($E$5:E988,E988),"")</f>
        <v/>
      </c>
      <c r="AD988" s="37" t="str">
        <f aca="false">IF(E988="","",C988&amp;"|"&amp;Y988&amp;"|"&amp;IF(B988="","s/f",TEXT(B988,"yyyymmdd")))</f>
        <v/>
      </c>
      <c r="AE988" s="37" t="n">
        <f aca="false">IF(E988="",0,IF(COUNTIFS($E$5:E988,E988,$AD$5:AD988,AD988)=1,1,0))</f>
        <v>0</v>
      </c>
    </row>
    <row r="989" customFormat="false" ht="15" hidden="false" customHeight="true" outlineLevel="0" collapsed="false">
      <c r="A989" s="31"/>
      <c r="B989" s="30"/>
      <c r="C989" s="31"/>
      <c r="D989" s="31"/>
      <c r="E989" s="32"/>
      <c r="F989" s="32"/>
      <c r="G989" s="33"/>
      <c r="H989" s="31"/>
      <c r="I989" s="24" t="str">
        <f aca="false">IF(B989="","",YEAR(B989))</f>
        <v/>
      </c>
      <c r="J989" s="34" t="str">
        <f aca="false">IF(B989="","",IF(MONTH(B989)=1,"X",""))</f>
        <v/>
      </c>
      <c r="K989" s="34" t="str">
        <f aca="false">IF(B989="","",IF(MONTH(B989)=2,"X",""))</f>
        <v/>
      </c>
      <c r="L989" s="34" t="str">
        <f aca="false">IF(B989="","",IF(MONTH(B989)=3,"X",""))</f>
        <v/>
      </c>
      <c r="M989" s="34" t="str">
        <f aca="false">IF(B989="","",IF(MONTH(B989)=4,"X",""))</f>
        <v/>
      </c>
      <c r="N989" s="34" t="str">
        <f aca="false">IF(B989="","",IF(MONTH(B989)=5,"X",""))</f>
        <v/>
      </c>
      <c r="O989" s="34" t="str">
        <f aca="false">IF(B989="","",IF(MONTH(B989)=6,"X",""))</f>
        <v/>
      </c>
      <c r="P989" s="34" t="str">
        <f aca="false">IF(B989="","",IF(MONTH(B989)=7,"X",""))</f>
        <v/>
      </c>
      <c r="Q989" s="34" t="str">
        <f aca="false">IF(B989="","",IF(MONTH(B989)=8,"X",""))</f>
        <v/>
      </c>
      <c r="R989" s="34" t="str">
        <f aca="false">IF(B989="","",IF(MONTH(B989)=9,"X",""))</f>
        <v/>
      </c>
      <c r="S989" s="34" t="str">
        <f aca="false">IF(B989="","",IF(MONTH(B989)=10,"X",""))</f>
        <v/>
      </c>
      <c r="T989" s="34" t="str">
        <f aca="false">IF(B989="","",IF(MONTH(B989)=11,"X",""))</f>
        <v/>
      </c>
      <c r="U989" s="34" t="str">
        <f aca="false">IF(B989="","",IF(MONTH(B989)=12,"X",""))</f>
        <v/>
      </c>
      <c r="V989" s="24" t="str">
        <f aca="false">IF(E989="","",COUNTIF($E$5:$E$1000,E989))</f>
        <v/>
      </c>
      <c r="W989" s="35" t="str">
        <f aca="false">IF(E989="","",_xlfn.TEXTJOIN(" + ",TRUE(),IF(COUNTIFS($E$5:$E$1000,E989,$C$5:$C$1000,"Auditoría Interna")&gt;0,"Interna",""),IF(COUNTIFS($E$5:$E$1000,E989,$C$5:$C$1000,"Auditoría Externa")&gt;0,"Externa",""),IF(COUNTIFS($E$5:$E$1000,E989,$C$5:$C$1000,"SSF")&gt;0,"SSF",""),IF(COUNTIFS($E$5:$E$1000,E989,$C$5:$C$1000,"Comité de Supervisión")&gt;0,"Comité Sup.",""),IF(COUNTIFS($E$5:$E$1000,E989,$C$5:$C$1000,"Consejo de Administración")&gt;0,"Consejo",""),IF(COUNTIFS($E$5:$E$1000,E989,$C$5:$C$1000,"Otros")&gt;0,"Otros","")))</f>
        <v/>
      </c>
      <c r="X989" s="24" t="str">
        <f aca="false">IF(E989="","",COUNTIFS($E$5:$E$1000,E989,$AB$5:$AB$1000,AB989,$C$5:$C$1000,"&lt;&gt;"&amp;C989))</f>
        <v/>
      </c>
      <c r="Y989" s="33"/>
      <c r="Z989" s="31"/>
      <c r="AA989" s="33"/>
      <c r="AB989" s="37" t="str">
        <f aca="false">IF(B989="","",YEAR(B989)*100+MONTH(B989))</f>
        <v/>
      </c>
      <c r="AC989" s="37" t="str">
        <f aca="false">IF(AND(E989&lt;&gt;"",E989=Cruce!$C$5),COUNTIF($E$5:E989,E989),"")</f>
        <v/>
      </c>
      <c r="AD989" s="37" t="str">
        <f aca="false">IF(E989="","",C989&amp;"|"&amp;Y989&amp;"|"&amp;IF(B989="","s/f",TEXT(B989,"yyyymmdd")))</f>
        <v/>
      </c>
      <c r="AE989" s="37" t="n">
        <f aca="false">IF(E989="",0,IF(COUNTIFS($E$5:E989,E989,$AD$5:AD989,AD989)=1,1,0))</f>
        <v>0</v>
      </c>
    </row>
    <row r="990" customFormat="false" ht="15" hidden="false" customHeight="true" outlineLevel="0" collapsed="false">
      <c r="A990" s="31"/>
      <c r="B990" s="30"/>
      <c r="C990" s="31"/>
      <c r="D990" s="31"/>
      <c r="E990" s="32"/>
      <c r="F990" s="32"/>
      <c r="G990" s="33"/>
      <c r="H990" s="31"/>
      <c r="I990" s="24" t="str">
        <f aca="false">IF(B990="","",YEAR(B990))</f>
        <v/>
      </c>
      <c r="J990" s="34" t="str">
        <f aca="false">IF(B990="","",IF(MONTH(B990)=1,"X",""))</f>
        <v/>
      </c>
      <c r="K990" s="34" t="str">
        <f aca="false">IF(B990="","",IF(MONTH(B990)=2,"X",""))</f>
        <v/>
      </c>
      <c r="L990" s="34" t="str">
        <f aca="false">IF(B990="","",IF(MONTH(B990)=3,"X",""))</f>
        <v/>
      </c>
      <c r="M990" s="34" t="str">
        <f aca="false">IF(B990="","",IF(MONTH(B990)=4,"X",""))</f>
        <v/>
      </c>
      <c r="N990" s="34" t="str">
        <f aca="false">IF(B990="","",IF(MONTH(B990)=5,"X",""))</f>
        <v/>
      </c>
      <c r="O990" s="34" t="str">
        <f aca="false">IF(B990="","",IF(MONTH(B990)=6,"X",""))</f>
        <v/>
      </c>
      <c r="P990" s="34" t="str">
        <f aca="false">IF(B990="","",IF(MONTH(B990)=7,"X",""))</f>
        <v/>
      </c>
      <c r="Q990" s="34" t="str">
        <f aca="false">IF(B990="","",IF(MONTH(B990)=8,"X",""))</f>
        <v/>
      </c>
      <c r="R990" s="34" t="str">
        <f aca="false">IF(B990="","",IF(MONTH(B990)=9,"X",""))</f>
        <v/>
      </c>
      <c r="S990" s="34" t="str">
        <f aca="false">IF(B990="","",IF(MONTH(B990)=10,"X",""))</f>
        <v/>
      </c>
      <c r="T990" s="34" t="str">
        <f aca="false">IF(B990="","",IF(MONTH(B990)=11,"X",""))</f>
        <v/>
      </c>
      <c r="U990" s="34" t="str">
        <f aca="false">IF(B990="","",IF(MONTH(B990)=12,"X",""))</f>
        <v/>
      </c>
      <c r="V990" s="24" t="str">
        <f aca="false">IF(E990="","",COUNTIF($E$5:$E$1000,E990))</f>
        <v/>
      </c>
      <c r="W990" s="35" t="str">
        <f aca="false">IF(E990="","",_xlfn.TEXTJOIN(" + ",TRUE(),IF(COUNTIFS($E$5:$E$1000,E990,$C$5:$C$1000,"Auditoría Interna")&gt;0,"Interna",""),IF(COUNTIFS($E$5:$E$1000,E990,$C$5:$C$1000,"Auditoría Externa")&gt;0,"Externa",""),IF(COUNTIFS($E$5:$E$1000,E990,$C$5:$C$1000,"SSF")&gt;0,"SSF",""),IF(COUNTIFS($E$5:$E$1000,E990,$C$5:$C$1000,"Comité de Supervisión")&gt;0,"Comité Sup.",""),IF(COUNTIFS($E$5:$E$1000,E990,$C$5:$C$1000,"Consejo de Administración")&gt;0,"Consejo",""),IF(COUNTIFS($E$5:$E$1000,E990,$C$5:$C$1000,"Otros")&gt;0,"Otros","")))</f>
        <v/>
      </c>
      <c r="X990" s="24" t="str">
        <f aca="false">IF(E990="","",COUNTIFS($E$5:$E$1000,E990,$AB$5:$AB$1000,AB990,$C$5:$C$1000,"&lt;&gt;"&amp;C990))</f>
        <v/>
      </c>
      <c r="Y990" s="33"/>
      <c r="Z990" s="31"/>
      <c r="AA990" s="33"/>
      <c r="AB990" s="37" t="str">
        <f aca="false">IF(B990="","",YEAR(B990)*100+MONTH(B990))</f>
        <v/>
      </c>
      <c r="AC990" s="37" t="str">
        <f aca="false">IF(AND(E990&lt;&gt;"",E990=Cruce!$C$5),COUNTIF($E$5:E990,E990),"")</f>
        <v/>
      </c>
      <c r="AD990" s="37" t="str">
        <f aca="false">IF(E990="","",C990&amp;"|"&amp;Y990&amp;"|"&amp;IF(B990="","s/f",TEXT(B990,"yyyymmdd")))</f>
        <v/>
      </c>
      <c r="AE990" s="37" t="n">
        <f aca="false">IF(E990="",0,IF(COUNTIFS($E$5:E990,E990,$AD$5:AD990,AD990)=1,1,0))</f>
        <v>0</v>
      </c>
    </row>
    <row r="991" customFormat="false" ht="15" hidden="false" customHeight="true" outlineLevel="0" collapsed="false">
      <c r="A991" s="31"/>
      <c r="B991" s="30"/>
      <c r="C991" s="31"/>
      <c r="D991" s="31"/>
      <c r="E991" s="32"/>
      <c r="F991" s="32"/>
      <c r="G991" s="33"/>
      <c r="H991" s="31"/>
      <c r="I991" s="24" t="str">
        <f aca="false">IF(B991="","",YEAR(B991))</f>
        <v/>
      </c>
      <c r="J991" s="34" t="str">
        <f aca="false">IF(B991="","",IF(MONTH(B991)=1,"X",""))</f>
        <v/>
      </c>
      <c r="K991" s="34" t="str">
        <f aca="false">IF(B991="","",IF(MONTH(B991)=2,"X",""))</f>
        <v/>
      </c>
      <c r="L991" s="34" t="str">
        <f aca="false">IF(B991="","",IF(MONTH(B991)=3,"X",""))</f>
        <v/>
      </c>
      <c r="M991" s="34" t="str">
        <f aca="false">IF(B991="","",IF(MONTH(B991)=4,"X",""))</f>
        <v/>
      </c>
      <c r="N991" s="34" t="str">
        <f aca="false">IF(B991="","",IF(MONTH(B991)=5,"X",""))</f>
        <v/>
      </c>
      <c r="O991" s="34" t="str">
        <f aca="false">IF(B991="","",IF(MONTH(B991)=6,"X",""))</f>
        <v/>
      </c>
      <c r="P991" s="34" t="str">
        <f aca="false">IF(B991="","",IF(MONTH(B991)=7,"X",""))</f>
        <v/>
      </c>
      <c r="Q991" s="34" t="str">
        <f aca="false">IF(B991="","",IF(MONTH(B991)=8,"X",""))</f>
        <v/>
      </c>
      <c r="R991" s="34" t="str">
        <f aca="false">IF(B991="","",IF(MONTH(B991)=9,"X",""))</f>
        <v/>
      </c>
      <c r="S991" s="34" t="str">
        <f aca="false">IF(B991="","",IF(MONTH(B991)=10,"X",""))</f>
        <v/>
      </c>
      <c r="T991" s="34" t="str">
        <f aca="false">IF(B991="","",IF(MONTH(B991)=11,"X",""))</f>
        <v/>
      </c>
      <c r="U991" s="34" t="str">
        <f aca="false">IF(B991="","",IF(MONTH(B991)=12,"X",""))</f>
        <v/>
      </c>
      <c r="V991" s="24" t="str">
        <f aca="false">IF(E991="","",COUNTIF($E$5:$E$1000,E991))</f>
        <v/>
      </c>
      <c r="W991" s="35" t="str">
        <f aca="false">IF(E991="","",_xlfn.TEXTJOIN(" + ",TRUE(),IF(COUNTIFS($E$5:$E$1000,E991,$C$5:$C$1000,"Auditoría Interna")&gt;0,"Interna",""),IF(COUNTIFS($E$5:$E$1000,E991,$C$5:$C$1000,"Auditoría Externa")&gt;0,"Externa",""),IF(COUNTIFS($E$5:$E$1000,E991,$C$5:$C$1000,"SSF")&gt;0,"SSF",""),IF(COUNTIFS($E$5:$E$1000,E991,$C$5:$C$1000,"Comité de Supervisión")&gt;0,"Comité Sup.",""),IF(COUNTIFS($E$5:$E$1000,E991,$C$5:$C$1000,"Consejo de Administración")&gt;0,"Consejo",""),IF(COUNTIFS($E$5:$E$1000,E991,$C$5:$C$1000,"Otros")&gt;0,"Otros","")))</f>
        <v/>
      </c>
      <c r="X991" s="24" t="str">
        <f aca="false">IF(E991="","",COUNTIFS($E$5:$E$1000,E991,$AB$5:$AB$1000,AB991,$C$5:$C$1000,"&lt;&gt;"&amp;C991))</f>
        <v/>
      </c>
      <c r="Y991" s="33"/>
      <c r="Z991" s="31"/>
      <c r="AA991" s="33"/>
      <c r="AB991" s="37" t="str">
        <f aca="false">IF(B991="","",YEAR(B991)*100+MONTH(B991))</f>
        <v/>
      </c>
      <c r="AC991" s="37" t="str">
        <f aca="false">IF(AND(E991&lt;&gt;"",E991=Cruce!$C$5),COUNTIF($E$5:E991,E991),"")</f>
        <v/>
      </c>
      <c r="AD991" s="37" t="str">
        <f aca="false">IF(E991="","",C991&amp;"|"&amp;Y991&amp;"|"&amp;IF(B991="","s/f",TEXT(B991,"yyyymmdd")))</f>
        <v/>
      </c>
      <c r="AE991" s="37" t="n">
        <f aca="false">IF(E991="",0,IF(COUNTIFS($E$5:E991,E991,$AD$5:AD991,AD991)=1,1,0))</f>
        <v>0</v>
      </c>
    </row>
    <row r="992" customFormat="false" ht="15" hidden="false" customHeight="true" outlineLevel="0" collapsed="false">
      <c r="A992" s="31"/>
      <c r="B992" s="30"/>
      <c r="C992" s="31"/>
      <c r="D992" s="31"/>
      <c r="E992" s="32"/>
      <c r="F992" s="32"/>
      <c r="G992" s="33"/>
      <c r="H992" s="31"/>
      <c r="I992" s="24" t="str">
        <f aca="false">IF(B992="","",YEAR(B992))</f>
        <v/>
      </c>
      <c r="J992" s="34" t="str">
        <f aca="false">IF(B992="","",IF(MONTH(B992)=1,"X",""))</f>
        <v/>
      </c>
      <c r="K992" s="34" t="str">
        <f aca="false">IF(B992="","",IF(MONTH(B992)=2,"X",""))</f>
        <v/>
      </c>
      <c r="L992" s="34" t="str">
        <f aca="false">IF(B992="","",IF(MONTH(B992)=3,"X",""))</f>
        <v/>
      </c>
      <c r="M992" s="34" t="str">
        <f aca="false">IF(B992="","",IF(MONTH(B992)=4,"X",""))</f>
        <v/>
      </c>
      <c r="N992" s="34" t="str">
        <f aca="false">IF(B992="","",IF(MONTH(B992)=5,"X",""))</f>
        <v/>
      </c>
      <c r="O992" s="34" t="str">
        <f aca="false">IF(B992="","",IF(MONTH(B992)=6,"X",""))</f>
        <v/>
      </c>
      <c r="P992" s="34" t="str">
        <f aca="false">IF(B992="","",IF(MONTH(B992)=7,"X",""))</f>
        <v/>
      </c>
      <c r="Q992" s="34" t="str">
        <f aca="false">IF(B992="","",IF(MONTH(B992)=8,"X",""))</f>
        <v/>
      </c>
      <c r="R992" s="34" t="str">
        <f aca="false">IF(B992="","",IF(MONTH(B992)=9,"X",""))</f>
        <v/>
      </c>
      <c r="S992" s="34" t="str">
        <f aca="false">IF(B992="","",IF(MONTH(B992)=10,"X",""))</f>
        <v/>
      </c>
      <c r="T992" s="34" t="str">
        <f aca="false">IF(B992="","",IF(MONTH(B992)=11,"X",""))</f>
        <v/>
      </c>
      <c r="U992" s="34" t="str">
        <f aca="false">IF(B992="","",IF(MONTH(B992)=12,"X",""))</f>
        <v/>
      </c>
      <c r="V992" s="24" t="str">
        <f aca="false">IF(E992="","",COUNTIF($E$5:$E$1000,E992))</f>
        <v/>
      </c>
      <c r="W992" s="35" t="str">
        <f aca="false">IF(E992="","",_xlfn.TEXTJOIN(" + ",TRUE(),IF(COUNTIFS($E$5:$E$1000,E992,$C$5:$C$1000,"Auditoría Interna")&gt;0,"Interna",""),IF(COUNTIFS($E$5:$E$1000,E992,$C$5:$C$1000,"Auditoría Externa")&gt;0,"Externa",""),IF(COUNTIFS($E$5:$E$1000,E992,$C$5:$C$1000,"SSF")&gt;0,"SSF",""),IF(COUNTIFS($E$5:$E$1000,E992,$C$5:$C$1000,"Comité de Supervisión")&gt;0,"Comité Sup.",""),IF(COUNTIFS($E$5:$E$1000,E992,$C$5:$C$1000,"Consejo de Administración")&gt;0,"Consejo",""),IF(COUNTIFS($E$5:$E$1000,E992,$C$5:$C$1000,"Otros")&gt;0,"Otros","")))</f>
        <v/>
      </c>
      <c r="X992" s="24" t="str">
        <f aca="false">IF(E992="","",COUNTIFS($E$5:$E$1000,E992,$AB$5:$AB$1000,AB992,$C$5:$C$1000,"&lt;&gt;"&amp;C992))</f>
        <v/>
      </c>
      <c r="Y992" s="33"/>
      <c r="Z992" s="31"/>
      <c r="AA992" s="33"/>
      <c r="AB992" s="37" t="str">
        <f aca="false">IF(B992="","",YEAR(B992)*100+MONTH(B992))</f>
        <v/>
      </c>
      <c r="AC992" s="37" t="str">
        <f aca="false">IF(AND(E992&lt;&gt;"",E992=Cruce!$C$5),COUNTIF($E$5:E992,E992),"")</f>
        <v/>
      </c>
      <c r="AD992" s="37" t="str">
        <f aca="false">IF(E992="","",C992&amp;"|"&amp;Y992&amp;"|"&amp;IF(B992="","s/f",TEXT(B992,"yyyymmdd")))</f>
        <v/>
      </c>
      <c r="AE992" s="37" t="n">
        <f aca="false">IF(E992="",0,IF(COUNTIFS($E$5:E992,E992,$AD$5:AD992,AD992)=1,1,0))</f>
        <v>0</v>
      </c>
    </row>
    <row r="993" customFormat="false" ht="15" hidden="false" customHeight="true" outlineLevel="0" collapsed="false">
      <c r="A993" s="31"/>
      <c r="B993" s="30"/>
      <c r="C993" s="31"/>
      <c r="D993" s="31"/>
      <c r="E993" s="32"/>
      <c r="F993" s="32"/>
      <c r="G993" s="33"/>
      <c r="H993" s="31"/>
      <c r="I993" s="24" t="str">
        <f aca="false">IF(B993="","",YEAR(B993))</f>
        <v/>
      </c>
      <c r="J993" s="34" t="str">
        <f aca="false">IF(B993="","",IF(MONTH(B993)=1,"X",""))</f>
        <v/>
      </c>
      <c r="K993" s="34" t="str">
        <f aca="false">IF(B993="","",IF(MONTH(B993)=2,"X",""))</f>
        <v/>
      </c>
      <c r="L993" s="34" t="str">
        <f aca="false">IF(B993="","",IF(MONTH(B993)=3,"X",""))</f>
        <v/>
      </c>
      <c r="M993" s="34" t="str">
        <f aca="false">IF(B993="","",IF(MONTH(B993)=4,"X",""))</f>
        <v/>
      </c>
      <c r="N993" s="34" t="str">
        <f aca="false">IF(B993="","",IF(MONTH(B993)=5,"X",""))</f>
        <v/>
      </c>
      <c r="O993" s="34" t="str">
        <f aca="false">IF(B993="","",IF(MONTH(B993)=6,"X",""))</f>
        <v/>
      </c>
      <c r="P993" s="34" t="str">
        <f aca="false">IF(B993="","",IF(MONTH(B993)=7,"X",""))</f>
        <v/>
      </c>
      <c r="Q993" s="34" t="str">
        <f aca="false">IF(B993="","",IF(MONTH(B993)=8,"X",""))</f>
        <v/>
      </c>
      <c r="R993" s="34" t="str">
        <f aca="false">IF(B993="","",IF(MONTH(B993)=9,"X",""))</f>
        <v/>
      </c>
      <c r="S993" s="34" t="str">
        <f aca="false">IF(B993="","",IF(MONTH(B993)=10,"X",""))</f>
        <v/>
      </c>
      <c r="T993" s="34" t="str">
        <f aca="false">IF(B993="","",IF(MONTH(B993)=11,"X",""))</f>
        <v/>
      </c>
      <c r="U993" s="34" t="str">
        <f aca="false">IF(B993="","",IF(MONTH(B993)=12,"X",""))</f>
        <v/>
      </c>
      <c r="V993" s="24" t="str">
        <f aca="false">IF(E993="","",COUNTIF($E$5:$E$1000,E993))</f>
        <v/>
      </c>
      <c r="W993" s="35" t="str">
        <f aca="false">IF(E993="","",_xlfn.TEXTJOIN(" + ",TRUE(),IF(COUNTIFS($E$5:$E$1000,E993,$C$5:$C$1000,"Auditoría Interna")&gt;0,"Interna",""),IF(COUNTIFS($E$5:$E$1000,E993,$C$5:$C$1000,"Auditoría Externa")&gt;0,"Externa",""),IF(COUNTIFS($E$5:$E$1000,E993,$C$5:$C$1000,"SSF")&gt;0,"SSF",""),IF(COUNTIFS($E$5:$E$1000,E993,$C$5:$C$1000,"Comité de Supervisión")&gt;0,"Comité Sup.",""),IF(COUNTIFS($E$5:$E$1000,E993,$C$5:$C$1000,"Consejo de Administración")&gt;0,"Consejo",""),IF(COUNTIFS($E$5:$E$1000,E993,$C$5:$C$1000,"Otros")&gt;0,"Otros","")))</f>
        <v/>
      </c>
      <c r="X993" s="24" t="str">
        <f aca="false">IF(E993="","",COUNTIFS($E$5:$E$1000,E993,$AB$5:$AB$1000,AB993,$C$5:$C$1000,"&lt;&gt;"&amp;C993))</f>
        <v/>
      </c>
      <c r="Y993" s="33"/>
      <c r="Z993" s="31"/>
      <c r="AA993" s="33"/>
      <c r="AB993" s="37" t="str">
        <f aca="false">IF(B993="","",YEAR(B993)*100+MONTH(B993))</f>
        <v/>
      </c>
      <c r="AC993" s="37" t="str">
        <f aca="false">IF(AND(E993&lt;&gt;"",E993=Cruce!$C$5),COUNTIF($E$5:E993,E993),"")</f>
        <v/>
      </c>
      <c r="AD993" s="37" t="str">
        <f aca="false">IF(E993="","",C993&amp;"|"&amp;Y993&amp;"|"&amp;IF(B993="","s/f",TEXT(B993,"yyyymmdd")))</f>
        <v/>
      </c>
      <c r="AE993" s="37" t="n">
        <f aca="false">IF(E993="",0,IF(COUNTIFS($E$5:E993,E993,$AD$5:AD993,AD993)=1,1,0))</f>
        <v>0</v>
      </c>
    </row>
    <row r="994" customFormat="false" ht="15" hidden="false" customHeight="true" outlineLevel="0" collapsed="false">
      <c r="A994" s="31"/>
      <c r="B994" s="30"/>
      <c r="C994" s="31"/>
      <c r="D994" s="31"/>
      <c r="E994" s="32"/>
      <c r="F994" s="32"/>
      <c r="G994" s="33"/>
      <c r="H994" s="31"/>
      <c r="I994" s="24" t="str">
        <f aca="false">IF(B994="","",YEAR(B994))</f>
        <v/>
      </c>
      <c r="J994" s="34" t="str">
        <f aca="false">IF(B994="","",IF(MONTH(B994)=1,"X",""))</f>
        <v/>
      </c>
      <c r="K994" s="34" t="str">
        <f aca="false">IF(B994="","",IF(MONTH(B994)=2,"X",""))</f>
        <v/>
      </c>
      <c r="L994" s="34" t="str">
        <f aca="false">IF(B994="","",IF(MONTH(B994)=3,"X",""))</f>
        <v/>
      </c>
      <c r="M994" s="34" t="str">
        <f aca="false">IF(B994="","",IF(MONTH(B994)=4,"X",""))</f>
        <v/>
      </c>
      <c r="N994" s="34" t="str">
        <f aca="false">IF(B994="","",IF(MONTH(B994)=5,"X",""))</f>
        <v/>
      </c>
      <c r="O994" s="34" t="str">
        <f aca="false">IF(B994="","",IF(MONTH(B994)=6,"X",""))</f>
        <v/>
      </c>
      <c r="P994" s="34" t="str">
        <f aca="false">IF(B994="","",IF(MONTH(B994)=7,"X",""))</f>
        <v/>
      </c>
      <c r="Q994" s="34" t="str">
        <f aca="false">IF(B994="","",IF(MONTH(B994)=8,"X",""))</f>
        <v/>
      </c>
      <c r="R994" s="34" t="str">
        <f aca="false">IF(B994="","",IF(MONTH(B994)=9,"X",""))</f>
        <v/>
      </c>
      <c r="S994" s="34" t="str">
        <f aca="false">IF(B994="","",IF(MONTH(B994)=10,"X",""))</f>
        <v/>
      </c>
      <c r="T994" s="34" t="str">
        <f aca="false">IF(B994="","",IF(MONTH(B994)=11,"X",""))</f>
        <v/>
      </c>
      <c r="U994" s="34" t="str">
        <f aca="false">IF(B994="","",IF(MONTH(B994)=12,"X",""))</f>
        <v/>
      </c>
      <c r="V994" s="24" t="str">
        <f aca="false">IF(E994="","",COUNTIF($E$5:$E$1000,E994))</f>
        <v/>
      </c>
      <c r="W994" s="35" t="str">
        <f aca="false">IF(E994="","",_xlfn.TEXTJOIN(" + ",TRUE(),IF(COUNTIFS($E$5:$E$1000,E994,$C$5:$C$1000,"Auditoría Interna")&gt;0,"Interna",""),IF(COUNTIFS($E$5:$E$1000,E994,$C$5:$C$1000,"Auditoría Externa")&gt;0,"Externa",""),IF(COUNTIFS($E$5:$E$1000,E994,$C$5:$C$1000,"SSF")&gt;0,"SSF",""),IF(COUNTIFS($E$5:$E$1000,E994,$C$5:$C$1000,"Comité de Supervisión")&gt;0,"Comité Sup.",""),IF(COUNTIFS($E$5:$E$1000,E994,$C$5:$C$1000,"Consejo de Administración")&gt;0,"Consejo",""),IF(COUNTIFS($E$5:$E$1000,E994,$C$5:$C$1000,"Otros")&gt;0,"Otros","")))</f>
        <v/>
      </c>
      <c r="X994" s="24" t="str">
        <f aca="false">IF(E994="","",COUNTIFS($E$5:$E$1000,E994,$AB$5:$AB$1000,AB994,$C$5:$C$1000,"&lt;&gt;"&amp;C994))</f>
        <v/>
      </c>
      <c r="Y994" s="33"/>
      <c r="Z994" s="31"/>
      <c r="AA994" s="33"/>
      <c r="AB994" s="37" t="str">
        <f aca="false">IF(B994="","",YEAR(B994)*100+MONTH(B994))</f>
        <v/>
      </c>
      <c r="AC994" s="37" t="str">
        <f aca="false">IF(AND(E994&lt;&gt;"",E994=Cruce!$C$5),COUNTIF($E$5:E994,E994),"")</f>
        <v/>
      </c>
      <c r="AD994" s="37" t="str">
        <f aca="false">IF(E994="","",C994&amp;"|"&amp;Y994&amp;"|"&amp;IF(B994="","s/f",TEXT(B994,"yyyymmdd")))</f>
        <v/>
      </c>
      <c r="AE994" s="37" t="n">
        <f aca="false">IF(E994="",0,IF(COUNTIFS($E$5:E994,E994,$AD$5:AD994,AD994)=1,1,0))</f>
        <v>0</v>
      </c>
    </row>
    <row r="995" customFormat="false" ht="15" hidden="false" customHeight="true" outlineLevel="0" collapsed="false">
      <c r="A995" s="31"/>
      <c r="B995" s="30"/>
      <c r="C995" s="31"/>
      <c r="D995" s="31"/>
      <c r="E995" s="32"/>
      <c r="F995" s="32"/>
      <c r="G995" s="33"/>
      <c r="H995" s="31"/>
      <c r="I995" s="24" t="str">
        <f aca="false">IF(B995="","",YEAR(B995))</f>
        <v/>
      </c>
      <c r="J995" s="34" t="str">
        <f aca="false">IF(B995="","",IF(MONTH(B995)=1,"X",""))</f>
        <v/>
      </c>
      <c r="K995" s="34" t="str">
        <f aca="false">IF(B995="","",IF(MONTH(B995)=2,"X",""))</f>
        <v/>
      </c>
      <c r="L995" s="34" t="str">
        <f aca="false">IF(B995="","",IF(MONTH(B995)=3,"X",""))</f>
        <v/>
      </c>
      <c r="M995" s="34" t="str">
        <f aca="false">IF(B995="","",IF(MONTH(B995)=4,"X",""))</f>
        <v/>
      </c>
      <c r="N995" s="34" t="str">
        <f aca="false">IF(B995="","",IF(MONTH(B995)=5,"X",""))</f>
        <v/>
      </c>
      <c r="O995" s="34" t="str">
        <f aca="false">IF(B995="","",IF(MONTH(B995)=6,"X",""))</f>
        <v/>
      </c>
      <c r="P995" s="34" t="str">
        <f aca="false">IF(B995="","",IF(MONTH(B995)=7,"X",""))</f>
        <v/>
      </c>
      <c r="Q995" s="34" t="str">
        <f aca="false">IF(B995="","",IF(MONTH(B995)=8,"X",""))</f>
        <v/>
      </c>
      <c r="R995" s="34" t="str">
        <f aca="false">IF(B995="","",IF(MONTH(B995)=9,"X",""))</f>
        <v/>
      </c>
      <c r="S995" s="34" t="str">
        <f aca="false">IF(B995="","",IF(MONTH(B995)=10,"X",""))</f>
        <v/>
      </c>
      <c r="T995" s="34" t="str">
        <f aca="false">IF(B995="","",IF(MONTH(B995)=11,"X",""))</f>
        <v/>
      </c>
      <c r="U995" s="34" t="str">
        <f aca="false">IF(B995="","",IF(MONTH(B995)=12,"X",""))</f>
        <v/>
      </c>
      <c r="V995" s="24" t="str">
        <f aca="false">IF(E995="","",COUNTIF($E$5:$E$1000,E995))</f>
        <v/>
      </c>
      <c r="W995" s="35" t="str">
        <f aca="false">IF(E995="","",_xlfn.TEXTJOIN(" + ",TRUE(),IF(COUNTIFS($E$5:$E$1000,E995,$C$5:$C$1000,"Auditoría Interna")&gt;0,"Interna",""),IF(COUNTIFS($E$5:$E$1000,E995,$C$5:$C$1000,"Auditoría Externa")&gt;0,"Externa",""),IF(COUNTIFS($E$5:$E$1000,E995,$C$5:$C$1000,"SSF")&gt;0,"SSF",""),IF(COUNTIFS($E$5:$E$1000,E995,$C$5:$C$1000,"Comité de Supervisión")&gt;0,"Comité Sup.",""),IF(COUNTIFS($E$5:$E$1000,E995,$C$5:$C$1000,"Consejo de Administración")&gt;0,"Consejo",""),IF(COUNTIFS($E$5:$E$1000,E995,$C$5:$C$1000,"Otros")&gt;0,"Otros","")))</f>
        <v/>
      </c>
      <c r="X995" s="24" t="str">
        <f aca="false">IF(E995="","",COUNTIFS($E$5:$E$1000,E995,$AB$5:$AB$1000,AB995,$C$5:$C$1000,"&lt;&gt;"&amp;C995))</f>
        <v/>
      </c>
      <c r="Y995" s="33"/>
      <c r="Z995" s="31"/>
      <c r="AA995" s="33"/>
      <c r="AB995" s="37" t="str">
        <f aca="false">IF(B995="","",YEAR(B995)*100+MONTH(B995))</f>
        <v/>
      </c>
      <c r="AC995" s="37" t="str">
        <f aca="false">IF(AND(E995&lt;&gt;"",E995=Cruce!$C$5),COUNTIF($E$5:E995,E995),"")</f>
        <v/>
      </c>
      <c r="AD995" s="37" t="str">
        <f aca="false">IF(E995="","",C995&amp;"|"&amp;Y995&amp;"|"&amp;IF(B995="","s/f",TEXT(B995,"yyyymmdd")))</f>
        <v/>
      </c>
      <c r="AE995" s="37" t="n">
        <f aca="false">IF(E995="",0,IF(COUNTIFS($E$5:E995,E995,$AD$5:AD995,AD995)=1,1,0))</f>
        <v>0</v>
      </c>
    </row>
    <row r="996" customFormat="false" ht="15" hidden="false" customHeight="true" outlineLevel="0" collapsed="false">
      <c r="A996" s="31"/>
      <c r="B996" s="30"/>
      <c r="C996" s="31"/>
      <c r="D996" s="31"/>
      <c r="E996" s="32"/>
      <c r="F996" s="32"/>
      <c r="G996" s="33"/>
      <c r="H996" s="31"/>
      <c r="I996" s="24" t="str">
        <f aca="false">IF(B996="","",YEAR(B996))</f>
        <v/>
      </c>
      <c r="J996" s="34" t="str">
        <f aca="false">IF(B996="","",IF(MONTH(B996)=1,"X",""))</f>
        <v/>
      </c>
      <c r="K996" s="34" t="str">
        <f aca="false">IF(B996="","",IF(MONTH(B996)=2,"X",""))</f>
        <v/>
      </c>
      <c r="L996" s="34" t="str">
        <f aca="false">IF(B996="","",IF(MONTH(B996)=3,"X",""))</f>
        <v/>
      </c>
      <c r="M996" s="34" t="str">
        <f aca="false">IF(B996="","",IF(MONTH(B996)=4,"X",""))</f>
        <v/>
      </c>
      <c r="N996" s="34" t="str">
        <f aca="false">IF(B996="","",IF(MONTH(B996)=5,"X",""))</f>
        <v/>
      </c>
      <c r="O996" s="34" t="str">
        <f aca="false">IF(B996="","",IF(MONTH(B996)=6,"X",""))</f>
        <v/>
      </c>
      <c r="P996" s="34" t="str">
        <f aca="false">IF(B996="","",IF(MONTH(B996)=7,"X",""))</f>
        <v/>
      </c>
      <c r="Q996" s="34" t="str">
        <f aca="false">IF(B996="","",IF(MONTH(B996)=8,"X",""))</f>
        <v/>
      </c>
      <c r="R996" s="34" t="str">
        <f aca="false">IF(B996="","",IF(MONTH(B996)=9,"X",""))</f>
        <v/>
      </c>
      <c r="S996" s="34" t="str">
        <f aca="false">IF(B996="","",IF(MONTH(B996)=10,"X",""))</f>
        <v/>
      </c>
      <c r="T996" s="34" t="str">
        <f aca="false">IF(B996="","",IF(MONTH(B996)=11,"X",""))</f>
        <v/>
      </c>
      <c r="U996" s="34" t="str">
        <f aca="false">IF(B996="","",IF(MONTH(B996)=12,"X",""))</f>
        <v/>
      </c>
      <c r="V996" s="24" t="str">
        <f aca="false">IF(E996="","",COUNTIF($E$5:$E$1000,E996))</f>
        <v/>
      </c>
      <c r="W996" s="35" t="str">
        <f aca="false">IF(E996="","",_xlfn.TEXTJOIN(" + ",TRUE(),IF(COUNTIFS($E$5:$E$1000,E996,$C$5:$C$1000,"Auditoría Interna")&gt;0,"Interna",""),IF(COUNTIFS($E$5:$E$1000,E996,$C$5:$C$1000,"Auditoría Externa")&gt;0,"Externa",""),IF(COUNTIFS($E$5:$E$1000,E996,$C$5:$C$1000,"SSF")&gt;0,"SSF",""),IF(COUNTIFS($E$5:$E$1000,E996,$C$5:$C$1000,"Comité de Supervisión")&gt;0,"Comité Sup.",""),IF(COUNTIFS($E$5:$E$1000,E996,$C$5:$C$1000,"Consejo de Administración")&gt;0,"Consejo",""),IF(COUNTIFS($E$5:$E$1000,E996,$C$5:$C$1000,"Otros")&gt;0,"Otros","")))</f>
        <v/>
      </c>
      <c r="X996" s="24" t="str">
        <f aca="false">IF(E996="","",COUNTIFS($E$5:$E$1000,E996,$AB$5:$AB$1000,AB996,$C$5:$C$1000,"&lt;&gt;"&amp;C996))</f>
        <v/>
      </c>
      <c r="Y996" s="33"/>
      <c r="Z996" s="31"/>
      <c r="AA996" s="33"/>
      <c r="AB996" s="37" t="str">
        <f aca="false">IF(B996="","",YEAR(B996)*100+MONTH(B996))</f>
        <v/>
      </c>
      <c r="AC996" s="37" t="str">
        <f aca="false">IF(AND(E996&lt;&gt;"",E996=Cruce!$C$5),COUNTIF($E$5:E996,E996),"")</f>
        <v/>
      </c>
      <c r="AD996" s="37" t="str">
        <f aca="false">IF(E996="","",C996&amp;"|"&amp;Y996&amp;"|"&amp;IF(B996="","s/f",TEXT(B996,"yyyymmdd")))</f>
        <v/>
      </c>
      <c r="AE996" s="37" t="n">
        <f aca="false">IF(E996="",0,IF(COUNTIFS($E$5:E996,E996,$AD$5:AD996,AD996)=1,1,0))</f>
        <v>0</v>
      </c>
    </row>
    <row r="997" customFormat="false" ht="15" hidden="false" customHeight="true" outlineLevel="0" collapsed="false">
      <c r="A997" s="31"/>
      <c r="B997" s="30"/>
      <c r="C997" s="31"/>
      <c r="D997" s="31"/>
      <c r="E997" s="32"/>
      <c r="F997" s="32"/>
      <c r="G997" s="33"/>
      <c r="H997" s="31"/>
      <c r="I997" s="24" t="str">
        <f aca="false">IF(B997="","",YEAR(B997))</f>
        <v/>
      </c>
      <c r="J997" s="34" t="str">
        <f aca="false">IF(B997="","",IF(MONTH(B997)=1,"X",""))</f>
        <v/>
      </c>
      <c r="K997" s="34" t="str">
        <f aca="false">IF(B997="","",IF(MONTH(B997)=2,"X",""))</f>
        <v/>
      </c>
      <c r="L997" s="34" t="str">
        <f aca="false">IF(B997="","",IF(MONTH(B997)=3,"X",""))</f>
        <v/>
      </c>
      <c r="M997" s="34" t="str">
        <f aca="false">IF(B997="","",IF(MONTH(B997)=4,"X",""))</f>
        <v/>
      </c>
      <c r="N997" s="34" t="str">
        <f aca="false">IF(B997="","",IF(MONTH(B997)=5,"X",""))</f>
        <v/>
      </c>
      <c r="O997" s="34" t="str">
        <f aca="false">IF(B997="","",IF(MONTH(B997)=6,"X",""))</f>
        <v/>
      </c>
      <c r="P997" s="34" t="str">
        <f aca="false">IF(B997="","",IF(MONTH(B997)=7,"X",""))</f>
        <v/>
      </c>
      <c r="Q997" s="34" t="str">
        <f aca="false">IF(B997="","",IF(MONTH(B997)=8,"X",""))</f>
        <v/>
      </c>
      <c r="R997" s="34" t="str">
        <f aca="false">IF(B997="","",IF(MONTH(B997)=9,"X",""))</f>
        <v/>
      </c>
      <c r="S997" s="34" t="str">
        <f aca="false">IF(B997="","",IF(MONTH(B997)=10,"X",""))</f>
        <v/>
      </c>
      <c r="T997" s="34" t="str">
        <f aca="false">IF(B997="","",IF(MONTH(B997)=11,"X",""))</f>
        <v/>
      </c>
      <c r="U997" s="34" t="str">
        <f aca="false">IF(B997="","",IF(MONTH(B997)=12,"X",""))</f>
        <v/>
      </c>
      <c r="V997" s="24" t="str">
        <f aca="false">IF(E997="","",COUNTIF($E$5:$E$1000,E997))</f>
        <v/>
      </c>
      <c r="W997" s="35" t="str">
        <f aca="false">IF(E997="","",_xlfn.TEXTJOIN(" + ",TRUE(),IF(COUNTIFS($E$5:$E$1000,E997,$C$5:$C$1000,"Auditoría Interna")&gt;0,"Interna",""),IF(COUNTIFS($E$5:$E$1000,E997,$C$5:$C$1000,"Auditoría Externa")&gt;0,"Externa",""),IF(COUNTIFS($E$5:$E$1000,E997,$C$5:$C$1000,"SSF")&gt;0,"SSF",""),IF(COUNTIFS($E$5:$E$1000,E997,$C$5:$C$1000,"Comité de Supervisión")&gt;0,"Comité Sup.",""),IF(COUNTIFS($E$5:$E$1000,E997,$C$5:$C$1000,"Consejo de Administración")&gt;0,"Consejo",""),IF(COUNTIFS($E$5:$E$1000,E997,$C$5:$C$1000,"Otros")&gt;0,"Otros","")))</f>
        <v/>
      </c>
      <c r="X997" s="24" t="str">
        <f aca="false">IF(E997="","",COUNTIFS($E$5:$E$1000,E997,$AB$5:$AB$1000,AB997,$C$5:$C$1000,"&lt;&gt;"&amp;C997))</f>
        <v/>
      </c>
      <c r="Y997" s="33"/>
      <c r="Z997" s="31"/>
      <c r="AA997" s="33"/>
      <c r="AB997" s="37" t="str">
        <f aca="false">IF(B997="","",YEAR(B997)*100+MONTH(B997))</f>
        <v/>
      </c>
      <c r="AC997" s="37" t="str">
        <f aca="false">IF(AND(E997&lt;&gt;"",E997=Cruce!$C$5),COUNTIF($E$5:E997,E997),"")</f>
        <v/>
      </c>
      <c r="AD997" s="37" t="str">
        <f aca="false">IF(E997="","",C997&amp;"|"&amp;Y997&amp;"|"&amp;IF(B997="","s/f",TEXT(B997,"yyyymmdd")))</f>
        <v/>
      </c>
      <c r="AE997" s="37" t="n">
        <f aca="false">IF(E997="",0,IF(COUNTIFS($E$5:E997,E997,$AD$5:AD997,AD997)=1,1,0))</f>
        <v>0</v>
      </c>
    </row>
    <row r="998" customFormat="false" ht="15" hidden="false" customHeight="true" outlineLevel="0" collapsed="false">
      <c r="A998" s="31"/>
      <c r="B998" s="30"/>
      <c r="C998" s="31"/>
      <c r="D998" s="31"/>
      <c r="E998" s="32"/>
      <c r="F998" s="32"/>
      <c r="G998" s="33"/>
      <c r="H998" s="31"/>
      <c r="I998" s="24" t="str">
        <f aca="false">IF(B998="","",YEAR(B998))</f>
        <v/>
      </c>
      <c r="J998" s="34" t="str">
        <f aca="false">IF(B998="","",IF(MONTH(B998)=1,"X",""))</f>
        <v/>
      </c>
      <c r="K998" s="34" t="str">
        <f aca="false">IF(B998="","",IF(MONTH(B998)=2,"X",""))</f>
        <v/>
      </c>
      <c r="L998" s="34" t="str">
        <f aca="false">IF(B998="","",IF(MONTH(B998)=3,"X",""))</f>
        <v/>
      </c>
      <c r="M998" s="34" t="str">
        <f aca="false">IF(B998="","",IF(MONTH(B998)=4,"X",""))</f>
        <v/>
      </c>
      <c r="N998" s="34" t="str">
        <f aca="false">IF(B998="","",IF(MONTH(B998)=5,"X",""))</f>
        <v/>
      </c>
      <c r="O998" s="34" t="str">
        <f aca="false">IF(B998="","",IF(MONTH(B998)=6,"X",""))</f>
        <v/>
      </c>
      <c r="P998" s="34" t="str">
        <f aca="false">IF(B998="","",IF(MONTH(B998)=7,"X",""))</f>
        <v/>
      </c>
      <c r="Q998" s="34" t="str">
        <f aca="false">IF(B998="","",IF(MONTH(B998)=8,"X",""))</f>
        <v/>
      </c>
      <c r="R998" s="34" t="str">
        <f aca="false">IF(B998="","",IF(MONTH(B998)=9,"X",""))</f>
        <v/>
      </c>
      <c r="S998" s="34" t="str">
        <f aca="false">IF(B998="","",IF(MONTH(B998)=10,"X",""))</f>
        <v/>
      </c>
      <c r="T998" s="34" t="str">
        <f aca="false">IF(B998="","",IF(MONTH(B998)=11,"X",""))</f>
        <v/>
      </c>
      <c r="U998" s="34" t="str">
        <f aca="false">IF(B998="","",IF(MONTH(B998)=12,"X",""))</f>
        <v/>
      </c>
      <c r="V998" s="24" t="str">
        <f aca="false">IF(E998="","",COUNTIF($E$5:$E$1000,E998))</f>
        <v/>
      </c>
      <c r="W998" s="35" t="str">
        <f aca="false">IF(E998="","",_xlfn.TEXTJOIN(" + ",TRUE(),IF(COUNTIFS($E$5:$E$1000,E998,$C$5:$C$1000,"Auditoría Interna")&gt;0,"Interna",""),IF(COUNTIFS($E$5:$E$1000,E998,$C$5:$C$1000,"Auditoría Externa")&gt;0,"Externa",""),IF(COUNTIFS($E$5:$E$1000,E998,$C$5:$C$1000,"SSF")&gt;0,"SSF",""),IF(COUNTIFS($E$5:$E$1000,E998,$C$5:$C$1000,"Comité de Supervisión")&gt;0,"Comité Sup.",""),IF(COUNTIFS($E$5:$E$1000,E998,$C$5:$C$1000,"Consejo de Administración")&gt;0,"Consejo",""),IF(COUNTIFS($E$5:$E$1000,E998,$C$5:$C$1000,"Otros")&gt;0,"Otros","")))</f>
        <v/>
      </c>
      <c r="X998" s="24" t="str">
        <f aca="false">IF(E998="","",COUNTIFS($E$5:$E$1000,E998,$AB$5:$AB$1000,AB998,$C$5:$C$1000,"&lt;&gt;"&amp;C998))</f>
        <v/>
      </c>
      <c r="Y998" s="33"/>
      <c r="Z998" s="31"/>
      <c r="AA998" s="33"/>
      <c r="AB998" s="37" t="str">
        <f aca="false">IF(B998="","",YEAR(B998)*100+MONTH(B998))</f>
        <v/>
      </c>
      <c r="AC998" s="37" t="str">
        <f aca="false">IF(AND(E998&lt;&gt;"",E998=Cruce!$C$5),COUNTIF($E$5:E998,E998),"")</f>
        <v/>
      </c>
      <c r="AD998" s="37" t="str">
        <f aca="false">IF(E998="","",C998&amp;"|"&amp;Y998&amp;"|"&amp;IF(B998="","s/f",TEXT(B998,"yyyymmdd")))</f>
        <v/>
      </c>
      <c r="AE998" s="37" t="n">
        <f aca="false">IF(E998="",0,IF(COUNTIFS($E$5:E998,E998,$AD$5:AD998,AD998)=1,1,0))</f>
        <v>0</v>
      </c>
    </row>
    <row r="999" customFormat="false" ht="15" hidden="false" customHeight="true" outlineLevel="0" collapsed="false">
      <c r="A999" s="31"/>
      <c r="B999" s="30"/>
      <c r="C999" s="31"/>
      <c r="D999" s="31"/>
      <c r="E999" s="32"/>
      <c r="F999" s="32"/>
      <c r="G999" s="33"/>
      <c r="H999" s="31"/>
      <c r="I999" s="24" t="str">
        <f aca="false">IF(B999="","",YEAR(B999))</f>
        <v/>
      </c>
      <c r="J999" s="34" t="str">
        <f aca="false">IF(B999="","",IF(MONTH(B999)=1,"X",""))</f>
        <v/>
      </c>
      <c r="K999" s="34" t="str">
        <f aca="false">IF(B999="","",IF(MONTH(B999)=2,"X",""))</f>
        <v/>
      </c>
      <c r="L999" s="34" t="str">
        <f aca="false">IF(B999="","",IF(MONTH(B999)=3,"X",""))</f>
        <v/>
      </c>
      <c r="M999" s="34" t="str">
        <f aca="false">IF(B999="","",IF(MONTH(B999)=4,"X",""))</f>
        <v/>
      </c>
      <c r="N999" s="34" t="str">
        <f aca="false">IF(B999="","",IF(MONTH(B999)=5,"X",""))</f>
        <v/>
      </c>
      <c r="O999" s="34" t="str">
        <f aca="false">IF(B999="","",IF(MONTH(B999)=6,"X",""))</f>
        <v/>
      </c>
      <c r="P999" s="34" t="str">
        <f aca="false">IF(B999="","",IF(MONTH(B999)=7,"X",""))</f>
        <v/>
      </c>
      <c r="Q999" s="34" t="str">
        <f aca="false">IF(B999="","",IF(MONTH(B999)=8,"X",""))</f>
        <v/>
      </c>
      <c r="R999" s="34" t="str">
        <f aca="false">IF(B999="","",IF(MONTH(B999)=9,"X",""))</f>
        <v/>
      </c>
      <c r="S999" s="34" t="str">
        <f aca="false">IF(B999="","",IF(MONTH(B999)=10,"X",""))</f>
        <v/>
      </c>
      <c r="T999" s="34" t="str">
        <f aca="false">IF(B999="","",IF(MONTH(B999)=11,"X",""))</f>
        <v/>
      </c>
      <c r="U999" s="34" t="str">
        <f aca="false">IF(B999="","",IF(MONTH(B999)=12,"X",""))</f>
        <v/>
      </c>
      <c r="V999" s="24" t="str">
        <f aca="false">IF(E999="","",COUNTIF($E$5:$E$1000,E999))</f>
        <v/>
      </c>
      <c r="W999" s="35" t="str">
        <f aca="false">IF(E999="","",_xlfn.TEXTJOIN(" + ",TRUE(),IF(COUNTIFS($E$5:$E$1000,E999,$C$5:$C$1000,"Auditoría Interna")&gt;0,"Interna",""),IF(COUNTIFS($E$5:$E$1000,E999,$C$5:$C$1000,"Auditoría Externa")&gt;0,"Externa",""),IF(COUNTIFS($E$5:$E$1000,E999,$C$5:$C$1000,"SSF")&gt;0,"SSF",""),IF(COUNTIFS($E$5:$E$1000,E999,$C$5:$C$1000,"Comité de Supervisión")&gt;0,"Comité Sup.",""),IF(COUNTIFS($E$5:$E$1000,E999,$C$5:$C$1000,"Consejo de Administración")&gt;0,"Consejo",""),IF(COUNTIFS($E$5:$E$1000,E999,$C$5:$C$1000,"Otros")&gt;0,"Otros","")))</f>
        <v/>
      </c>
      <c r="X999" s="24" t="str">
        <f aca="false">IF(E999="","",COUNTIFS($E$5:$E$1000,E999,$AB$5:$AB$1000,AB999,$C$5:$C$1000,"&lt;&gt;"&amp;C999))</f>
        <v/>
      </c>
      <c r="Y999" s="33"/>
      <c r="Z999" s="31"/>
      <c r="AA999" s="33"/>
      <c r="AB999" s="37" t="str">
        <f aca="false">IF(B999="","",YEAR(B999)*100+MONTH(B999))</f>
        <v/>
      </c>
      <c r="AC999" s="37" t="str">
        <f aca="false">IF(AND(E999&lt;&gt;"",E999=Cruce!$C$5),COUNTIF($E$5:E999,E999),"")</f>
        <v/>
      </c>
      <c r="AD999" s="37" t="str">
        <f aca="false">IF(E999="","",C999&amp;"|"&amp;Y999&amp;"|"&amp;IF(B999="","s/f",TEXT(B999,"yyyymmdd")))</f>
        <v/>
      </c>
      <c r="AE999" s="37" t="n">
        <f aca="false">IF(E999="",0,IF(COUNTIFS($E$5:E999,E999,$AD$5:AD999,AD999)=1,1,0))</f>
        <v>0</v>
      </c>
    </row>
    <row r="1000" customFormat="false" ht="15" hidden="false" customHeight="true" outlineLevel="0" collapsed="false">
      <c r="A1000" s="31"/>
      <c r="B1000" s="30"/>
      <c r="C1000" s="31"/>
      <c r="D1000" s="31"/>
      <c r="E1000" s="32"/>
      <c r="F1000" s="32"/>
      <c r="G1000" s="33"/>
      <c r="H1000" s="31"/>
      <c r="I1000" s="24" t="str">
        <f aca="false">IF(B1000="","",YEAR(B1000))</f>
        <v/>
      </c>
      <c r="J1000" s="34" t="str">
        <f aca="false">IF(B1000="","",IF(MONTH(B1000)=1,"X",""))</f>
        <v/>
      </c>
      <c r="K1000" s="34" t="str">
        <f aca="false">IF(B1000="","",IF(MONTH(B1000)=2,"X",""))</f>
        <v/>
      </c>
      <c r="L1000" s="34" t="str">
        <f aca="false">IF(B1000="","",IF(MONTH(B1000)=3,"X",""))</f>
        <v/>
      </c>
      <c r="M1000" s="34" t="str">
        <f aca="false">IF(B1000="","",IF(MONTH(B1000)=4,"X",""))</f>
        <v/>
      </c>
      <c r="N1000" s="34" t="str">
        <f aca="false">IF(B1000="","",IF(MONTH(B1000)=5,"X",""))</f>
        <v/>
      </c>
      <c r="O1000" s="34" t="str">
        <f aca="false">IF(B1000="","",IF(MONTH(B1000)=6,"X",""))</f>
        <v/>
      </c>
      <c r="P1000" s="34" t="str">
        <f aca="false">IF(B1000="","",IF(MONTH(B1000)=7,"X",""))</f>
        <v/>
      </c>
      <c r="Q1000" s="34" t="str">
        <f aca="false">IF(B1000="","",IF(MONTH(B1000)=8,"X",""))</f>
        <v/>
      </c>
      <c r="R1000" s="34" t="str">
        <f aca="false">IF(B1000="","",IF(MONTH(B1000)=9,"X",""))</f>
        <v/>
      </c>
      <c r="S1000" s="34" t="str">
        <f aca="false">IF(B1000="","",IF(MONTH(B1000)=10,"X",""))</f>
        <v/>
      </c>
      <c r="T1000" s="34" t="str">
        <f aca="false">IF(B1000="","",IF(MONTH(B1000)=11,"X",""))</f>
        <v/>
      </c>
      <c r="U1000" s="34" t="str">
        <f aca="false">IF(B1000="","",IF(MONTH(B1000)=12,"X",""))</f>
        <v/>
      </c>
      <c r="V1000" s="24" t="str">
        <f aca="false">IF(E1000="","",COUNTIF($E$5:$E$1000,E1000))</f>
        <v/>
      </c>
      <c r="W1000" s="35" t="str">
        <f aca="false">IF(E1000="","",_xlfn.TEXTJOIN(" + ",TRUE(),IF(COUNTIFS($E$5:$E$1000,E1000,$C$5:$C$1000,"Auditoría Interna")&gt;0,"Interna",""),IF(COUNTIFS($E$5:$E$1000,E1000,$C$5:$C$1000,"Auditoría Externa")&gt;0,"Externa",""),IF(COUNTIFS($E$5:$E$1000,E1000,$C$5:$C$1000,"SSF")&gt;0,"SSF",""),IF(COUNTIFS($E$5:$E$1000,E1000,$C$5:$C$1000,"Comité de Supervisión")&gt;0,"Comité Sup.",""),IF(COUNTIFS($E$5:$E$1000,E1000,$C$5:$C$1000,"Consejo de Administración")&gt;0,"Consejo",""),IF(COUNTIFS($E$5:$E$1000,E1000,$C$5:$C$1000,"Otros")&gt;0,"Otros","")))</f>
        <v/>
      </c>
      <c r="X1000" s="24" t="str">
        <f aca="false">IF(E1000="","",COUNTIFS($E$5:$E$1000,E1000,$AB$5:$AB$1000,AB1000,$C$5:$C$1000,"&lt;&gt;"&amp;C1000))</f>
        <v/>
      </c>
      <c r="Y1000" s="33"/>
      <c r="Z1000" s="31"/>
      <c r="AA1000" s="33"/>
      <c r="AB1000" s="37" t="str">
        <f aca="false">IF(B1000="","",YEAR(B1000)*100+MONTH(B1000))</f>
        <v/>
      </c>
      <c r="AC1000" s="37" t="str">
        <f aca="false">IF(AND(E1000&lt;&gt;"",E1000=Cruce!$C$5),COUNTIF($E$5:E1000,E1000),"")</f>
        <v/>
      </c>
      <c r="AD1000" s="37" t="str">
        <f aca="false">IF(E1000="","",C1000&amp;"|"&amp;Y1000&amp;"|"&amp;IF(B1000="","s/f",TEXT(B1000,"yyyymmdd")))</f>
        <v/>
      </c>
      <c r="AE1000" s="37" t="n">
        <f aca="false">IF(E1000="",0,IF(COUNTIFS($E$5:E1000,E1000,$AD$5:AD1000,AD1000)=1,1,0))</f>
        <v>0</v>
      </c>
    </row>
  </sheetData>
  <autoFilter ref="A4:AA1000"/>
  <mergeCells count="1">
    <mergeCell ref="A2:W2"/>
  </mergeCells>
  <conditionalFormatting sqref="J5:U1000">
    <cfRule type="expression" priority="2" aboveAverage="0" equalAverage="0" bottom="0" percent="0" rank="0" text="" dxfId="33">
      <formula>J5="X"</formula>
    </cfRule>
  </conditionalFormatting>
  <conditionalFormatting sqref="W5:W1000">
    <cfRule type="expression" priority="3" aboveAverage="0" equalAverage="0" bottom="0" percent="0" rank="0" text="" dxfId="25">
      <formula>ISNUMBER(SEARCH("+",W5))</formula>
    </cfRule>
  </conditionalFormatting>
  <conditionalFormatting sqref="X5:X1000">
    <cfRule type="expression" priority="4" aboveAverage="0" equalAverage="0" bottom="0" percent="0" rank="0" text="" dxfId="27">
      <formula>AND(ISNUMBER(X5),X5&gt;0)</formula>
    </cfRule>
  </conditionalFormatting>
  <conditionalFormatting sqref="C5:C1000">
    <cfRule type="expression" priority="5" aboveAverage="0" equalAverage="0" bottom="0" percent="0" rank="0" text="" dxfId="34">
      <formula>C5="SSF"</formula>
    </cfRule>
  </conditionalFormatting>
  <dataValidations count="3">
    <dataValidation allowBlank="true" errorStyle="stop" operator="between" showDropDown="false" showErrorMessage="false" showInputMessage="false" sqref="C5:C1000" type="list">
      <formula1>Catálogos!$A$2:$A$7</formula1>
      <formula2>0</formula2>
    </dataValidation>
    <dataValidation allowBlank="true" errorStyle="stop" operator="between" showDropDown="false" showErrorMessage="false" showInputMessage="false" sqref="E5:E1000" type="list">
      <formula1>Catálogos!$C$2:$C$200</formula1>
      <formula2>0</formula2>
    </dataValidation>
    <dataValidation allowBlank="true" errorStyle="stop" operator="between" showDropDown="false" showErrorMessage="false" showInputMessage="false" sqref="H5:H1000" type="list">
      <formula1>"Pendiente,En proceso,Entregado,Cerrado"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3"/>
    <col collapsed="false" customWidth="true" hidden="false" outlineLevel="0" max="3" min="3" style="1" width="48"/>
    <col collapsed="false" customWidth="true" hidden="false" outlineLevel="0" max="4" min="4" style="1" width="26"/>
    <col collapsed="false" customWidth="true" hidden="false" outlineLevel="0" max="6" min="6" style="1" width="50"/>
  </cols>
  <sheetData>
    <row r="1" customFormat="false" ht="32.25" hidden="false" customHeight="true" outlineLevel="0" collapsed="false">
      <c r="A1" s="6" t="s">
        <v>42</v>
      </c>
      <c r="C1" s="6" t="s">
        <v>248</v>
      </c>
      <c r="D1" s="6" t="s">
        <v>249</v>
      </c>
      <c r="F1" s="38" t="s">
        <v>250</v>
      </c>
    </row>
    <row r="2" customFormat="false" ht="15" hidden="false" customHeight="true" outlineLevel="0" collapsed="false">
      <c r="A2" s="20" t="s">
        <v>129</v>
      </c>
      <c r="C2" s="20" t="s">
        <v>150</v>
      </c>
      <c r="D2" s="33" t="s">
        <v>83</v>
      </c>
    </row>
    <row r="3" customFormat="false" ht="15" hidden="false" customHeight="true" outlineLevel="0" collapsed="false">
      <c r="A3" s="20" t="s">
        <v>193</v>
      </c>
      <c r="C3" s="20" t="s">
        <v>142</v>
      </c>
      <c r="D3" s="33" t="s">
        <v>83</v>
      </c>
    </row>
    <row r="4" customFormat="false" ht="15" hidden="false" customHeight="true" outlineLevel="0" collapsed="false">
      <c r="A4" s="20" t="s">
        <v>9</v>
      </c>
      <c r="C4" s="20" t="s">
        <v>130</v>
      </c>
      <c r="D4" s="33" t="s">
        <v>83</v>
      </c>
    </row>
    <row r="5" customFormat="false" ht="15" hidden="false" customHeight="true" outlineLevel="0" collapsed="false">
      <c r="A5" s="20" t="s">
        <v>251</v>
      </c>
      <c r="C5" s="20" t="s">
        <v>162</v>
      </c>
      <c r="D5" s="33" t="s">
        <v>83</v>
      </c>
    </row>
    <row r="6" customFormat="false" ht="15" hidden="false" customHeight="true" outlineLevel="0" collapsed="false">
      <c r="A6" s="20" t="s">
        <v>252</v>
      </c>
      <c r="C6" s="20" t="s">
        <v>137</v>
      </c>
      <c r="D6" s="33" t="s">
        <v>75</v>
      </c>
    </row>
    <row r="7" customFormat="false" ht="15" hidden="false" customHeight="true" outlineLevel="0" collapsed="false">
      <c r="A7" s="20" t="s">
        <v>12</v>
      </c>
      <c r="C7" s="20" t="s">
        <v>76</v>
      </c>
      <c r="D7" s="33" t="s">
        <v>75</v>
      </c>
    </row>
    <row r="8" customFormat="false" ht="15" hidden="false" customHeight="true" outlineLevel="0" collapsed="false">
      <c r="C8" s="20" t="s">
        <v>201</v>
      </c>
      <c r="D8" s="33" t="s">
        <v>139</v>
      </c>
    </row>
    <row r="9" customFormat="false" ht="15" hidden="false" customHeight="true" outlineLevel="0" collapsed="false">
      <c r="C9" s="20" t="s">
        <v>194</v>
      </c>
      <c r="D9" s="33" t="s">
        <v>148</v>
      </c>
    </row>
    <row r="10" customFormat="false" ht="15" hidden="false" customHeight="true" outlineLevel="0" collapsed="false">
      <c r="C10" s="20" t="s">
        <v>88</v>
      </c>
      <c r="D10" s="33" t="s">
        <v>87</v>
      </c>
    </row>
    <row r="11" customFormat="false" ht="15" hidden="false" customHeight="true" outlineLevel="0" collapsed="false">
      <c r="C11" s="20" t="s">
        <v>140</v>
      </c>
      <c r="D11" s="33" t="s">
        <v>139</v>
      </c>
    </row>
    <row r="12" customFormat="false" ht="15" hidden="false" customHeight="true" outlineLevel="0" collapsed="false">
      <c r="C12" s="20" t="s">
        <v>134</v>
      </c>
      <c r="D12" s="33" t="s">
        <v>75</v>
      </c>
    </row>
    <row r="13" customFormat="false" ht="15" hidden="false" customHeight="true" outlineLevel="0" collapsed="false">
      <c r="C13" s="20" t="s">
        <v>146</v>
      </c>
      <c r="D13" s="33" t="s">
        <v>75</v>
      </c>
    </row>
    <row r="14" customFormat="false" ht="15" hidden="false" customHeight="true" outlineLevel="0" collapsed="false">
      <c r="C14" s="20" t="s">
        <v>100</v>
      </c>
      <c r="D14" s="33" t="s">
        <v>99</v>
      </c>
    </row>
    <row r="15" customFormat="false" ht="15" hidden="false" customHeight="true" outlineLevel="0" collapsed="false">
      <c r="C15" s="20" t="s">
        <v>104</v>
      </c>
      <c r="D15" s="33" t="s">
        <v>204</v>
      </c>
    </row>
    <row r="16" customFormat="false" ht="15" hidden="false" customHeight="true" outlineLevel="0" collapsed="false">
      <c r="C16" s="20" t="s">
        <v>71</v>
      </c>
      <c r="D16" s="33" t="s">
        <v>70</v>
      </c>
    </row>
    <row r="17" customFormat="false" ht="15" hidden="false" customHeight="true" outlineLevel="0" collapsed="false">
      <c r="C17" s="20" t="s">
        <v>210</v>
      </c>
      <c r="D17" s="33" t="s">
        <v>209</v>
      </c>
    </row>
    <row r="18" customFormat="false" ht="15" hidden="false" customHeight="true" outlineLevel="0" collapsed="false">
      <c r="C18" s="20" t="s">
        <v>207</v>
      </c>
      <c r="D18" s="33" t="s">
        <v>206</v>
      </c>
    </row>
    <row r="19" customFormat="false" ht="15" hidden="false" customHeight="true" outlineLevel="0" collapsed="false">
      <c r="C19" s="20" t="s">
        <v>92</v>
      </c>
      <c r="D19" s="33" t="s">
        <v>91</v>
      </c>
    </row>
    <row r="20" customFormat="false" ht="15" hidden="false" customHeight="true" outlineLevel="0" collapsed="false">
      <c r="C20" s="20" t="s">
        <v>168</v>
      </c>
      <c r="D20" s="33" t="s">
        <v>83</v>
      </c>
    </row>
    <row r="21" customFormat="false" ht="15" hidden="false" customHeight="true" outlineLevel="0" collapsed="false">
      <c r="C21" s="20" t="s">
        <v>84</v>
      </c>
      <c r="D21" s="33" t="s">
        <v>83</v>
      </c>
    </row>
    <row r="22" customFormat="false" ht="15" hidden="false" customHeight="true" outlineLevel="0" collapsed="false">
      <c r="C22" s="20" t="s">
        <v>96</v>
      </c>
      <c r="D22" s="33" t="s">
        <v>95</v>
      </c>
    </row>
    <row r="23" customFormat="false" ht="15" hidden="false" customHeight="true" outlineLevel="0" collapsed="false">
      <c r="C23" s="20" t="s">
        <v>108</v>
      </c>
      <c r="D23" s="33" t="s">
        <v>107</v>
      </c>
    </row>
    <row r="24" customFormat="false" ht="15" hidden="false" customHeight="true" outlineLevel="0" collapsed="false">
      <c r="C24" s="20" t="s">
        <v>80</v>
      </c>
      <c r="D24" s="33" t="s">
        <v>79</v>
      </c>
    </row>
    <row r="25" customFormat="false" ht="15" hidden="false" customHeight="true" outlineLevel="0" collapsed="false">
      <c r="C25" s="20" t="s">
        <v>245</v>
      </c>
      <c r="D25" s="33" t="s">
        <v>244</v>
      </c>
    </row>
    <row r="26" customFormat="false" ht="15" hidden="false" customHeight="true" outlineLevel="0" collapsed="false">
      <c r="C26" s="20" t="s">
        <v>124</v>
      </c>
      <c r="D26" s="33" t="s">
        <v>123</v>
      </c>
    </row>
    <row r="27" customFormat="false" ht="15" hidden="false" customHeight="true" outlineLevel="0" collapsed="false">
      <c r="C27" s="20" t="s">
        <v>186</v>
      </c>
      <c r="D27" s="33" t="s">
        <v>185</v>
      </c>
    </row>
    <row r="28" customFormat="false" ht="15" hidden="false" customHeight="true" outlineLevel="0" collapsed="false">
      <c r="C28" s="20" t="s">
        <v>213</v>
      </c>
      <c r="D28" s="33" t="s">
        <v>212</v>
      </c>
    </row>
    <row r="29" customFormat="false" ht="15" hidden="false" customHeight="true" outlineLevel="0" collapsed="false">
      <c r="C29" s="20" t="s">
        <v>116</v>
      </c>
      <c r="D29" s="33" t="s">
        <v>12</v>
      </c>
    </row>
    <row r="30" customFormat="false" ht="15" hidden="false" customHeight="true" outlineLevel="0" collapsed="false">
      <c r="C30" s="20" t="s">
        <v>112</v>
      </c>
      <c r="D30" s="33" t="s">
        <v>111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33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pane xSplit="0" ySplit="3" topLeftCell="A16" activePane="bottomLeft" state="frozen"/>
      <selection pane="topLeft" activeCell="A1" activeCellId="0" sqref="A1"/>
      <selection pane="bottomLeft" activeCell="A1" activeCellId="0" sqref="A1"/>
    </sheetView>
  </sheetViews>
  <sheetFormatPr defaultColWidth="8.88671875" defaultRowHeight="13.5" zeroHeight="false" outlineLevelRow="0" outlineLevelCol="0"/>
  <cols>
    <col collapsed="false" customWidth="true" hidden="false" outlineLevel="0" max="1" min="1" style="39" width="4.88"/>
    <col collapsed="false" customWidth="true" hidden="false" outlineLevel="0" max="2" min="2" style="40" width="68"/>
    <col collapsed="false" customWidth="true" hidden="false" outlineLevel="0" max="3" min="3" style="40" width="19.67"/>
    <col collapsed="false" customWidth="true" hidden="false" outlineLevel="0" max="4" min="4" style="40" width="53.33"/>
    <col collapsed="false" customWidth="true" hidden="false" outlineLevel="0" max="5" min="5" style="41" width="12.22"/>
    <col collapsed="false" customWidth="false" hidden="false" outlineLevel="0" max="16384" min="6" style="41" width="8.88"/>
  </cols>
  <sheetData>
    <row r="2" customFormat="false" ht="18" hidden="false" customHeight="true" outlineLevel="0" collapsed="false">
      <c r="A2" s="42" t="s">
        <v>253</v>
      </c>
      <c r="B2" s="42"/>
      <c r="C2" s="42"/>
      <c r="D2" s="42"/>
    </row>
    <row r="3" s="40" customFormat="true" ht="15" hidden="false" customHeight="true" outlineLevel="0" collapsed="false">
      <c r="A3" s="43" t="s">
        <v>254</v>
      </c>
      <c r="B3" s="43" t="s">
        <v>255</v>
      </c>
      <c r="C3" s="43" t="s">
        <v>256</v>
      </c>
      <c r="D3" s="43" t="s">
        <v>257</v>
      </c>
      <c r="E3" s="43" t="s">
        <v>258</v>
      </c>
    </row>
    <row r="4" customFormat="false" ht="62.25" hidden="false" customHeight="true" outlineLevel="0" collapsed="false">
      <c r="A4" s="44" t="n">
        <v>1</v>
      </c>
      <c r="B4" s="45" t="s">
        <v>259</v>
      </c>
      <c r="C4" s="46" t="n">
        <v>45408</v>
      </c>
      <c r="D4" s="47" t="s">
        <v>260</v>
      </c>
      <c r="E4" s="48" t="n">
        <f aca="false">+YEAR(C4)</f>
        <v>2024</v>
      </c>
    </row>
    <row r="5" customFormat="false" ht="104.25" hidden="false" customHeight="true" outlineLevel="0" collapsed="false">
      <c r="A5" s="44" t="n">
        <v>1</v>
      </c>
      <c r="B5" s="49" t="s">
        <v>261</v>
      </c>
      <c r="C5" s="46" t="n">
        <v>45674</v>
      </c>
      <c r="D5" s="47" t="s">
        <v>262</v>
      </c>
      <c r="E5" s="48" t="n">
        <f aca="false">+YEAR(C5)</f>
        <v>2025</v>
      </c>
    </row>
    <row r="6" customFormat="false" ht="46.5" hidden="false" customHeight="true" outlineLevel="0" collapsed="false">
      <c r="A6" s="44" t="n">
        <v>2</v>
      </c>
      <c r="B6" s="49" t="s">
        <v>263</v>
      </c>
      <c r="C6" s="46" t="n">
        <v>45699</v>
      </c>
      <c r="D6" s="47" t="s">
        <v>264</v>
      </c>
      <c r="E6" s="48" t="n">
        <f aca="false">+YEAR(C6)</f>
        <v>2025</v>
      </c>
    </row>
    <row r="7" customFormat="false" ht="62.25" hidden="false" customHeight="true" outlineLevel="0" collapsed="false">
      <c r="A7" s="44" t="n">
        <v>3</v>
      </c>
      <c r="B7" s="50" t="s">
        <v>265</v>
      </c>
      <c r="C7" s="46" t="n">
        <v>45734</v>
      </c>
      <c r="D7" s="47" t="s">
        <v>266</v>
      </c>
      <c r="E7" s="48" t="n">
        <f aca="false">+YEAR(C7)</f>
        <v>2025</v>
      </c>
    </row>
    <row r="8" customFormat="false" ht="78" hidden="false" customHeight="true" outlineLevel="0" collapsed="false">
      <c r="A8" s="44" t="n">
        <v>4</v>
      </c>
      <c r="B8" s="50" t="s">
        <v>267</v>
      </c>
      <c r="C8" s="46" t="n">
        <v>45749</v>
      </c>
      <c r="D8" s="47" t="s">
        <v>268</v>
      </c>
      <c r="E8" s="48" t="n">
        <f aca="false">+YEAR(C8)</f>
        <v>2025</v>
      </c>
    </row>
    <row r="9" customFormat="false" ht="46.5" hidden="false" customHeight="true" outlineLevel="0" collapsed="false">
      <c r="A9" s="44" t="n">
        <v>5</v>
      </c>
      <c r="B9" s="50" t="s">
        <v>269</v>
      </c>
      <c r="C9" s="46" t="n">
        <v>45754</v>
      </c>
      <c r="D9" s="47" t="s">
        <v>270</v>
      </c>
      <c r="E9" s="48" t="n">
        <f aca="false">+YEAR(C9)</f>
        <v>2025</v>
      </c>
    </row>
    <row r="10" customFormat="false" ht="62.25" hidden="false" customHeight="true" outlineLevel="0" collapsed="false">
      <c r="A10" s="44" t="n">
        <v>6</v>
      </c>
      <c r="B10" s="50" t="s">
        <v>271</v>
      </c>
      <c r="C10" s="46" t="n">
        <v>45775</v>
      </c>
      <c r="D10" s="47" t="s">
        <v>272</v>
      </c>
      <c r="E10" s="48" t="n">
        <f aca="false">+YEAR(C10)</f>
        <v>2025</v>
      </c>
    </row>
    <row r="11" customFormat="false" ht="108.75" hidden="false" customHeight="true" outlineLevel="0" collapsed="false">
      <c r="A11" s="44" t="n">
        <v>7</v>
      </c>
      <c r="B11" s="50" t="s">
        <v>273</v>
      </c>
      <c r="C11" s="46" t="n">
        <v>45796</v>
      </c>
      <c r="D11" s="51" t="s">
        <v>274</v>
      </c>
      <c r="E11" s="48" t="n">
        <f aca="false">+YEAR(C11)</f>
        <v>2025</v>
      </c>
    </row>
    <row r="12" customFormat="false" ht="46.5" hidden="false" customHeight="true" outlineLevel="0" collapsed="false">
      <c r="A12" s="44" t="n">
        <v>8</v>
      </c>
      <c r="B12" s="49" t="s">
        <v>275</v>
      </c>
      <c r="C12" s="46" t="n">
        <v>45807</v>
      </c>
      <c r="D12" s="47" t="s">
        <v>276</v>
      </c>
      <c r="E12" s="48" t="n">
        <f aca="false">+YEAR(C12)</f>
        <v>2025</v>
      </c>
    </row>
    <row r="13" customFormat="false" ht="46.5" hidden="false" customHeight="true" outlineLevel="0" collapsed="false">
      <c r="A13" s="44" t="n">
        <v>9</v>
      </c>
      <c r="B13" s="49" t="s">
        <v>277</v>
      </c>
      <c r="C13" s="46" t="n">
        <v>45820</v>
      </c>
      <c r="D13" s="47" t="s">
        <v>278</v>
      </c>
      <c r="E13" s="48" t="n">
        <f aca="false">+YEAR(C13)</f>
        <v>2025</v>
      </c>
    </row>
    <row r="14" customFormat="false" ht="46.5" hidden="false" customHeight="true" outlineLevel="0" collapsed="false">
      <c r="A14" s="44" t="n">
        <v>10</v>
      </c>
      <c r="B14" s="49" t="s">
        <v>279</v>
      </c>
      <c r="C14" s="46" t="n">
        <v>45855</v>
      </c>
      <c r="D14" s="47"/>
      <c r="E14" s="48" t="n">
        <f aca="false">+YEAR(C14)</f>
        <v>2025</v>
      </c>
    </row>
    <row r="15" customFormat="false" ht="30.75" hidden="false" customHeight="true" outlineLevel="0" collapsed="false">
      <c r="A15" s="44" t="n">
        <v>11</v>
      </c>
      <c r="B15" s="49" t="s">
        <v>280</v>
      </c>
      <c r="C15" s="46" t="n">
        <v>45894</v>
      </c>
      <c r="D15" s="47" t="s">
        <v>281</v>
      </c>
      <c r="E15" s="48" t="n">
        <f aca="false">+YEAR(C15)</f>
        <v>2025</v>
      </c>
    </row>
    <row r="16" customFormat="false" ht="93" hidden="false" customHeight="true" outlineLevel="0" collapsed="false">
      <c r="A16" s="44" t="n">
        <v>12</v>
      </c>
      <c r="B16" s="49" t="s">
        <v>282</v>
      </c>
      <c r="C16" s="46" t="s">
        <v>126</v>
      </c>
      <c r="D16" s="52" t="s">
        <v>247</v>
      </c>
      <c r="E16" s="48" t="str">
        <f aca="false">IFERROR(+YEAR(C16), "N/A")</f>
        <v>N/A</v>
      </c>
    </row>
    <row r="17" customFormat="false" ht="93" hidden="false" customHeight="true" outlineLevel="0" collapsed="false">
      <c r="A17" s="44" t="n">
        <v>13</v>
      </c>
      <c r="B17" s="49" t="s">
        <v>283</v>
      </c>
      <c r="C17" s="53" t="n">
        <v>45957</v>
      </c>
      <c r="D17" s="54" t="s">
        <v>284</v>
      </c>
      <c r="E17" s="48" t="n">
        <f aca="false">+YEAR(C17)</f>
        <v>2025</v>
      </c>
    </row>
    <row r="18" customFormat="false" ht="108.75" hidden="false" customHeight="true" outlineLevel="0" collapsed="false">
      <c r="A18" s="44" t="n">
        <v>14</v>
      </c>
      <c r="B18" s="49" t="s">
        <v>285</v>
      </c>
      <c r="C18" s="53" t="n">
        <v>45939</v>
      </c>
      <c r="D18" s="47" t="s">
        <v>118</v>
      </c>
      <c r="E18" s="48" t="n">
        <f aca="false">+YEAR(C18)</f>
        <v>2025</v>
      </c>
    </row>
    <row r="19" customFormat="false" ht="46.5" hidden="false" customHeight="true" outlineLevel="0" collapsed="false">
      <c r="A19" s="55" t="n">
        <v>15</v>
      </c>
      <c r="B19" s="49" t="s">
        <v>286</v>
      </c>
      <c r="C19" s="46" t="n">
        <v>46041</v>
      </c>
      <c r="D19" s="46" t="s">
        <v>122</v>
      </c>
      <c r="E19" s="48" t="n">
        <f aca="false">+YEAR(C19)</f>
        <v>2026</v>
      </c>
    </row>
    <row r="20" customFormat="false" ht="156" hidden="false" customHeight="true" outlineLevel="0" collapsed="false">
      <c r="A20" s="55" t="n">
        <v>16</v>
      </c>
      <c r="B20" s="49" t="s">
        <v>287</v>
      </c>
      <c r="C20" s="46" t="n">
        <v>46056</v>
      </c>
      <c r="D20" s="46" t="s">
        <v>288</v>
      </c>
      <c r="E20" s="48" t="n">
        <f aca="false">+YEAR(C20)</f>
        <v>2026</v>
      </c>
    </row>
    <row r="21" customFormat="false" ht="46.5" hidden="false" customHeight="true" outlineLevel="0" collapsed="false">
      <c r="A21" s="55" t="n">
        <v>17</v>
      </c>
      <c r="B21" s="49" t="s">
        <v>263</v>
      </c>
      <c r="C21" s="46" t="n">
        <v>45699</v>
      </c>
      <c r="D21" s="56" t="s">
        <v>264</v>
      </c>
      <c r="E21" s="48" t="n">
        <f aca="false">+YEAR(C21)</f>
        <v>2025</v>
      </c>
    </row>
    <row r="22" customFormat="false" ht="46.5" hidden="false" customHeight="true" outlineLevel="0" collapsed="false">
      <c r="A22" s="55" t="n">
        <v>18</v>
      </c>
      <c r="B22" s="49" t="s">
        <v>289</v>
      </c>
      <c r="C22" s="46" t="n">
        <v>46055</v>
      </c>
      <c r="D22" s="46" t="s">
        <v>126</v>
      </c>
      <c r="E22" s="48" t="n">
        <f aca="false">+YEAR(C22)</f>
        <v>2026</v>
      </c>
    </row>
    <row r="23" customFormat="false" ht="156" hidden="false" customHeight="true" outlineLevel="0" collapsed="false">
      <c r="A23" s="55" t="n">
        <v>19</v>
      </c>
      <c r="B23" s="49" t="s">
        <v>287</v>
      </c>
      <c r="C23" s="46" t="n">
        <v>46056</v>
      </c>
      <c r="D23" s="57" t="s">
        <v>288</v>
      </c>
      <c r="E23" s="48" t="n">
        <f aca="false">+YEAR(C23)</f>
        <v>2026</v>
      </c>
    </row>
    <row r="24" customFormat="false" ht="62.25" hidden="false" customHeight="true" outlineLevel="0" collapsed="false">
      <c r="A24" s="55" t="n">
        <v>20</v>
      </c>
      <c r="B24" s="50" t="s">
        <v>290</v>
      </c>
      <c r="C24" s="46" t="n">
        <v>46217</v>
      </c>
      <c r="D24" s="57" t="s">
        <v>291</v>
      </c>
      <c r="E24" s="48" t="n">
        <f aca="false">+YEAR(C24)</f>
        <v>2026</v>
      </c>
    </row>
    <row r="25" customFormat="false" ht="54.75" hidden="false" customHeight="true" outlineLevel="0" collapsed="false">
      <c r="A25" s="55" t="n">
        <v>21</v>
      </c>
      <c r="B25" s="49" t="s">
        <v>286</v>
      </c>
      <c r="C25" s="46" t="n">
        <v>46041</v>
      </c>
      <c r="D25" s="57" t="s">
        <v>122</v>
      </c>
      <c r="E25" s="48" t="n">
        <f aca="false">+YEAR(C25)</f>
        <v>2026</v>
      </c>
    </row>
    <row r="26" customFormat="false" ht="70.5" hidden="false" customHeight="true" outlineLevel="0" collapsed="false">
      <c r="A26" s="55" t="n">
        <v>22</v>
      </c>
      <c r="B26" s="49" t="s">
        <v>275</v>
      </c>
      <c r="C26" s="46" t="n">
        <v>45807</v>
      </c>
      <c r="D26" s="47" t="s">
        <v>276</v>
      </c>
      <c r="E26" s="48" t="n">
        <f aca="false">+YEAR(C26)</f>
        <v>2025</v>
      </c>
    </row>
    <row r="27" customFormat="false" ht="86.25" hidden="false" customHeight="true" outlineLevel="0" collapsed="false">
      <c r="A27" s="55" t="n">
        <v>23</v>
      </c>
      <c r="B27" s="50" t="s">
        <v>267</v>
      </c>
      <c r="C27" s="46" t="n">
        <v>45749</v>
      </c>
      <c r="D27" s="47" t="s">
        <v>268</v>
      </c>
      <c r="E27" s="48" t="n">
        <f aca="false">+YEAR(C27)</f>
        <v>2025</v>
      </c>
    </row>
    <row r="28" customFormat="false" ht="67.5" hidden="false" customHeight="true" outlineLevel="0" collapsed="false">
      <c r="A28" s="55" t="n">
        <v>24</v>
      </c>
      <c r="B28" s="49" t="s">
        <v>292</v>
      </c>
      <c r="C28" s="46" t="n">
        <v>46255</v>
      </c>
      <c r="D28" s="57" t="s">
        <v>293</v>
      </c>
      <c r="E28" s="48" t="n">
        <f aca="false">+YEAR(C28)</f>
        <v>2026</v>
      </c>
    </row>
    <row r="29" customFormat="false" ht="117.75" hidden="false" customHeight="true" outlineLevel="0" collapsed="false">
      <c r="A29" s="55" t="n">
        <v>25</v>
      </c>
      <c r="B29" s="50" t="s">
        <v>294</v>
      </c>
      <c r="C29" s="46" t="n">
        <v>46255</v>
      </c>
      <c r="D29" s="57" t="s">
        <v>295</v>
      </c>
      <c r="E29" s="48" t="n">
        <f aca="false">+YEAR(C29)</f>
        <v>2026</v>
      </c>
    </row>
    <row r="30" customFormat="false" ht="30.75" hidden="false" customHeight="true" outlineLevel="0" collapsed="false">
      <c r="A30" s="55" t="n">
        <v>26</v>
      </c>
      <c r="B30" s="49" t="s">
        <v>280</v>
      </c>
      <c r="C30" s="46" t="n">
        <v>45894</v>
      </c>
      <c r="D30" s="47" t="s">
        <v>281</v>
      </c>
      <c r="E30" s="48" t="n">
        <f aca="false">+YEAR(C30)</f>
        <v>2025</v>
      </c>
    </row>
    <row r="31" customFormat="false" ht="54" hidden="false" customHeight="true" outlineLevel="0" collapsed="false">
      <c r="A31" s="55" t="n">
        <v>27</v>
      </c>
      <c r="B31" s="49" t="s">
        <v>296</v>
      </c>
      <c r="C31" s="46" t="n">
        <v>46272</v>
      </c>
      <c r="D31" s="47" t="s">
        <v>297</v>
      </c>
      <c r="E31" s="48" t="n">
        <f aca="false">+YEAR(C31)</f>
        <v>2026</v>
      </c>
    </row>
    <row r="32" customFormat="false" ht="67.5" hidden="false" customHeight="true" outlineLevel="0" collapsed="false">
      <c r="A32" s="55" t="n">
        <v>28</v>
      </c>
      <c r="B32" s="49" t="s">
        <v>298</v>
      </c>
      <c r="C32" s="46" t="n">
        <v>46304</v>
      </c>
      <c r="D32" s="47" t="s">
        <v>299</v>
      </c>
      <c r="E32" s="48" t="n">
        <f aca="false">+YEAR(C32)</f>
        <v>2026</v>
      </c>
    </row>
    <row r="33" customFormat="false" ht="13.5" hidden="false" customHeight="true" outlineLevel="0" collapsed="false">
      <c r="A33" s="55" t="n">
        <v>29</v>
      </c>
      <c r="B33" s="58"/>
      <c r="C33" s="58"/>
      <c r="D33" s="58"/>
      <c r="E33" s="59"/>
    </row>
  </sheetData>
  <mergeCells count="1">
    <mergeCell ref="A2:D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2" activeCellId="0" sqref="B12"/>
    </sheetView>
  </sheetViews>
  <sheetFormatPr defaultColWidth="10.6796875" defaultRowHeight="14.25" zeroHeight="false" outlineLevelRow="0" outlineLevelCol="0"/>
  <cols>
    <col collapsed="false" customWidth="true" hidden="false" outlineLevel="0" max="1" min="1" style="60" width="5"/>
    <col collapsed="false" customWidth="true" hidden="false" outlineLevel="0" max="2" min="2" style="1" width="112.56"/>
    <col collapsed="false" customWidth="true" hidden="false" outlineLevel="0" max="4" min="3" style="1" width="16.44"/>
    <col collapsed="false" customWidth="true" hidden="false" outlineLevel="0" max="5" min="5" style="1" width="17.67"/>
    <col collapsed="false" customWidth="true" hidden="true" outlineLevel="0" max="6" min="6" style="1" width="27.56"/>
    <col collapsed="false" customWidth="true" hidden="true" outlineLevel="0" max="7" min="7" style="1" width="16.67"/>
    <col collapsed="false" customWidth="true" hidden="true" outlineLevel="0" max="8" min="8" style="1" width="11.89"/>
  </cols>
  <sheetData>
    <row r="1" s="63" customFormat="true" ht="33" hidden="false" customHeight="true" outlineLevel="0" collapsed="false">
      <c r="A1" s="61" t="s">
        <v>300</v>
      </c>
      <c r="B1" s="61"/>
      <c r="C1" s="62"/>
      <c r="D1" s="62"/>
      <c r="E1" s="62"/>
      <c r="F1" s="62"/>
      <c r="G1" s="62"/>
      <c r="H1" s="62"/>
    </row>
    <row r="2" s="63" customFormat="true" ht="18" hidden="false" customHeight="true" outlineLevel="0" collapsed="false">
      <c r="A2" s="64" t="s">
        <v>254</v>
      </c>
      <c r="B2" s="64" t="s">
        <v>301</v>
      </c>
      <c r="C2" s="64" t="s">
        <v>302</v>
      </c>
      <c r="D2" s="64" t="s">
        <v>53</v>
      </c>
      <c r="E2" s="64" t="s">
        <v>303</v>
      </c>
      <c r="F2" s="64" t="s">
        <v>257</v>
      </c>
      <c r="G2" s="65" t="s">
        <v>304</v>
      </c>
      <c r="H2" s="65" t="s">
        <v>305</v>
      </c>
      <c r="I2" s="64" t="s">
        <v>306</v>
      </c>
    </row>
    <row r="3" customFormat="false" ht="30" hidden="false" customHeight="true" outlineLevel="0" collapsed="false">
      <c r="A3" s="66" t="n">
        <v>1</v>
      </c>
      <c r="B3" s="67" t="s">
        <v>131</v>
      </c>
      <c r="C3" s="68" t="n">
        <v>46148</v>
      </c>
      <c r="D3" s="68" t="s">
        <v>132</v>
      </c>
      <c r="E3" s="68" t="n">
        <v>46148</v>
      </c>
      <c r="F3" s="69"/>
      <c r="G3" s="69"/>
      <c r="H3" s="69"/>
    </row>
    <row r="4" customFormat="false" ht="30" hidden="false" customHeight="true" outlineLevel="0" collapsed="false">
      <c r="A4" s="66" t="n">
        <v>2</v>
      </c>
      <c r="B4" s="67" t="s">
        <v>135</v>
      </c>
      <c r="C4" s="68" t="n">
        <v>46148</v>
      </c>
      <c r="D4" s="68" t="s">
        <v>136</v>
      </c>
      <c r="E4" s="68" t="n">
        <v>46153</v>
      </c>
      <c r="F4" s="69"/>
      <c r="G4" s="69"/>
      <c r="H4" s="69"/>
    </row>
    <row r="5" customFormat="false" ht="30" hidden="false" customHeight="true" outlineLevel="0" collapsed="false">
      <c r="A5" s="66" t="n">
        <v>3</v>
      </c>
      <c r="B5" s="67" t="s">
        <v>138</v>
      </c>
      <c r="C5" s="68" t="n">
        <v>46148</v>
      </c>
      <c r="D5" s="68" t="s">
        <v>136</v>
      </c>
      <c r="E5" s="68" t="n">
        <v>46153</v>
      </c>
      <c r="F5" s="69"/>
      <c r="G5" s="69"/>
      <c r="H5" s="69"/>
    </row>
    <row r="6" customFormat="false" ht="30" hidden="false" customHeight="true" outlineLevel="0" collapsed="false">
      <c r="A6" s="66" t="n">
        <v>4</v>
      </c>
      <c r="B6" s="67" t="s">
        <v>141</v>
      </c>
      <c r="C6" s="68" t="n">
        <v>46148</v>
      </c>
      <c r="D6" s="68" t="s">
        <v>136</v>
      </c>
      <c r="E6" s="68" t="n">
        <v>46153</v>
      </c>
      <c r="F6" s="69"/>
      <c r="G6" s="69"/>
      <c r="H6" s="69"/>
    </row>
    <row r="7" customFormat="false" ht="30" hidden="false" customHeight="true" outlineLevel="0" collapsed="false">
      <c r="A7" s="66" t="n">
        <v>5</v>
      </c>
      <c r="B7" s="67" t="s">
        <v>307</v>
      </c>
      <c r="C7" s="68" t="n">
        <v>46148</v>
      </c>
      <c r="D7" s="68" t="s">
        <v>136</v>
      </c>
      <c r="E7" s="68" t="n">
        <v>46153</v>
      </c>
      <c r="F7" s="69"/>
      <c r="G7" s="69"/>
      <c r="H7" s="69"/>
    </row>
    <row r="8" customFormat="false" ht="30" hidden="false" customHeight="true" outlineLevel="0" collapsed="false">
      <c r="A8" s="66" t="n">
        <v>6</v>
      </c>
      <c r="B8" s="67" t="s">
        <v>144</v>
      </c>
      <c r="C8" s="68" t="n">
        <v>46148</v>
      </c>
      <c r="D8" s="68" t="s">
        <v>136</v>
      </c>
      <c r="E8" s="68" t="n">
        <v>46153</v>
      </c>
      <c r="F8" s="69"/>
      <c r="G8" s="69"/>
      <c r="H8" s="69"/>
    </row>
    <row r="9" customFormat="false" ht="89.25" hidden="false" customHeight="true" outlineLevel="0" collapsed="false">
      <c r="A9" s="66" t="n">
        <v>7</v>
      </c>
      <c r="B9" s="70" t="s">
        <v>308</v>
      </c>
      <c r="C9" s="68" t="n">
        <v>46148</v>
      </c>
      <c r="D9" s="68" t="s">
        <v>136</v>
      </c>
      <c r="E9" s="68" t="n">
        <v>46153</v>
      </c>
      <c r="F9" s="69"/>
      <c r="G9" s="69"/>
      <c r="H9" s="69"/>
    </row>
    <row r="10" customFormat="false" ht="30" hidden="false" customHeight="true" outlineLevel="0" collapsed="false">
      <c r="A10" s="66" t="n">
        <v>8</v>
      </c>
      <c r="B10" s="67" t="s">
        <v>149</v>
      </c>
      <c r="C10" s="68" t="n">
        <v>46148</v>
      </c>
      <c r="D10" s="68" t="s">
        <v>136</v>
      </c>
      <c r="E10" s="68" t="n">
        <v>46153</v>
      </c>
      <c r="F10" s="69"/>
      <c r="G10" s="69"/>
      <c r="H10" s="69"/>
    </row>
    <row r="11" customFormat="false" ht="30" hidden="false" customHeight="true" outlineLevel="0" collapsed="false">
      <c r="A11" s="66" t="n">
        <v>9</v>
      </c>
      <c r="B11" s="67" t="s">
        <v>151</v>
      </c>
      <c r="C11" s="68" t="n">
        <v>46148</v>
      </c>
      <c r="D11" s="68" t="s">
        <v>152</v>
      </c>
      <c r="E11" s="68" t="n">
        <v>46149</v>
      </c>
      <c r="F11" s="69"/>
      <c r="G11" s="69"/>
      <c r="H11" s="69"/>
    </row>
    <row r="12" customFormat="false" ht="30" hidden="false" customHeight="true" outlineLevel="0" collapsed="false">
      <c r="A12" s="66" t="n">
        <v>10</v>
      </c>
      <c r="B12" s="67" t="s">
        <v>153</v>
      </c>
      <c r="C12" s="68" t="n">
        <v>46148</v>
      </c>
      <c r="D12" s="68" t="s">
        <v>152</v>
      </c>
      <c r="E12" s="68" t="n">
        <v>46149</v>
      </c>
      <c r="F12" s="69"/>
      <c r="G12" s="69"/>
      <c r="H12" s="69"/>
    </row>
  </sheetData>
  <mergeCells count="1">
    <mergeCell ref="A1:B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false" showOutlineSymbols="true" defaultGridColor="true" view="normal" topLeftCell="A18" colorId="64" zoomScale="100" zoomScaleNormal="100" zoomScalePageLayoutView="100" workbookViewId="0">
      <selection pane="topLeft" activeCell="B29" activeCellId="0" sqref="B29"/>
    </sheetView>
  </sheetViews>
  <sheetFormatPr defaultColWidth="10.6796875" defaultRowHeight="14.25" zeroHeight="false" outlineLevelRow="0" outlineLevelCol="0"/>
  <cols>
    <col collapsed="false" customWidth="true" hidden="false" outlineLevel="0" max="1" min="1" style="60" width="5"/>
    <col collapsed="false" customWidth="true" hidden="false" outlineLevel="0" max="2" min="2" style="1" width="112.56"/>
    <col collapsed="false" customWidth="true" hidden="false" outlineLevel="0" max="4" min="3" style="1" width="16.44"/>
  </cols>
  <sheetData>
    <row r="1" s="63" customFormat="true" ht="24.75" hidden="false" customHeight="true" outlineLevel="0" collapsed="false">
      <c r="A1" s="61" t="s">
        <v>309</v>
      </c>
      <c r="B1" s="61"/>
      <c r="C1" s="61"/>
      <c r="D1" s="61"/>
    </row>
    <row r="2" s="63" customFormat="true" ht="18" hidden="false" customHeight="true" outlineLevel="0" collapsed="false">
      <c r="A2" s="64" t="s">
        <v>254</v>
      </c>
      <c r="B2" s="64" t="s">
        <v>301</v>
      </c>
      <c r="C2" s="64" t="s">
        <v>302</v>
      </c>
      <c r="D2" s="64" t="s">
        <v>53</v>
      </c>
    </row>
    <row r="3" customFormat="false" ht="30" hidden="false" customHeight="true" outlineLevel="0" collapsed="false">
      <c r="A3" s="66" t="n">
        <v>1</v>
      </c>
      <c r="B3" s="71" t="s">
        <v>156</v>
      </c>
      <c r="C3" s="68" t="n">
        <v>46249</v>
      </c>
      <c r="D3" s="68" t="s">
        <v>157</v>
      </c>
    </row>
    <row r="4" customFormat="false" ht="30" hidden="false" customHeight="true" outlineLevel="0" collapsed="false">
      <c r="A4" s="66" t="n">
        <v>2</v>
      </c>
      <c r="B4" s="71" t="s">
        <v>159</v>
      </c>
      <c r="C4" s="68" t="n">
        <v>46249</v>
      </c>
      <c r="D4" s="68" t="s">
        <v>136</v>
      </c>
    </row>
    <row r="5" customFormat="false" ht="30" hidden="false" customHeight="true" outlineLevel="0" collapsed="false">
      <c r="A5" s="66" t="n">
        <v>3</v>
      </c>
      <c r="B5" s="71" t="s">
        <v>160</v>
      </c>
      <c r="C5" s="68" t="n">
        <v>46249</v>
      </c>
      <c r="D5" s="68" t="s">
        <v>152</v>
      </c>
    </row>
    <row r="6" customFormat="false" ht="30" hidden="false" customHeight="true" outlineLevel="0" collapsed="false">
      <c r="A6" s="66" t="n">
        <v>4</v>
      </c>
      <c r="B6" s="71" t="s">
        <v>161</v>
      </c>
      <c r="C6" s="68" t="n">
        <v>46249</v>
      </c>
      <c r="D6" s="68" t="s">
        <v>152</v>
      </c>
    </row>
    <row r="7" customFormat="false" ht="30" hidden="false" customHeight="true" outlineLevel="0" collapsed="false">
      <c r="A7" s="72" t="s">
        <v>310</v>
      </c>
      <c r="B7" s="72"/>
      <c r="C7" s="72"/>
      <c r="D7" s="72"/>
    </row>
    <row r="8" customFormat="false" ht="30" hidden="false" customHeight="true" outlineLevel="0" collapsed="false">
      <c r="A8" s="66" t="n">
        <v>5</v>
      </c>
      <c r="B8" s="73" t="s">
        <v>163</v>
      </c>
      <c r="C8" s="68" t="n">
        <v>46249</v>
      </c>
      <c r="D8" s="68"/>
    </row>
    <row r="9" customFormat="false" ht="36" hidden="false" customHeight="true" outlineLevel="0" collapsed="false">
      <c r="A9" s="66" t="n">
        <v>6</v>
      </c>
      <c r="B9" s="73" t="s">
        <v>165</v>
      </c>
      <c r="C9" s="68" t="n">
        <v>46249</v>
      </c>
      <c r="D9" s="68" t="s">
        <v>166</v>
      </c>
    </row>
    <row r="10" customFormat="false" ht="30" hidden="false" customHeight="true" outlineLevel="0" collapsed="false">
      <c r="A10" s="66" t="n">
        <v>7</v>
      </c>
      <c r="B10" s="73" t="s">
        <v>167</v>
      </c>
      <c r="C10" s="68" t="n">
        <v>46249</v>
      </c>
      <c r="D10" s="68" t="s">
        <v>157</v>
      </c>
    </row>
    <row r="11" customFormat="false" ht="30" hidden="false" customHeight="true" outlineLevel="0" collapsed="false">
      <c r="A11" s="66" t="n">
        <v>8</v>
      </c>
      <c r="B11" s="73" t="s">
        <v>169</v>
      </c>
      <c r="C11" s="68" t="n">
        <v>46249</v>
      </c>
      <c r="D11" s="68" t="s">
        <v>157</v>
      </c>
    </row>
    <row r="12" customFormat="false" ht="30" hidden="false" customHeight="true" outlineLevel="0" collapsed="false">
      <c r="A12" s="66" t="n">
        <v>9</v>
      </c>
      <c r="B12" s="73" t="s">
        <v>170</v>
      </c>
      <c r="C12" s="68" t="n">
        <v>46249</v>
      </c>
      <c r="D12" s="68" t="s">
        <v>152</v>
      </c>
    </row>
    <row r="13" customFormat="false" ht="30" hidden="false" customHeight="true" outlineLevel="0" collapsed="false">
      <c r="A13" s="66" t="n">
        <v>10</v>
      </c>
      <c r="B13" s="73" t="s">
        <v>171</v>
      </c>
      <c r="C13" s="68" t="n">
        <v>46249</v>
      </c>
      <c r="D13" s="68" t="s">
        <v>152</v>
      </c>
    </row>
    <row r="14" customFormat="false" ht="30" hidden="false" customHeight="true" outlineLevel="0" collapsed="false">
      <c r="A14" s="66" t="n">
        <v>11</v>
      </c>
      <c r="B14" s="73" t="s">
        <v>172</v>
      </c>
      <c r="C14" s="68" t="n">
        <v>46249</v>
      </c>
      <c r="D14" s="68" t="s">
        <v>157</v>
      </c>
    </row>
    <row r="15" customFormat="false" ht="30" hidden="false" customHeight="true" outlineLevel="0" collapsed="false">
      <c r="A15" s="66" t="n">
        <v>12</v>
      </c>
      <c r="B15" s="73" t="s">
        <v>173</v>
      </c>
      <c r="C15" s="68" t="n">
        <v>46249</v>
      </c>
      <c r="D15" s="68"/>
    </row>
    <row r="16" customFormat="false" ht="30" hidden="false" customHeight="true" outlineLevel="0" collapsed="false">
      <c r="A16" s="66" t="n">
        <v>13</v>
      </c>
      <c r="B16" s="73" t="s">
        <v>311</v>
      </c>
      <c r="C16" s="68" t="n">
        <v>46249</v>
      </c>
      <c r="D16" s="68" t="s">
        <v>157</v>
      </c>
    </row>
    <row r="17" customFormat="false" ht="30" hidden="false" customHeight="true" outlineLevel="0" collapsed="false">
      <c r="A17" s="66" t="n">
        <v>14</v>
      </c>
      <c r="B17" s="73" t="s">
        <v>175</v>
      </c>
      <c r="C17" s="68" t="n">
        <v>46249</v>
      </c>
      <c r="D17" s="68" t="s">
        <v>157</v>
      </c>
    </row>
    <row r="18" customFormat="false" ht="30" hidden="false" customHeight="true" outlineLevel="0" collapsed="false">
      <c r="A18" s="66" t="n">
        <v>15</v>
      </c>
      <c r="B18" s="73" t="s">
        <v>176</v>
      </c>
      <c r="C18" s="68" t="n">
        <v>46249</v>
      </c>
      <c r="D18" s="68" t="s">
        <v>157</v>
      </c>
    </row>
    <row r="19" customFormat="false" ht="30" hidden="false" customHeight="true" outlineLevel="0" collapsed="false">
      <c r="A19" s="66" t="n">
        <v>16</v>
      </c>
      <c r="B19" s="73" t="s">
        <v>177</v>
      </c>
      <c r="C19" s="68" t="n">
        <v>46249</v>
      </c>
      <c r="D19" s="68" t="s">
        <v>136</v>
      </c>
    </row>
    <row r="20" customFormat="false" ht="30" hidden="false" customHeight="true" outlineLevel="0" collapsed="false">
      <c r="A20" s="66" t="n">
        <v>17</v>
      </c>
      <c r="B20" s="73" t="s">
        <v>178</v>
      </c>
      <c r="C20" s="68" t="n">
        <v>46249</v>
      </c>
      <c r="D20" s="68"/>
    </row>
    <row r="21" customFormat="false" ht="15" hidden="false" customHeight="true" outlineLevel="0" collapsed="false">
      <c r="A21" s="74" t="s">
        <v>312</v>
      </c>
      <c r="B21" s="74"/>
      <c r="C21" s="74"/>
      <c r="D21" s="74"/>
    </row>
    <row r="22" customFormat="false" ht="30" hidden="false" customHeight="true" outlineLevel="0" collapsed="false">
      <c r="A22" s="66" t="n">
        <v>18</v>
      </c>
      <c r="B22" s="73" t="s">
        <v>179</v>
      </c>
      <c r="C22" s="68" t="n">
        <v>46249</v>
      </c>
      <c r="D22" s="68" t="s">
        <v>157</v>
      </c>
    </row>
    <row r="23" customFormat="false" ht="30" hidden="false" customHeight="true" outlineLevel="0" collapsed="false">
      <c r="A23" s="66" t="n">
        <v>19</v>
      </c>
      <c r="B23" s="73" t="s">
        <v>180</v>
      </c>
      <c r="C23" s="68" t="n">
        <v>46249</v>
      </c>
      <c r="D23" s="68" t="s">
        <v>157</v>
      </c>
    </row>
    <row r="24" customFormat="false" ht="30" hidden="false" customHeight="true" outlineLevel="0" collapsed="false">
      <c r="A24" s="66" t="n">
        <v>20</v>
      </c>
      <c r="B24" s="73" t="s">
        <v>181</v>
      </c>
      <c r="C24" s="68" t="n">
        <v>46249</v>
      </c>
      <c r="D24" s="68" t="s">
        <v>157</v>
      </c>
    </row>
    <row r="25" customFormat="false" ht="30" hidden="false" customHeight="true" outlineLevel="0" collapsed="false">
      <c r="A25" s="66" t="n">
        <v>21</v>
      </c>
      <c r="B25" s="73" t="s">
        <v>182</v>
      </c>
      <c r="C25" s="68" t="n">
        <v>46249</v>
      </c>
      <c r="D25" s="68" t="s">
        <v>157</v>
      </c>
    </row>
    <row r="26" customFormat="false" ht="30" hidden="false" customHeight="true" outlineLevel="0" collapsed="false">
      <c r="A26" s="66" t="n">
        <v>22</v>
      </c>
      <c r="B26" s="73" t="s">
        <v>183</v>
      </c>
      <c r="C26" s="68" t="n">
        <v>46249</v>
      </c>
      <c r="D26" s="68"/>
    </row>
    <row r="27" customFormat="false" ht="30" hidden="false" customHeight="true" outlineLevel="0" collapsed="false">
      <c r="A27" s="66" t="n">
        <v>23</v>
      </c>
      <c r="B27" s="73" t="s">
        <v>184</v>
      </c>
      <c r="C27" s="68" t="n">
        <v>46249</v>
      </c>
      <c r="D27" s="68" t="s">
        <v>152</v>
      </c>
    </row>
  </sheetData>
  <mergeCells count="3">
    <mergeCell ref="A1:D1"/>
    <mergeCell ref="A7:D7"/>
    <mergeCell ref="A21:D2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0" activeCellId="0" sqref="F10"/>
    </sheetView>
  </sheetViews>
  <sheetFormatPr defaultColWidth="10.6796875" defaultRowHeight="14.25" zeroHeight="false" outlineLevelRow="0" outlineLevelCol="0"/>
  <cols>
    <col collapsed="false" customWidth="true" hidden="false" outlineLevel="0" max="1" min="1" style="1" width="5.44"/>
    <col collapsed="false" customWidth="true" hidden="false" outlineLevel="0" max="2" min="2" style="75" width="97"/>
    <col collapsed="false" customWidth="true" hidden="false" outlineLevel="0" max="3" min="3" style="76" width="15.22"/>
  </cols>
  <sheetData>
    <row r="1" customFormat="false" ht="17.25" hidden="false" customHeight="true" outlineLevel="0" collapsed="false">
      <c r="A1" s="77" t="s">
        <v>313</v>
      </c>
      <c r="B1" s="77"/>
      <c r="C1" s="77"/>
    </row>
    <row r="2" customFormat="false" ht="21" hidden="false" customHeight="true" outlineLevel="0" collapsed="false">
      <c r="A2" s="65" t="s">
        <v>254</v>
      </c>
      <c r="B2" s="78" t="s">
        <v>314</v>
      </c>
      <c r="C2" s="65" t="s">
        <v>53</v>
      </c>
    </row>
    <row r="3" customFormat="false" ht="14.25" hidden="false" customHeight="true" outlineLevel="0" collapsed="false">
      <c r="A3" s="66" t="n">
        <v>1</v>
      </c>
      <c r="B3" s="79" t="s">
        <v>224</v>
      </c>
      <c r="C3" s="80" t="s">
        <v>157</v>
      </c>
    </row>
    <row r="4" customFormat="false" ht="28.5" hidden="false" customHeight="true" outlineLevel="0" collapsed="false">
      <c r="A4" s="66" t="n">
        <v>2</v>
      </c>
      <c r="B4" s="79" t="s">
        <v>226</v>
      </c>
      <c r="C4" s="66" t="s">
        <v>157</v>
      </c>
    </row>
    <row r="5" customFormat="false" ht="14.25" hidden="false" customHeight="true" outlineLevel="0" collapsed="false">
      <c r="A5" s="66" t="n">
        <v>3</v>
      </c>
      <c r="B5" s="79" t="s">
        <v>227</v>
      </c>
      <c r="C5" s="66" t="s">
        <v>157</v>
      </c>
    </row>
    <row r="6" customFormat="false" ht="14.25" hidden="false" customHeight="true" outlineLevel="0" collapsed="false">
      <c r="A6" s="66" t="n">
        <v>4</v>
      </c>
      <c r="B6" s="79" t="s">
        <v>228</v>
      </c>
      <c r="C6" s="66" t="s">
        <v>157</v>
      </c>
    </row>
    <row r="7" customFormat="false" ht="28.5" hidden="false" customHeight="true" outlineLevel="0" collapsed="false">
      <c r="A7" s="66" t="n">
        <v>5</v>
      </c>
      <c r="B7" s="79" t="s">
        <v>229</v>
      </c>
      <c r="C7" s="66" t="s">
        <v>157</v>
      </c>
    </row>
    <row r="8" customFormat="false" ht="28.5" hidden="false" customHeight="true" outlineLevel="0" collapsed="false">
      <c r="A8" s="66" t="n">
        <v>6</v>
      </c>
      <c r="B8" s="79" t="s">
        <v>230</v>
      </c>
      <c r="C8" s="66" t="s">
        <v>157</v>
      </c>
    </row>
    <row r="9" customFormat="false" ht="14.25" hidden="false" customHeight="true" outlineLevel="0" collapsed="false">
      <c r="A9" s="66" t="n">
        <v>7</v>
      </c>
      <c r="B9" s="79" t="s">
        <v>231</v>
      </c>
      <c r="C9" s="66" t="s">
        <v>157</v>
      </c>
    </row>
    <row r="10" customFormat="false" ht="14.25" hidden="false" customHeight="true" outlineLevel="0" collapsed="false">
      <c r="A10" s="66" t="n">
        <v>8</v>
      </c>
      <c r="B10" s="79" t="s">
        <v>232</v>
      </c>
      <c r="C10" s="66" t="s">
        <v>157</v>
      </c>
    </row>
    <row r="11" customFormat="false" ht="28.5" hidden="false" customHeight="true" outlineLevel="0" collapsed="false">
      <c r="A11" s="66" t="n">
        <v>9</v>
      </c>
      <c r="B11" s="79" t="s">
        <v>233</v>
      </c>
      <c r="C11" s="66" t="s">
        <v>157</v>
      </c>
    </row>
    <row r="12" customFormat="false" ht="14.25" hidden="false" customHeight="true" outlineLevel="0" collapsed="false">
      <c r="A12" s="66" t="n">
        <v>10</v>
      </c>
      <c r="B12" s="79" t="s">
        <v>234</v>
      </c>
      <c r="C12" s="66" t="s">
        <v>157</v>
      </c>
    </row>
    <row r="13" customFormat="false" ht="14.25" hidden="false" customHeight="true" outlineLevel="0" collapsed="false">
      <c r="A13" s="66" t="n">
        <v>11</v>
      </c>
      <c r="B13" s="79" t="s">
        <v>235</v>
      </c>
      <c r="C13" s="66" t="s">
        <v>157</v>
      </c>
    </row>
    <row r="14" customFormat="false" ht="28.5" hidden="false" customHeight="true" outlineLevel="0" collapsed="false">
      <c r="A14" s="66" t="n">
        <v>12</v>
      </c>
      <c r="B14" s="79" t="s">
        <v>236</v>
      </c>
      <c r="C14" s="66" t="s">
        <v>157</v>
      </c>
    </row>
    <row r="15" customFormat="false" ht="14.25" hidden="false" customHeight="true" outlineLevel="0" collapsed="false">
      <c r="A15" s="66" t="n">
        <v>13</v>
      </c>
      <c r="B15" s="79" t="s">
        <v>237</v>
      </c>
      <c r="C15" s="66" t="s">
        <v>157</v>
      </c>
    </row>
    <row r="16" customFormat="false" ht="28.5" hidden="false" customHeight="true" outlineLevel="0" collapsed="false">
      <c r="A16" s="66" t="n">
        <v>14</v>
      </c>
      <c r="B16" s="79" t="s">
        <v>238</v>
      </c>
      <c r="C16" s="66" t="s">
        <v>157</v>
      </c>
    </row>
    <row r="17" customFormat="false" ht="28.5" hidden="false" customHeight="true" outlineLevel="0" collapsed="false">
      <c r="A17" s="66" t="n">
        <v>15</v>
      </c>
      <c r="B17" s="79" t="s">
        <v>239</v>
      </c>
      <c r="C17" s="66" t="s">
        <v>157</v>
      </c>
    </row>
    <row r="18" customFormat="false" ht="14.25" hidden="false" customHeight="true" outlineLevel="0" collapsed="false">
      <c r="A18" s="66" t="n">
        <v>16</v>
      </c>
      <c r="B18" s="79" t="s">
        <v>240</v>
      </c>
      <c r="C18" s="66" t="s">
        <v>157</v>
      </c>
    </row>
    <row r="19" customFormat="false" ht="14.25" hidden="false" customHeight="true" outlineLevel="0" collapsed="false">
      <c r="A19" s="66" t="n">
        <v>17</v>
      </c>
      <c r="B19" s="79" t="s">
        <v>241</v>
      </c>
      <c r="C19" s="66" t="s">
        <v>157</v>
      </c>
    </row>
    <row r="20" customFormat="false" ht="14.25" hidden="false" customHeight="true" outlineLevel="0" collapsed="false">
      <c r="A20" s="66" t="n">
        <v>18</v>
      </c>
      <c r="B20" s="79" t="s">
        <v>242</v>
      </c>
      <c r="C20" s="66" t="s">
        <v>157</v>
      </c>
    </row>
    <row r="21" customFormat="false" ht="42.75" hidden="false" customHeight="true" outlineLevel="0" collapsed="false">
      <c r="A21" s="66" t="n">
        <v>19</v>
      </c>
      <c r="B21" s="79" t="s">
        <v>243</v>
      </c>
      <c r="C21" s="66" t="s">
        <v>157</v>
      </c>
    </row>
  </sheetData>
  <mergeCells count="1">
    <mergeCell ref="A1:C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E4" activeCellId="0" sqref="E4"/>
    </sheetView>
  </sheetViews>
  <sheetFormatPr defaultColWidth="11.4453125" defaultRowHeight="13.5" zeroHeight="false" outlineLevelRow="0" outlineLevelCol="0"/>
  <cols>
    <col collapsed="false" customWidth="true" hidden="false" outlineLevel="0" max="1" min="1" style="81" width="8.34"/>
    <col collapsed="false" customWidth="true" hidden="false" outlineLevel="0" max="2" min="2" style="82" width="99.44"/>
    <col collapsed="false" customWidth="true" hidden="false" outlineLevel="0" max="3" min="3" style="83" width="11.56"/>
    <col collapsed="false" customWidth="true" hidden="false" outlineLevel="0" max="4" min="4" style="81" width="17.44"/>
    <col collapsed="false" customWidth="true" hidden="true" outlineLevel="0" max="5" min="5" style="81" width="11.53"/>
    <col collapsed="false" customWidth="true" hidden="true" outlineLevel="0" max="6" min="6" style="81" width="14.44"/>
    <col collapsed="false" customWidth="false" hidden="false" outlineLevel="0" max="16384" min="7" style="81" width="11.44"/>
  </cols>
  <sheetData>
    <row r="1" customFormat="false" ht="14.25" hidden="false" customHeight="true" outlineLevel="0" collapsed="false">
      <c r="B1" s="84"/>
      <c r="C1" s="84"/>
      <c r="D1" s="84"/>
    </row>
    <row r="2" customFormat="false" ht="24" hidden="false" customHeight="true" outlineLevel="0" collapsed="false">
      <c r="A2" s="85" t="s">
        <v>315</v>
      </c>
      <c r="B2" s="85"/>
      <c r="C2" s="85"/>
      <c r="D2" s="85"/>
    </row>
    <row r="3" customFormat="false" ht="3" hidden="false" customHeight="true" outlineLevel="0" collapsed="false">
      <c r="A3" s="86"/>
      <c r="B3" s="87"/>
      <c r="C3" s="86"/>
      <c r="D3" s="86"/>
    </row>
    <row r="4" customFormat="false" ht="27" hidden="false" customHeight="true" outlineLevel="0" collapsed="false">
      <c r="A4" s="88" t="s">
        <v>316</v>
      </c>
      <c r="B4" s="89" t="s">
        <v>5</v>
      </c>
      <c r="C4" s="88" t="s">
        <v>317</v>
      </c>
      <c r="D4" s="88" t="s">
        <v>318</v>
      </c>
      <c r="E4" s="90" t="s">
        <v>306</v>
      </c>
      <c r="F4" s="91" t="s">
        <v>319</v>
      </c>
    </row>
    <row r="5" customFormat="false" ht="51.75" hidden="false" customHeight="true" outlineLevel="0" collapsed="false">
      <c r="A5" s="92" t="n">
        <v>1</v>
      </c>
      <c r="B5" s="93" t="s">
        <v>320</v>
      </c>
      <c r="C5" s="94" t="s">
        <v>196</v>
      </c>
      <c r="D5" s="95" t="n">
        <v>46301</v>
      </c>
      <c r="E5" s="96"/>
      <c r="F5" s="91" t="s">
        <v>197</v>
      </c>
    </row>
    <row r="6" customFormat="false" ht="41.25" hidden="false" customHeight="true" outlineLevel="0" collapsed="false">
      <c r="A6" s="92" t="n">
        <v>2</v>
      </c>
      <c r="B6" s="93" t="s">
        <v>199</v>
      </c>
      <c r="C6" s="94" t="s">
        <v>196</v>
      </c>
      <c r="D6" s="95" t="n">
        <v>46301</v>
      </c>
      <c r="E6" s="96"/>
      <c r="F6" s="91" t="s">
        <v>200</v>
      </c>
    </row>
    <row r="7" customFormat="false" ht="72.75" hidden="false" customHeight="true" outlineLevel="0" collapsed="false">
      <c r="A7" s="94" t="n">
        <v>3</v>
      </c>
      <c r="B7" s="97" t="s">
        <v>321</v>
      </c>
      <c r="C7" s="94" t="s">
        <v>196</v>
      </c>
      <c r="D7" s="95" t="n">
        <v>46301</v>
      </c>
      <c r="E7" s="96"/>
    </row>
    <row r="8" customFormat="false" ht="52.5" hidden="false" customHeight="true" outlineLevel="0" collapsed="false">
      <c r="A8" s="94" t="n">
        <v>4</v>
      </c>
      <c r="B8" s="97" t="s">
        <v>322</v>
      </c>
      <c r="C8" s="94" t="s">
        <v>196</v>
      </c>
      <c r="D8" s="95" t="n">
        <v>46301</v>
      </c>
      <c r="E8" s="96"/>
    </row>
    <row r="9" customFormat="false" ht="107.25" hidden="false" customHeight="true" outlineLevel="0" collapsed="false">
      <c r="A9" s="94" t="n">
        <v>5</v>
      </c>
      <c r="B9" s="97" t="s">
        <v>323</v>
      </c>
      <c r="C9" s="94" t="s">
        <v>196</v>
      </c>
      <c r="D9" s="95" t="n">
        <v>46301</v>
      </c>
      <c r="E9" s="96"/>
    </row>
    <row r="10" customFormat="false" ht="41.25" hidden="false" customHeight="true" outlineLevel="0" collapsed="false">
      <c r="A10" s="94" t="n">
        <v>6</v>
      </c>
      <c r="B10" s="98" t="s">
        <v>208</v>
      </c>
      <c r="C10" s="94" t="s">
        <v>196</v>
      </c>
      <c r="D10" s="95" t="n">
        <v>46301</v>
      </c>
      <c r="E10" s="96"/>
    </row>
    <row r="11" customFormat="false" ht="56.25" hidden="false" customHeight="true" outlineLevel="0" collapsed="false">
      <c r="A11" s="92" t="n">
        <v>7</v>
      </c>
      <c r="B11" s="99" t="s">
        <v>211</v>
      </c>
      <c r="C11" s="94" t="s">
        <v>196</v>
      </c>
      <c r="D11" s="95" t="n">
        <v>46301</v>
      </c>
      <c r="E11" s="96"/>
    </row>
    <row r="12" customFormat="false" ht="78" hidden="false" customHeight="true" outlineLevel="0" collapsed="false">
      <c r="A12" s="92" t="n">
        <v>8</v>
      </c>
      <c r="B12" s="70" t="s">
        <v>214</v>
      </c>
      <c r="C12" s="94" t="s">
        <v>196</v>
      </c>
      <c r="D12" s="95" t="n">
        <v>46301</v>
      </c>
      <c r="E12" s="96"/>
    </row>
    <row r="13" customFormat="false" ht="36.75" hidden="false" customHeight="true" outlineLevel="0" collapsed="false">
      <c r="A13" s="94" t="n">
        <v>9</v>
      </c>
      <c r="B13" s="100" t="s">
        <v>324</v>
      </c>
      <c r="C13" s="94" t="s">
        <v>196</v>
      </c>
      <c r="D13" s="95" t="n">
        <v>46301</v>
      </c>
      <c r="E13" s="96"/>
    </row>
    <row r="14" customFormat="false" ht="37.5" hidden="false" customHeight="true" outlineLevel="0" collapsed="false">
      <c r="A14" s="94" t="n">
        <v>10</v>
      </c>
      <c r="B14" s="100" t="s">
        <v>325</v>
      </c>
      <c r="C14" s="94" t="s">
        <v>196</v>
      </c>
      <c r="D14" s="95" t="n">
        <v>46301</v>
      </c>
      <c r="E14" s="96"/>
    </row>
    <row r="15" customFormat="false" ht="48" hidden="false" customHeight="true" outlineLevel="0" collapsed="false">
      <c r="A15" s="92" t="n">
        <v>11</v>
      </c>
      <c r="B15" s="97" t="s">
        <v>217</v>
      </c>
      <c r="C15" s="94" t="s">
        <v>196</v>
      </c>
      <c r="D15" s="95" t="n">
        <v>46301</v>
      </c>
      <c r="E15" s="96"/>
    </row>
    <row r="16" customFormat="false" ht="36" hidden="false" customHeight="true" outlineLevel="0" collapsed="false">
      <c r="A16" s="92" t="n">
        <v>12</v>
      </c>
      <c r="B16" s="97" t="s">
        <v>326</v>
      </c>
      <c r="C16" s="94" t="s">
        <v>196</v>
      </c>
      <c r="D16" s="95" t="n">
        <v>46301</v>
      </c>
      <c r="E16" s="96"/>
    </row>
    <row r="17" customFormat="false" ht="36" hidden="false" customHeight="true" outlineLevel="0" collapsed="false">
      <c r="A17" s="92" t="n">
        <v>13</v>
      </c>
      <c r="B17" s="97" t="s">
        <v>219</v>
      </c>
      <c r="C17" s="94" t="s">
        <v>196</v>
      </c>
      <c r="D17" s="95" t="n">
        <v>46301</v>
      </c>
      <c r="E17" s="96"/>
    </row>
    <row r="18" customFormat="false" ht="30" hidden="false" customHeight="true" outlineLevel="0" collapsed="false">
      <c r="A18" s="94" t="n">
        <v>14</v>
      </c>
      <c r="B18" s="97" t="s">
        <v>220</v>
      </c>
      <c r="C18" s="94" t="s">
        <v>196</v>
      </c>
      <c r="D18" s="95" t="n">
        <v>46301</v>
      </c>
      <c r="E18" s="96"/>
    </row>
    <row r="19" customFormat="false" ht="27" hidden="false" customHeight="true" outlineLevel="0" collapsed="false">
      <c r="A19" s="94" t="n">
        <v>15</v>
      </c>
      <c r="B19" s="97" t="s">
        <v>221</v>
      </c>
      <c r="C19" s="94" t="s">
        <v>196</v>
      </c>
      <c r="D19" s="95" t="n">
        <v>46301</v>
      </c>
      <c r="E19" s="96"/>
    </row>
  </sheetData>
  <mergeCells count="2">
    <mergeCell ref="B1:D1"/>
    <mergeCell ref="A2:D2"/>
  </mergeCells>
  <conditionalFormatting sqref="E4">
    <cfRule type="containsText" priority="2" operator="containsText" aboveAverage="0" equalAverage="0" bottom="0" percent="0" rank="0" text="En proceso" dxfId="35">
      <formula>NOT(ISERROR(SEARCH("En proceso",E4)))</formula>
    </cfRule>
    <cfRule type="containsText" priority="3" operator="containsText" aboveAverage="0" equalAverage="0" bottom="0" percent="0" rank="0" text="En proceso" dxfId="36">
      <formula>NOT(ISERROR(SEARCH("En proceso",E4)))</formula>
    </cfRule>
    <cfRule type="containsText" priority="4" operator="containsText" aboveAverage="0" equalAverage="0" bottom="0" percent="0" rank="0" text="Pendiente" dxfId="36">
      <formula>NOT(ISERROR(SEARCH("Pendiente",E4)))</formula>
    </cfRule>
    <cfRule type="containsText" priority="5" operator="containsText" aboveAverage="0" equalAverage="0" bottom="0" percent="0" rank="0" text="Completo" dxfId="37">
      <formula>NOT(ISERROR(SEARCH("Completo",E4)))</formula>
    </cfRule>
    <cfRule type="cellIs" priority="6" operator="equal" aboveAverage="0" equalAverage="0" bottom="0" percent="0" rank="0" text="" dxfId="37">
      <formula>"Completo"</formula>
    </cfRule>
  </conditionalFormatting>
  <conditionalFormatting sqref="F4:F6">
    <cfRule type="containsText" priority="7" operator="containsText" aboveAverage="0" equalAverage="0" bottom="0" percent="0" rank="0" text="En proceso" dxfId="35">
      <formula>NOT(ISERROR(SEARCH("En proceso",F4)))</formula>
    </cfRule>
    <cfRule type="containsText" priority="8" operator="containsText" aboveAverage="0" equalAverage="0" bottom="0" percent="0" rank="0" text="Pendiente" dxfId="36">
      <formula>NOT(ISERROR(SEARCH("Pendiente",F4)))</formula>
    </cfRule>
    <cfRule type="containsText" priority="9" operator="containsText" aboveAverage="0" equalAverage="0" bottom="0" percent="0" rank="0" text="Completo" dxfId="37">
      <formula>NOT(ISERROR(SEARCH("Completo",F4)))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2026-10-26T16:39:30Z</dcterms:created>
  <dc:creator>Hector Jose Menjivar Somoza</dc:creator>
  <dc:description/>
  <dc:language>en-US</dc:language>
  <cp:lastModifiedBy>Hector Jose Menjivar Somoza</cp:lastModifiedBy>
  <dcterms:modified xsi:type="dcterms:W3CDTF">2026-10-26T19:24:52Z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