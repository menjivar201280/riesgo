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e Oficial" sheetId="1" state="visible" r:id="rId1"/>
    <sheet xmlns:r="http://schemas.openxmlformats.org/officeDocument/2006/relationships" name="Base Exámenes" sheetId="2" state="visible" r:id="rId2"/>
    <sheet xmlns:r="http://schemas.openxmlformats.org/officeDocument/2006/relationships" name="Detalle individual" sheetId="3" state="visible" r:id="rId3"/>
    <sheet xmlns:r="http://schemas.openxmlformats.org/officeDocument/2006/relationships" name="Consolidado por área" sheetId="4" state="visible" r:id="rId4"/>
    <sheet xmlns:r="http://schemas.openxmlformats.org/officeDocument/2006/relationships" name="Consolidado por Gerencia" sheetId="5" state="visible" r:id="rId5"/>
    <sheet xmlns:r="http://schemas.openxmlformats.org/officeDocument/2006/relationships" name="Dashboard Gerencial" sheetId="6" state="visible" r:id="rId6"/>
    <sheet xmlns:r="http://schemas.openxmlformats.org/officeDocument/2006/relationships" name="Dashboard Gráfico" sheetId="7" state="visible" r:id="rId7"/>
    <sheet xmlns:r="http://schemas.openxmlformats.org/officeDocument/2006/relationships" name="Dashboard Departamentos" sheetId="8" state="visible" r:id="rId8"/>
    <sheet xmlns:r="http://schemas.openxmlformats.org/officeDocument/2006/relationships" name="Top 3 Departamentos" sheetId="9" state="visible" r:id="rId9"/>
    <sheet xmlns:r="http://schemas.openxmlformats.org/officeDocument/2006/relationships" name="Top 3 inicio" sheetId="10" state="visible" r:id="rId10"/>
    <sheet xmlns:r="http://schemas.openxmlformats.org/officeDocument/2006/relationships" name="Top 3 finalización" sheetId="11" state="visible" r:id="rId11"/>
    <sheet xmlns:r="http://schemas.openxmlformats.org/officeDocument/2006/relationships" name="Top 3 calificación" sheetId="12" state="visible" r:id="rId12"/>
    <sheet xmlns:r="http://schemas.openxmlformats.org/officeDocument/2006/relationships" name="Listado de Pendien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:mm:ss"/>
    <numFmt numFmtId="166" formatCode="yyyy-mm-dd hh:mm:ss"/>
    <numFmt numFmtId="167" formatCode="0.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6" fontId="0" fillId="0" borderId="1" pivotButton="0" quotePrefix="0" xfId="0"/>
    <xf numFmtId="167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Global de Evaluaciones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Gráfico'!O4</f>
              <strCache>
                <ptCount val="1"/>
                <pt idx="0">
                  <v>Cantidad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8B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1"/>
            <separator val="&#10;"/>
          </dLbls>
          <cat>
            <strRef>
              <f>'Dashboard Gráfico'!$N$5:$N$6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'Dashboard Gráfico'!$O$5:$O$6</f>
              <numCache>
                <formatCode>General</formatCode>
                <ptCount val="2"/>
                <pt idx="0">
                  <v>146</v>
                </pt>
                <pt idx="1">
                  <v>145</v>
                </pt>
              </numCache>
            </numRef>
          </val>
        </ser>
        <firstSliceAng val="0"/>
        <holeSize val="55"/>
      </doughnutChart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Gerencia: Completados vs Pendientes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'Consolidado por Gerencia'!C4</f>
              <strCache>
                <ptCount val="1"/>
                <pt idx="0">
                  <v>Personas Completadas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solidFill>
                <a:srgbClr val="2E8B57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Gerencia'!$A$5:$A$14</f>
              <strCache>
                <ptCount val="10"/>
                <pt idx="0">
                  <v>Auditoría Interna</v>
                </pt>
                <pt idx="1">
                  <v>Gerencia Administrativa</v>
                </pt>
                <pt idx="2">
                  <v>Gerencia General</v>
                </pt>
                <pt idx="3">
                  <v>Gerencia Legal y Cumplimiento Normativo</v>
                </pt>
                <pt idx="4">
                  <v>Gerencia de Finanzas y Planificación</v>
                </pt>
                <pt idx="5">
                  <v>Gerencia de Negocios</v>
                </pt>
                <pt idx="6">
                  <v>Gerencia de Negocios (Agencias)</v>
                </pt>
                <pt idx="7">
                  <v>Gerencia de Oficialía de Cumplimiento</v>
                </pt>
                <pt idx="8">
                  <v>Gerencia de Operaciones</v>
                </pt>
                <pt idx="9">
                  <v>Gerencia de Sistemas</v>
                </pt>
              </strCache>
            </strRef>
          </cat>
          <val>
            <numRef>
              <f>'Consolidado por Gerencia'!$C$5:$C$14</f>
              <numCache>
                <formatCode>General</formatCode>
                <ptCount val="10"/>
                <pt idx="0">
                  <v>5</v>
                </pt>
                <pt idx="1">
                  <v>27</v>
                </pt>
                <pt idx="2">
                  <v>14</v>
                </pt>
                <pt idx="3">
                  <v>3</v>
                </pt>
                <pt idx="4">
                  <v>8</v>
                </pt>
                <pt idx="5">
                  <v>23</v>
                </pt>
                <pt idx="6">
                  <v>34</v>
                </pt>
                <pt idx="7">
                  <v>7</v>
                </pt>
                <pt idx="8">
                  <v>8</v>
                </pt>
                <pt idx="9">
                  <v>17</v>
                </pt>
              </numCache>
            </numRef>
          </val>
        </ser>
        <ser>
          <idx val="1"/>
          <order val="1"/>
          <tx>
            <strRef>
              <f>'Consolidado por Gerencia'!D4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>
              <a:solidFill>
                <a:srgbClr val="E67E22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Gerencia'!$A$5:$A$14</f>
              <strCache>
                <ptCount val="10"/>
                <pt idx="0">
                  <v>Auditoría Interna</v>
                </pt>
                <pt idx="1">
                  <v>Gerencia Administrativa</v>
                </pt>
                <pt idx="2">
                  <v>Gerencia General</v>
                </pt>
                <pt idx="3">
                  <v>Gerencia Legal y Cumplimiento Normativo</v>
                </pt>
                <pt idx="4">
                  <v>Gerencia de Finanzas y Planificación</v>
                </pt>
                <pt idx="5">
                  <v>Gerencia de Negocios</v>
                </pt>
                <pt idx="6">
                  <v>Gerencia de Negocios (Agencias)</v>
                </pt>
                <pt idx="7">
                  <v>Gerencia de Oficialía de Cumplimiento</v>
                </pt>
                <pt idx="8">
                  <v>Gerencia de Operaciones</v>
                </pt>
                <pt idx="9">
                  <v>Gerencia de Sistemas</v>
                </pt>
              </strCache>
            </strRef>
          </cat>
          <val>
            <numRef>
              <f>'Consolidado por Gerencia'!$D$5:$D$14</f>
              <numCache>
                <formatCode>General</formatCode>
                <ptCount val="10"/>
                <pt idx="0">
                  <v>2</v>
                </pt>
                <pt idx="1">
                  <v>5</v>
                </pt>
                <pt idx="2">
                  <v>7</v>
                </pt>
                <pt idx="3">
                  <v>6</v>
                </pt>
                <pt idx="4">
                  <v>10</v>
                </pt>
                <pt idx="5">
                  <v>38</v>
                </pt>
                <pt idx="6">
                  <v>63</v>
                </pt>
                <pt idx="7">
                  <v>0</v>
                </pt>
                <pt idx="8">
                  <v>8</v>
                </pt>
                <pt idx="9">
                  <v>6</v>
                </pt>
              </numCache>
            </numRef>
          </val>
        </ser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Gerencia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Número de colaboradores</a:t>
                </a:r>
              </a:p>
            </rich>
          </tx>
        </title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Departamento / Agencia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'Consolidado por área'!D4</f>
              <strCache>
                <ptCount val="1"/>
                <pt idx="0">
                  <v>Personas Completadas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solidFill>
                <a:srgbClr val="2E8B57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área'!$A$5:$A$47</f>
              <strCache>
                <ptCount val="43"/>
                <pt idx="0">
                  <v>ADMINISTRACION DE BASE DE DATOS</v>
                </pt>
                <pt idx="1">
                  <v>ADMINISTRACION DE RIESGOS</v>
                </pt>
                <pt idx="2">
                  <v>ADMINISTRACIÓN DE CARTERAS</v>
                </pt>
                <pt idx="3">
                  <v>AGENCIA CENTRAL</v>
                </pt>
                <pt idx="4">
                  <v>AGENCIA COLEGIO MEDICO</v>
                </pt>
                <pt idx="5">
                  <v>AGENCIA COLONIA MEDICA</v>
                </pt>
                <pt idx="6">
                  <v>AGENCIA MERLIOT</v>
                </pt>
                <pt idx="7">
                  <v>AGENCIA PLAZA MUNDO</v>
                </pt>
                <pt idx="8">
                  <v>AGENCIA SAN  MIGUEL</v>
                </pt>
                <pt idx="9">
                  <v>AGENCIA SANTA  ANA</v>
                </pt>
                <pt idx="10">
                  <v>AGENCIA SONSONATE</v>
                </pt>
                <pt idx="11">
                  <v>AGENCIA USULUTAN</v>
                </pt>
                <pt idx="12">
                  <v>CLINICA EMPRESARIAL</v>
                </pt>
                <pt idx="13">
                  <v>DEPARTAMENTO COMERCIAL DE TARJETA DE CREDITO Y DEBITO</v>
                </pt>
                <pt idx="14">
                  <v>DEPARTAMENTO DE ANALISIS Y PROGRAMACIÓN</v>
                </pt>
                <pt idx="15">
                  <v>DEPARTAMENTO DE ATENCION A ASOCIADO Y CLIENTE</v>
                </pt>
                <pt idx="16">
                  <v>DEPARTAMENTO DE AUDITORIA INTERNA</v>
                </pt>
                <pt idx="17">
                  <v>DEPARTAMENTO DE CONTABILIDAD</v>
                </pt>
                <pt idx="18">
                  <v>DEPARTAMENTO DE CREDITOS</v>
                </pt>
                <pt idx="19">
                  <v>DEPARTAMENTO DE CUSTODIA DE GARANTÍA Y VALORES</v>
                </pt>
                <pt idx="20">
                  <v>DEPARTAMENTO DE DEPOSITOS</v>
                </pt>
                <pt idx="21">
                  <v>DEPARTAMENTO DE EDUCACION Y RESPONSABILIDAD SOCIAL</v>
                </pt>
                <pt idx="22">
                  <v>DEPARTAMENTO DE MERCADEO</v>
                </pt>
                <pt idx="23">
                  <v>DEPARTAMENTO DE OPERACIONES Y SOPORTE TECNICO</v>
                </pt>
                <pt idx="24">
                  <v>DEPARTAMENTO DE PLANIFICACIÓN Y ANALISIS</v>
                </pt>
                <pt idx="25">
                  <v>DEPARTAMENTO DE PROCESOS</v>
                </pt>
                <pt idx="26">
                  <v>DEPARTAMENTO DE SEGURIDAD</v>
                </pt>
                <pt idx="27">
                  <v>DEPARTAMENTO DE SEGUROS</v>
                </pt>
                <pt idx="28">
                  <v>DEPARTAMENTO DE SERVICIOS GENERALES</v>
                </pt>
                <pt idx="29">
                  <v>DEPARTAMENTO DE SOLUCIONES FINANCIERAS</v>
                </pt>
                <pt idx="30">
                  <v>DEPARTAMENTO DE TALENTO HUMANO</v>
                </pt>
                <pt idx="31">
                  <v>DEPARTAMENTO DE TARJETA DE CREDITO Y DEBITO</v>
                </pt>
                <pt idx="32">
                  <v>DEPARTAMENTO LEGAL</v>
                </pt>
                <pt idx="33">
                  <v>GERENCIA  ADMINISTRATIVA</v>
                </pt>
                <pt idx="34">
                  <v>GERENCIA DE FINANZAS Y PLANIFICACIÓN</v>
                </pt>
                <pt idx="35">
                  <v>GERENCIA DE NEGOCIOS</v>
                </pt>
                <pt idx="36">
                  <v>GERENCIA DE OPERACIONES</v>
                </pt>
                <pt idx="37">
                  <v>GERENCIA DE SISTEMAS</v>
                </pt>
                <pt idx="38">
                  <v>GERENCIA GENERAL</v>
                </pt>
                <pt idx="39">
                  <v>GERENCIA LEGAL Y DE CUMPLIMIENTO NORMATIVO</v>
                </pt>
                <pt idx="40">
                  <v>OFICIALIA DE CUMPLIMIENTO</v>
                </pt>
                <pt idx="41">
                  <v>OFICIALIA DE SEGURIDAD DE LA INFORMACION</v>
                </pt>
                <pt idx="42">
                  <v>SUB GERENCIA DE CANALES</v>
                </pt>
              </strCache>
            </strRef>
          </cat>
          <val>
            <numRef>
              <f>'Consolidado por área'!$D$5:$D$47</f>
              <numCache>
                <formatCode>General</formatCode>
                <ptCount val="43"/>
                <pt idx="0">
                  <v>1</v>
                </pt>
                <pt idx="1">
                  <v>3</v>
                </pt>
                <pt idx="2">
                  <v>2</v>
                </pt>
                <pt idx="3">
                  <v>5</v>
                </pt>
                <pt idx="4">
                  <v>1</v>
                </pt>
                <pt idx="5">
                  <v>5</v>
                </pt>
                <pt idx="6">
                  <v>12</v>
                </pt>
                <pt idx="7">
                  <v>0</v>
                </pt>
                <pt idx="8">
                  <v>7</v>
                </pt>
                <pt idx="9">
                  <v>0</v>
                </pt>
                <pt idx="10">
                  <v>0</v>
                </pt>
                <pt idx="11">
                  <v>4</v>
                </pt>
                <pt idx="12">
                  <v>0</v>
                </pt>
                <pt idx="13">
                  <v>4</v>
                </pt>
                <pt idx="14">
                  <v>8</v>
                </pt>
                <pt idx="15">
                  <v>2</v>
                </pt>
                <pt idx="16">
                  <v>5</v>
                </pt>
                <pt idx="17">
                  <v>7</v>
                </pt>
                <pt idx="18">
                  <v>7</v>
                </pt>
                <pt idx="19">
                  <v>6</v>
                </pt>
                <pt idx="20">
                  <v>3</v>
                </pt>
                <pt idx="21">
                  <v>1</v>
                </pt>
                <pt idx="22">
                  <v>1</v>
                </pt>
                <pt idx="23">
                  <v>6</v>
                </pt>
                <pt idx="24">
                  <v>0</v>
                </pt>
                <pt idx="25">
                  <v>3</v>
                </pt>
                <pt idx="26">
                  <v>2</v>
                </pt>
                <pt idx="27">
                  <v>5</v>
                </pt>
                <pt idx="28">
                  <v>16</v>
                </pt>
                <pt idx="29">
                  <v>2</v>
                </pt>
                <pt idx="30">
                  <v>2</v>
                </pt>
                <pt idx="31">
                  <v>3</v>
                </pt>
                <pt idx="32">
                  <v>2</v>
                </pt>
                <pt idx="33">
                  <v>1</v>
                </pt>
                <pt idx="34">
                  <v>1</v>
                </pt>
                <pt idx="35">
                  <v>3</v>
                </pt>
                <pt idx="36">
                  <v>0</v>
                </pt>
                <pt idx="37">
                  <v>2</v>
                </pt>
                <pt idx="38">
                  <v>0</v>
                </pt>
                <pt idx="39">
                  <v>1</v>
                </pt>
                <pt idx="40">
                  <v>7</v>
                </pt>
                <pt idx="41">
                  <v>4</v>
                </pt>
                <pt idx="42">
                  <v>2</v>
                </pt>
              </numCache>
            </numRef>
          </val>
        </ser>
        <ser>
          <idx val="1"/>
          <order val="1"/>
          <tx>
            <strRef>
              <f>'Consolidado por área'!E4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>
              <a:solidFill>
                <a:srgbClr val="E67E22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área'!$A$5:$A$47</f>
              <strCache>
                <ptCount val="43"/>
                <pt idx="0">
                  <v>ADMINISTRACION DE BASE DE DATOS</v>
                </pt>
                <pt idx="1">
                  <v>ADMINISTRACION DE RIESGOS</v>
                </pt>
                <pt idx="2">
                  <v>ADMINISTRACIÓN DE CARTERAS</v>
                </pt>
                <pt idx="3">
                  <v>AGENCIA CENTRAL</v>
                </pt>
                <pt idx="4">
                  <v>AGENCIA COLEGIO MEDICO</v>
                </pt>
                <pt idx="5">
                  <v>AGENCIA COLONIA MEDICA</v>
                </pt>
                <pt idx="6">
                  <v>AGENCIA MERLIOT</v>
                </pt>
                <pt idx="7">
                  <v>AGENCIA PLAZA MUNDO</v>
                </pt>
                <pt idx="8">
                  <v>AGENCIA SAN  MIGUEL</v>
                </pt>
                <pt idx="9">
                  <v>AGENCIA SANTA  ANA</v>
                </pt>
                <pt idx="10">
                  <v>AGENCIA SONSONATE</v>
                </pt>
                <pt idx="11">
                  <v>AGENCIA USULUTAN</v>
                </pt>
                <pt idx="12">
                  <v>CLINICA EMPRESARIAL</v>
                </pt>
                <pt idx="13">
                  <v>DEPARTAMENTO COMERCIAL DE TARJETA DE CREDITO Y DEBITO</v>
                </pt>
                <pt idx="14">
                  <v>DEPARTAMENTO DE ANALISIS Y PROGRAMACIÓN</v>
                </pt>
                <pt idx="15">
                  <v>DEPARTAMENTO DE ATENCION A ASOCIADO Y CLIENTE</v>
                </pt>
                <pt idx="16">
                  <v>DEPARTAMENTO DE AUDITORIA INTERNA</v>
                </pt>
                <pt idx="17">
                  <v>DEPARTAMENTO DE CONTABILIDAD</v>
                </pt>
                <pt idx="18">
                  <v>DEPARTAMENTO DE CREDITOS</v>
                </pt>
                <pt idx="19">
                  <v>DEPARTAMENTO DE CUSTODIA DE GARANTÍA Y VALORES</v>
                </pt>
                <pt idx="20">
                  <v>DEPARTAMENTO DE DEPOSITOS</v>
                </pt>
                <pt idx="21">
                  <v>DEPARTAMENTO DE EDUCACION Y RESPONSABILIDAD SOCIAL</v>
                </pt>
                <pt idx="22">
                  <v>DEPARTAMENTO DE MERCADEO</v>
                </pt>
                <pt idx="23">
                  <v>DEPARTAMENTO DE OPERACIONES Y SOPORTE TECNICO</v>
                </pt>
                <pt idx="24">
                  <v>DEPARTAMENTO DE PLANIFICACIÓN Y ANALISIS</v>
                </pt>
                <pt idx="25">
                  <v>DEPARTAMENTO DE PROCESOS</v>
                </pt>
                <pt idx="26">
                  <v>DEPARTAMENTO DE SEGURIDAD</v>
                </pt>
                <pt idx="27">
                  <v>DEPARTAMENTO DE SEGUROS</v>
                </pt>
                <pt idx="28">
                  <v>DEPARTAMENTO DE SERVICIOS GENERALES</v>
                </pt>
                <pt idx="29">
                  <v>DEPARTAMENTO DE SOLUCIONES FINANCIERAS</v>
                </pt>
                <pt idx="30">
                  <v>DEPARTAMENTO DE TALENTO HUMANO</v>
                </pt>
                <pt idx="31">
                  <v>DEPARTAMENTO DE TARJETA DE CREDITO Y DEBITO</v>
                </pt>
                <pt idx="32">
                  <v>DEPARTAMENTO LEGAL</v>
                </pt>
                <pt idx="33">
                  <v>GERENCIA  ADMINISTRATIVA</v>
                </pt>
                <pt idx="34">
                  <v>GERENCIA DE FINANZAS Y PLANIFICACIÓN</v>
                </pt>
                <pt idx="35">
                  <v>GERENCIA DE NEGOCIOS</v>
                </pt>
                <pt idx="36">
                  <v>GERENCIA DE OPERACIONES</v>
                </pt>
                <pt idx="37">
                  <v>GERENCIA DE SISTEMAS</v>
                </pt>
                <pt idx="38">
                  <v>GERENCIA GENERAL</v>
                </pt>
                <pt idx="39">
                  <v>GERENCIA LEGAL Y DE CUMPLIMIENTO NORMATIVO</v>
                </pt>
                <pt idx="40">
                  <v>OFICIALIA DE CUMPLIMIENTO</v>
                </pt>
                <pt idx="41">
                  <v>OFICIALIA DE SEGURIDAD DE LA INFORMACION</v>
                </pt>
                <pt idx="42">
                  <v>SUB GERENCIA DE CANALES</v>
                </pt>
              </strCache>
            </strRef>
          </cat>
          <val>
            <numRef>
              <f>'Consolidado por área'!$E$5:$E$47</f>
              <numCache>
                <formatCode>General</formatCode>
                <ptCount val="43"/>
                <pt idx="0">
                  <v>0</v>
                </pt>
                <pt idx="1">
                  <v>1</v>
                </pt>
                <pt idx="2">
                  <v>3</v>
                </pt>
                <pt idx="3">
                  <v>13</v>
                </pt>
                <pt idx="4">
                  <v>11</v>
                </pt>
                <pt idx="5">
                  <v>11</v>
                </pt>
                <pt idx="6">
                  <v>1</v>
                </pt>
                <pt idx="7">
                  <v>8</v>
                </pt>
                <pt idx="8">
                  <v>1</v>
                </pt>
                <pt idx="9">
                  <v>8</v>
                </pt>
                <pt idx="10">
                  <v>7</v>
                </pt>
                <pt idx="11">
                  <v>3</v>
                </pt>
                <pt idx="12">
                  <v>2</v>
                </pt>
                <pt idx="13">
                  <v>4</v>
                </pt>
                <pt idx="14">
                  <v>3</v>
                </pt>
                <pt idx="15">
                  <v>4</v>
                </pt>
                <pt idx="16">
                  <v>2</v>
                </pt>
                <pt idx="17">
                  <v>6</v>
                </pt>
                <pt idx="18">
                  <v>6</v>
                </pt>
                <pt idx="19">
                  <v>0</v>
                </pt>
                <pt idx="20">
                  <v>1</v>
                </pt>
                <pt idx="21">
                  <v>2</v>
                </pt>
                <pt idx="22">
                  <v>6</v>
                </pt>
                <pt idx="23">
                  <v>1</v>
                </pt>
                <pt idx="24">
                  <v>3</v>
                </pt>
                <pt idx="25">
                  <v>0</v>
                </pt>
                <pt idx="26">
                  <v>0</v>
                </pt>
                <pt idx="27">
                  <v>6</v>
                </pt>
                <pt idx="28">
                  <v>1</v>
                </pt>
                <pt idx="29">
                  <v>8</v>
                </pt>
                <pt idx="30">
                  <v>1</v>
                </pt>
                <pt idx="31">
                  <v>3</v>
                </pt>
                <pt idx="32">
                  <v>6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2</v>
                </pt>
                <pt idx="38">
                  <v>2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5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Departamento / Agencia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Número de colaboradores</a:t>
                </a:r>
              </a:p>
            </rich>
          </tx>
        </title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4680000" cy="45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8</row>
      <rowOff>0</rowOff>
    </from>
    <ext cx="9000000" cy="45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1520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de Negocios</t>
        </is>
      </c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de Negocios</t>
        </is>
      </c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de Negocios</t>
        </is>
      </c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Negocios</t>
        </is>
      </c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Negocios</t>
        </is>
      </c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Negocios</t>
        </is>
      </c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Negocios</t>
        </is>
      </c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Negocios</t>
        </is>
      </c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Negocios</t>
        </is>
      </c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Negocios</t>
        </is>
      </c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Negocios</t>
        </is>
      </c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Negocios</t>
        </is>
      </c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Negocios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General</t>
        </is>
      </c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General</t>
        </is>
      </c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General</t>
        </is>
      </c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General</t>
        </is>
      </c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General</t>
        </is>
      </c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General</t>
        </is>
      </c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General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General</t>
        </is>
      </c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 (Agencias)</t>
        </is>
      </c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 (Agencias)</t>
        </is>
      </c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 (Agencias)</t>
        </is>
      </c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 (Agencias)</t>
        </is>
      </c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 (Agencias)</t>
        </is>
      </c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 (Agencias)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 (Agencias)</t>
        </is>
      </c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 (Agencias)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 (Agencias)</t>
        </is>
      </c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 (Agencias)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 (Agencias)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 (Agencias)</t>
        </is>
      </c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 (Agencias)</t>
        </is>
      </c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 (Agencias)</t>
        </is>
      </c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 (Agencias)</t>
        </is>
      </c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 (Agencias)</t>
        </is>
      </c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 (Agencias)</t>
        </is>
      </c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 (Agencias)</t>
        </is>
      </c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 (Agencias)</t>
        </is>
      </c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 (Agencias)</t>
        </is>
      </c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 (Agencias)</t>
        </is>
      </c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 (Agencias)</t>
        </is>
      </c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 (Agencias)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 (Agencias)</t>
        </is>
      </c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 (Agencias)</t>
        </is>
      </c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 (Agencias)</t>
        </is>
      </c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 (Agencias)</t>
        </is>
      </c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 (Agencias)</t>
        </is>
      </c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 (Agencias)</t>
        </is>
      </c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 (Agencias)</t>
        </is>
      </c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 (Agencias)</t>
        </is>
      </c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 (Agencias)</t>
        </is>
      </c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 (Agencias)</t>
        </is>
      </c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 (Agencias)</t>
        </is>
      </c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 (Agencias)</t>
        </is>
      </c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 (Agencias)</t>
        </is>
      </c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 (Agencias)</t>
        </is>
      </c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 (Agencias)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 (Agencias)</t>
        </is>
      </c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 (Agencias)</t>
        </is>
      </c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 (Agencias)</t>
        </is>
      </c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 (Agencias)</t>
        </is>
      </c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 (Agencias)</t>
        </is>
      </c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 (Agencias)</t>
        </is>
      </c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 (Agencias)</t>
        </is>
      </c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 (Agencias)</t>
        </is>
      </c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 (Agencias)</t>
        </is>
      </c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 (Agencias)</t>
        </is>
      </c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 (Agencias)</t>
        </is>
      </c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 (Agencias)</t>
        </is>
      </c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 (Agencias)</t>
        </is>
      </c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 (Agencias)</t>
        </is>
      </c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 (Agencias)</t>
        </is>
      </c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 (Agencias)</t>
        </is>
      </c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 (Agencias)</t>
        </is>
      </c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 (Agencias)</t>
        </is>
      </c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 (Agencias)</t>
        </is>
      </c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 (Agencias)</t>
        </is>
      </c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 (Agencias)</t>
        </is>
      </c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 (Agencias)</t>
        </is>
      </c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 (Agencias)</t>
        </is>
      </c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 (Agencias)</t>
        </is>
      </c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 (Agencias)</t>
        </is>
      </c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 (Agencias)</t>
        </is>
      </c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 (Agencias)</t>
        </is>
      </c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 (Agencias)</t>
        </is>
      </c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 (Agencias)</t>
        </is>
      </c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 (Agencias)</t>
        </is>
      </c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 (Agencias)</t>
        </is>
      </c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 (Agencias)</t>
        </is>
      </c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 (Agencias)</t>
        </is>
      </c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 (Agencias)</t>
        </is>
      </c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 (Agencias)</t>
        </is>
      </c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 (Agencias)</t>
        </is>
      </c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 (Agencias)</t>
        </is>
      </c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 (Agencias)</t>
        </is>
      </c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 (Agencias)</t>
        </is>
      </c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 (Agencias)</t>
        </is>
      </c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 (Agencias)</t>
        </is>
      </c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 (Agencias)</t>
        </is>
      </c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 (Agencias)</t>
        </is>
      </c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 (Agencias)</t>
        </is>
      </c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 (Agencias)</t>
        </is>
      </c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 (Agencias)</t>
        </is>
      </c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 (Agencias)</t>
        </is>
      </c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 (Agencias)</t>
        </is>
      </c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 (Agencias)</t>
        </is>
      </c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 (Agencias)</t>
        </is>
      </c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 (Agencias)</t>
        </is>
      </c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 (Agencias)</t>
        </is>
      </c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 (Agencias)</t>
        </is>
      </c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 (Agencias)</t>
        </is>
      </c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 (Agencias)</t>
        </is>
      </c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 (Agencias)</t>
        </is>
      </c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 (Agencias)</t>
        </is>
      </c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 (Agencias)</t>
        </is>
      </c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 (Agencias)</t>
        </is>
      </c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4" t="inlineStr">
        <is>
          <t>524</t>
        </is>
      </c>
      <c r="D5" s="23" t="n">
        <v>46296.42706018518</v>
      </c>
      <c r="E5" s="23" t="n">
        <v>46296.42956018518</v>
      </c>
      <c r="F5" s="7">
        <f>(E5-D5)*1440</f>
        <v>3.6</v>
      </c>
      <c r="G5" s="6" t="n">
        <v>100</v>
      </c>
      <c r="H5" s="6" t="inlineStr">
        <is>
          <t>anonymous</t>
        </is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4" t="inlineStr">
        <is>
          <t>894</t>
        </is>
      </c>
      <c r="D6" s="23" t="n">
        <v>46296.42641203704</v>
      </c>
      <c r="E6" s="23" t="n">
        <v>46296.431875</v>
      </c>
      <c r="F6" s="7">
        <f>(E6-D6)*1440</f>
        <v>7.86666666666667</v>
      </c>
      <c r="G6" s="6" t="n">
        <v>100</v>
      </c>
      <c r="H6" s="6" t="inlineStr">
        <is>
          <t>anonymous</t>
        </is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4" t="inlineStr">
        <is>
          <t>408</t>
        </is>
      </c>
      <c r="D7" s="23" t="n">
        <v>46296.43667824074</v>
      </c>
      <c r="E7" s="23" t="n">
        <v>46296.43879629629</v>
      </c>
      <c r="F7" s="7">
        <f>(E7-D7)*1440</f>
        <v>3.05</v>
      </c>
      <c r="G7" s="6" t="n">
        <v>100</v>
      </c>
      <c r="H7" s="6" t="inlineStr">
        <is>
          <t>anonymous</t>
        </is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4" t="inlineStr">
        <is>
          <t>197</t>
        </is>
      </c>
      <c r="D8" s="23" t="n">
        <v>46296.43491898148</v>
      </c>
      <c r="E8" s="23" t="n">
        <v>46296.44064814815</v>
      </c>
      <c r="F8" s="7">
        <f>(E8-D8)*1440</f>
        <v>8.25</v>
      </c>
      <c r="G8" s="6" t="n">
        <v>100</v>
      </c>
      <c r="H8" s="6" t="inlineStr">
        <is>
          <t>anonymous</t>
        </is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4" t="inlineStr">
        <is>
          <t>817</t>
        </is>
      </c>
      <c r="D9" s="23" t="n">
        <v>46296.43665509259</v>
      </c>
      <c r="E9" s="23" t="n">
        <v>46296.44137731481</v>
      </c>
      <c r="F9" s="7">
        <f>(E9-D9)*1440</f>
        <v>6.8</v>
      </c>
      <c r="G9" s="6" t="n">
        <v>100</v>
      </c>
      <c r="H9" s="6" t="inlineStr">
        <is>
          <t>anonymous</t>
        </is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4" t="inlineStr">
        <is>
          <t>932</t>
        </is>
      </c>
      <c r="D10" s="23" t="n">
        <v>46296.4371875</v>
      </c>
      <c r="E10" s="23" t="n">
        <v>46296.44143518519</v>
      </c>
      <c r="F10" s="7">
        <f>(E10-D10)*1440</f>
        <v>6.11666666666667</v>
      </c>
      <c r="G10" s="6" t="n">
        <v>100</v>
      </c>
      <c r="H10" s="6" t="inlineStr">
        <is>
          <t>anonymous</t>
        </is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4" t="inlineStr">
        <is>
          <t>318</t>
        </is>
      </c>
      <c r="D11" s="23" t="n">
        <v>46296.43657407408</v>
      </c>
      <c r="E11" s="23" t="n">
        <v>46296.44149305556</v>
      </c>
      <c r="F11" s="7">
        <f>(E11-D11)*1440</f>
        <v>7.08333333333333</v>
      </c>
      <c r="G11" s="6" t="n">
        <v>100</v>
      </c>
      <c r="H11" s="6" t="inlineStr">
        <is>
          <t>anonymous</t>
        </is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4" t="inlineStr">
        <is>
          <t>776</t>
        </is>
      </c>
      <c r="D12" s="23" t="n">
        <v>46296.44304398148</v>
      </c>
      <c r="E12" s="23" t="n">
        <v>46296.44540509259</v>
      </c>
      <c r="F12" s="7">
        <f>(E12-D12)*1440</f>
        <v>3.4</v>
      </c>
      <c r="G12" s="6" t="n">
        <v>100</v>
      </c>
      <c r="H12" s="6" t="inlineStr">
        <is>
          <t>anonymous</t>
        </is>
      </c>
    </row>
    <row r="13">
      <c r="A13" s="5" t="inlineStr">
        <is>
          <t xml:space="preserve">Martha Lorena González González </t>
        </is>
      </c>
      <c r="B13" s="5" t="inlineStr">
        <is>
          <t xml:space="preserve">San Miguel </t>
        </is>
      </c>
      <c r="C13" s="4" t="inlineStr">
        <is>
          <t>390</t>
        </is>
      </c>
      <c r="D13" s="23" t="n">
        <v>46296.44636574074</v>
      </c>
      <c r="E13" s="23" t="n">
        <v>46296.44844907407</v>
      </c>
      <c r="F13" s="7">
        <f>(E13-D13)*1440</f>
        <v>3</v>
      </c>
      <c r="G13" s="6" t="n">
        <v>100</v>
      </c>
      <c r="H13" s="6" t="inlineStr">
        <is>
          <t>anonymous</t>
        </is>
      </c>
    </row>
    <row r="14">
      <c r="A14" s="5" t="inlineStr">
        <is>
          <t xml:space="preserve">Jennifer Georgina Alvarado de Hernández </t>
        </is>
      </c>
      <c r="B14" s="5" t="inlineStr">
        <is>
          <t>Seguridad de la Informacion y Ciberseguridad</t>
        </is>
      </c>
      <c r="C14" s="4" t="inlineStr">
        <is>
          <t>907</t>
        </is>
      </c>
      <c r="D14" s="23" t="n">
        <v>46296.44221064815</v>
      </c>
      <c r="E14" s="23" t="n">
        <v>46296.44850694444</v>
      </c>
      <c r="F14" s="7">
        <f>(E14-D14)*1440</f>
        <v>9.06666666666667</v>
      </c>
      <c r="G14" s="6" t="n">
        <v>85</v>
      </c>
      <c r="H14" s="6" t="inlineStr">
        <is>
          <t>anonymous</t>
        </is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4" t="inlineStr">
        <is>
          <t>918</t>
        </is>
      </c>
      <c r="D15" s="23" t="n">
        <v>46296.4418287037</v>
      </c>
      <c r="E15" s="23" t="n">
        <v>46296.44851851852</v>
      </c>
      <c r="F15" s="7">
        <f>(E15-D15)*1440</f>
        <v>9.63333333333333</v>
      </c>
      <c r="G15" s="6" t="n">
        <v>100</v>
      </c>
      <c r="H15" s="6" t="inlineStr">
        <is>
          <t>anonymous</t>
        </is>
      </c>
    </row>
    <row r="16">
      <c r="A16" s="5" t="inlineStr">
        <is>
          <t>María Azucena Bonilla Rivera</t>
        </is>
      </c>
      <c r="B16" s="5" t="inlineStr">
        <is>
          <t xml:space="preserve">Seguridad de la Información </t>
        </is>
      </c>
      <c r="C16" s="4" t="inlineStr">
        <is>
          <t>710</t>
        </is>
      </c>
      <c r="D16" s="23" t="n">
        <v>46296.44082175926</v>
      </c>
      <c r="E16" s="23" t="n">
        <v>46296.4489699074</v>
      </c>
      <c r="F16" s="7">
        <f>(E16-D16)*1440</f>
        <v>11.7333333333333</v>
      </c>
      <c r="G16" s="6" t="n">
        <v>100</v>
      </c>
      <c r="H16" s="6" t="inlineStr">
        <is>
          <t>anonymous</t>
        </is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4" t="inlineStr">
        <is>
          <t>950</t>
        </is>
      </c>
      <c r="D17" s="23" t="n">
        <v>46296.44081018519</v>
      </c>
      <c r="E17" s="23" t="n">
        <v>46296.44909722222</v>
      </c>
      <c r="F17" s="7">
        <f>(E17-D17)*1440</f>
        <v>11.9333333333333</v>
      </c>
      <c r="G17" s="6" t="n">
        <v>100</v>
      </c>
      <c r="H17" s="6" t="inlineStr">
        <is>
          <t>anonymous</t>
        </is>
      </c>
    </row>
    <row r="18">
      <c r="A18" s="5" t="inlineStr">
        <is>
          <t>MARCELA GUADALUPE CRESPO BENAVIDEZ</t>
        </is>
      </c>
      <c r="B18" s="5" t="inlineStr">
        <is>
          <t xml:space="preserve">SAN MIGUEL </t>
        </is>
      </c>
      <c r="C18" s="4" t="inlineStr">
        <is>
          <t>807</t>
        </is>
      </c>
      <c r="D18" s="23" t="n">
        <v>46296.44934027778</v>
      </c>
      <c r="E18" s="23" t="n">
        <v>46296.45224537037</v>
      </c>
      <c r="F18" s="7">
        <f>(E18-D18)*1440</f>
        <v>4.18333333333333</v>
      </c>
      <c r="G18" s="6" t="n">
        <v>100</v>
      </c>
      <c r="H18" s="6" t="inlineStr">
        <is>
          <t>anonymous</t>
        </is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4" t="inlineStr">
        <is>
          <t>633</t>
        </is>
      </c>
      <c r="D19" s="23" t="n">
        <v>46296.45108796296</v>
      </c>
      <c r="E19" s="23" t="n">
        <v>46296.45368055555</v>
      </c>
      <c r="F19" s="7">
        <f>(E19-D19)*1440</f>
        <v>3.73333333333333</v>
      </c>
      <c r="G19" s="6" t="n">
        <v>100</v>
      </c>
      <c r="H19" s="6" t="inlineStr">
        <is>
          <t>anonymous</t>
        </is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4" t="inlineStr">
        <is>
          <t>545</t>
        </is>
      </c>
      <c r="D20" s="23" t="n">
        <v>46296.44934027778</v>
      </c>
      <c r="E20" s="23" t="n">
        <v>46296.45449074074</v>
      </c>
      <c r="F20" s="7">
        <f>(E20-D20)*1440</f>
        <v>7.41666666666667</v>
      </c>
      <c r="G20" s="6" t="n">
        <v>100</v>
      </c>
      <c r="H20" s="6" t="inlineStr">
        <is>
          <t>anonymous</t>
        </is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4" t="inlineStr">
        <is>
          <t>901</t>
        </is>
      </c>
      <c r="D21" s="23" t="n">
        <v>46296.45403935185</v>
      </c>
      <c r="E21" s="23" t="n">
        <v>46296.45633101852</v>
      </c>
      <c r="F21" s="7">
        <f>(E21-D21)*1440</f>
        <v>3.3</v>
      </c>
      <c r="G21" s="6" t="n">
        <v>100</v>
      </c>
      <c r="H21" s="6" t="inlineStr">
        <is>
          <t>anonymous</t>
        </is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4" t="inlineStr">
        <is>
          <t>777</t>
        </is>
      </c>
      <c r="D22" s="23" t="n">
        <v>46296.45601851852</v>
      </c>
      <c r="E22" s="23" t="n">
        <v>46296.45806712963</v>
      </c>
      <c r="F22" s="7">
        <f>(E22-D22)*1440</f>
        <v>2.95</v>
      </c>
      <c r="G22" s="6" t="n">
        <v>100</v>
      </c>
      <c r="H22" s="6" t="inlineStr">
        <is>
          <t>anonymous</t>
        </is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4" t="inlineStr">
        <is>
          <t>452</t>
        </is>
      </c>
      <c r="D23" s="23" t="n">
        <v>46296.45732638889</v>
      </c>
      <c r="E23" s="23" t="n">
        <v>46296.46072916667</v>
      </c>
      <c r="F23" s="7">
        <f>(E23-D23)*1440</f>
        <v>4.9</v>
      </c>
      <c r="G23" s="6" t="n">
        <v>90</v>
      </c>
      <c r="H23" s="6" t="inlineStr">
        <is>
          <t>anonymous</t>
        </is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4" t="inlineStr">
        <is>
          <t>689</t>
        </is>
      </c>
      <c r="D24" s="23" t="n">
        <v>46296.45379629629</v>
      </c>
      <c r="E24" s="23" t="n">
        <v>46296.46570601852</v>
      </c>
      <c r="F24" s="7">
        <f>(E24-D24)*1440</f>
        <v>17.15</v>
      </c>
      <c r="G24" s="6" t="n">
        <v>100</v>
      </c>
      <c r="H24" s="6" t="inlineStr">
        <is>
          <t>anonymous</t>
        </is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4" t="inlineStr">
        <is>
          <t>360</t>
        </is>
      </c>
      <c r="D25" s="23" t="n">
        <v>46296.47090277778</v>
      </c>
      <c r="E25" s="23" t="n">
        <v>46296.47634259259</v>
      </c>
      <c r="F25" s="7">
        <f>(E25-D25)*1440</f>
        <v>7.83333333333333</v>
      </c>
      <c r="G25" s="6" t="n">
        <v>100</v>
      </c>
      <c r="H25" s="6" t="inlineStr">
        <is>
          <t>anonymous</t>
        </is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4" t="inlineStr">
        <is>
          <t>862</t>
        </is>
      </c>
      <c r="D26" s="23" t="n">
        <v>46296.47011574074</v>
      </c>
      <c r="E26" s="23" t="n">
        <v>46296.47738425926</v>
      </c>
      <c r="F26" s="7">
        <f>(E26-D26)*1440</f>
        <v>10.4666666666667</v>
      </c>
      <c r="G26" s="6" t="n">
        <v>100</v>
      </c>
      <c r="H26" s="6" t="inlineStr">
        <is>
          <t>anonymous</t>
        </is>
      </c>
    </row>
    <row r="27">
      <c r="A27" s="5" t="inlineStr">
        <is>
          <t xml:space="preserve">Fidel Isaías Castellón </t>
        </is>
      </c>
      <c r="B27" s="5" t="inlineStr">
        <is>
          <t xml:space="preserve">Oficialia de cumplimiento </t>
        </is>
      </c>
      <c r="C27" s="4" t="inlineStr">
        <is>
          <t>914</t>
        </is>
      </c>
      <c r="D27" s="23" t="n">
        <v>46296.47130787037</v>
      </c>
      <c r="E27" s="23" t="n">
        <v>46296.47803240741</v>
      </c>
      <c r="F27" s="7">
        <f>(E27-D27)*1440</f>
        <v>9.68333333333333</v>
      </c>
      <c r="G27" s="6" t="n">
        <v>100</v>
      </c>
      <c r="H27" s="6" t="inlineStr">
        <is>
          <t>anonymous</t>
        </is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4" t="inlineStr">
        <is>
          <t>984</t>
        </is>
      </c>
      <c r="D28" s="23" t="n">
        <v>46296.4722337963</v>
      </c>
      <c r="E28" s="23" t="n">
        <v>46296.48002314815</v>
      </c>
      <c r="F28" s="7">
        <f>(E28-D28)*1440</f>
        <v>11.2166666666667</v>
      </c>
      <c r="G28" s="6" t="n">
        <v>100</v>
      </c>
      <c r="H28" s="6" t="inlineStr">
        <is>
          <t>anonymous</t>
        </is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4" t="inlineStr">
        <is>
          <t>860</t>
        </is>
      </c>
      <c r="D29" s="23" t="n">
        <v>46296.47424768518</v>
      </c>
      <c r="E29" s="23" t="n">
        <v>46296.48637731482</v>
      </c>
      <c r="F29" s="7">
        <f>(E29-D29)*1440</f>
        <v>17.4666666666667</v>
      </c>
      <c r="G29" s="6" t="n">
        <v>100</v>
      </c>
      <c r="H29" s="6" t="inlineStr">
        <is>
          <t>anonymous</t>
        </is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4" t="inlineStr">
        <is>
          <t>583</t>
        </is>
      </c>
      <c r="D30" s="23" t="n">
        <v>46296.48392361111</v>
      </c>
      <c r="E30" s="23" t="n">
        <v>46296.48710648148</v>
      </c>
      <c r="F30" s="7">
        <f>(E30-D30)*1440</f>
        <v>4.58333333333333</v>
      </c>
      <c r="G30" s="6" t="n">
        <v>100</v>
      </c>
      <c r="H30" s="6" t="inlineStr">
        <is>
          <t>anonymous</t>
        </is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4" t="inlineStr">
        <is>
          <t>443</t>
        </is>
      </c>
      <c r="D31" s="23" t="n">
        <v>46296.48201388889</v>
      </c>
      <c r="E31" s="23" t="n">
        <v>46296.49148148148</v>
      </c>
      <c r="F31" s="7">
        <f>(E31-D31)*1440</f>
        <v>13.6333333333333</v>
      </c>
      <c r="G31" s="6" t="n">
        <v>100</v>
      </c>
      <c r="H31" s="6" t="inlineStr">
        <is>
          <t>anonymous</t>
        </is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4" t="inlineStr">
        <is>
          <t>200</t>
        </is>
      </c>
      <c r="D32" s="23" t="n">
        <v>46296.48715277778</v>
      </c>
      <c r="E32" s="23" t="n">
        <v>46296.49199074074</v>
      </c>
      <c r="F32" s="7">
        <f>(E32-D32)*1440</f>
        <v>6.96666666666667</v>
      </c>
      <c r="G32" s="6" t="n">
        <v>90</v>
      </c>
      <c r="H32" s="6" t="inlineStr">
        <is>
          <t>anonymous</t>
        </is>
      </c>
    </row>
    <row r="33">
      <c r="A33" s="5" t="inlineStr">
        <is>
          <t xml:space="preserve">Jorge Mateo Gutiérrez Flores </t>
        </is>
      </c>
      <c r="B33" s="5" t="inlineStr">
        <is>
          <t xml:space="preserve">Oficialía de cumplimiento </t>
        </is>
      </c>
      <c r="C33" s="4" t="inlineStr">
        <is>
          <t>985</t>
        </is>
      </c>
      <c r="D33" s="23" t="n">
        <v>46296.48653935185</v>
      </c>
      <c r="E33" s="23" t="n">
        <v>46296.4949537037</v>
      </c>
      <c r="F33" s="7">
        <f>(E33-D33)*1440</f>
        <v>12.1166666666667</v>
      </c>
      <c r="G33" s="6" t="n">
        <v>100</v>
      </c>
      <c r="H33" s="6" t="inlineStr">
        <is>
          <t>anonymous</t>
        </is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4" t="inlineStr">
        <is>
          <t>983</t>
        </is>
      </c>
      <c r="D34" s="23" t="n">
        <v>46296.49111111111</v>
      </c>
      <c r="E34" s="23" t="n">
        <v>46296.49747685185</v>
      </c>
      <c r="F34" s="7">
        <f>(E34-D34)*1440</f>
        <v>9.16666666666667</v>
      </c>
      <c r="G34" s="6" t="n">
        <v>100</v>
      </c>
      <c r="H34" s="6" t="inlineStr">
        <is>
          <t>anonymous</t>
        </is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4" t="inlineStr">
        <is>
          <t>671</t>
        </is>
      </c>
      <c r="D35" s="23" t="n">
        <v>46296.54665509259</v>
      </c>
      <c r="E35" s="23" t="n">
        <v>46296.55247685185</v>
      </c>
      <c r="F35" s="7">
        <f>(E35-D35)*1440</f>
        <v>8.38333333333333</v>
      </c>
      <c r="G35" s="6" t="n">
        <v>70</v>
      </c>
      <c r="H35" s="6" t="inlineStr">
        <is>
          <t>anonymous</t>
        </is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4" t="inlineStr">
        <is>
          <t>632</t>
        </is>
      </c>
      <c r="D36" s="23" t="n">
        <v>46296.56951388889</v>
      </c>
      <c r="E36" s="23" t="n">
        <v>46296.57800925926</v>
      </c>
      <c r="F36" s="7">
        <f>(E36-D36)*1440</f>
        <v>12.2333333333333</v>
      </c>
      <c r="G36" s="6" t="n">
        <v>100</v>
      </c>
      <c r="H36" s="6" t="inlineStr">
        <is>
          <t>anonymous</t>
        </is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4" t="inlineStr">
        <is>
          <t>320</t>
        </is>
      </c>
      <c r="D37" s="23" t="n">
        <v>46296.56962962963</v>
      </c>
      <c r="E37" s="23" t="n">
        <v>46296.59023148148</v>
      </c>
      <c r="F37" s="7">
        <f>(E37-D37)*1440</f>
        <v>29.6666666666667</v>
      </c>
      <c r="G37" s="6" t="n">
        <v>100</v>
      </c>
      <c r="H37" s="6" t="inlineStr">
        <is>
          <t>anonymous</t>
        </is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4" t="inlineStr">
        <is>
          <t>750</t>
        </is>
      </c>
      <c r="D38" s="23" t="n">
        <v>46296.61756944445</v>
      </c>
      <c r="E38" s="23" t="n">
        <v>46296.62321759259</v>
      </c>
      <c r="F38" s="7">
        <f>(E38-D38)*1440</f>
        <v>8.13333333333333</v>
      </c>
      <c r="G38" s="6" t="n">
        <v>100</v>
      </c>
      <c r="H38" s="6" t="inlineStr">
        <is>
          <t>anonymous</t>
        </is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4" t="inlineStr">
        <is>
          <t>784</t>
        </is>
      </c>
      <c r="D39" s="23" t="n">
        <v>46296.61537037037</v>
      </c>
      <c r="E39" s="23" t="n">
        <v>46296.62540509259</v>
      </c>
      <c r="F39" s="7">
        <f>(E39-D39)*1440</f>
        <v>14.45</v>
      </c>
      <c r="G39" s="6" t="n">
        <v>100</v>
      </c>
      <c r="H39" s="6" t="inlineStr">
        <is>
          <t>anonymous</t>
        </is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4" t="inlineStr">
        <is>
          <t>952</t>
        </is>
      </c>
      <c r="D40" s="23" t="n">
        <v>46296.64626157407</v>
      </c>
      <c r="E40" s="23" t="n">
        <v>46296.65724537037</v>
      </c>
      <c r="F40" s="7">
        <f>(E40-D40)*1440</f>
        <v>15.8166666666667</v>
      </c>
      <c r="G40" s="6" t="n">
        <v>100</v>
      </c>
      <c r="H40" s="6" t="inlineStr">
        <is>
          <t>anonymous</t>
        </is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4" t="inlineStr">
        <is>
          <t>239</t>
        </is>
      </c>
      <c r="D41" s="23" t="n">
        <v>46296.64138888889</v>
      </c>
      <c r="E41" s="23" t="n">
        <v>46296.65938657407</v>
      </c>
      <c r="F41" s="7">
        <f>(E41-D41)*1440</f>
        <v>25.9166666666667</v>
      </c>
      <c r="G41" s="6" t="n">
        <v>100</v>
      </c>
      <c r="H41" s="6" t="inlineStr">
        <is>
          <t>anonymous</t>
        </is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4" t="inlineStr">
        <is>
          <t>944</t>
        </is>
      </c>
      <c r="D42" s="23" t="n">
        <v>46296.64094907408</v>
      </c>
      <c r="E42" s="23" t="n">
        <v>46296.67511574074</v>
      </c>
      <c r="F42" s="7">
        <f>(E42-D42)*1440</f>
        <v>49.2</v>
      </c>
      <c r="G42" s="6" t="n">
        <v>75</v>
      </c>
      <c r="H42" s="6" t="inlineStr">
        <is>
          <t>anonymous</t>
        </is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4" t="inlineStr">
        <is>
          <t>865</t>
        </is>
      </c>
      <c r="D43" s="23" t="n">
        <v>46296.6762037037</v>
      </c>
      <c r="E43" s="23" t="n">
        <v>46296.68074074074</v>
      </c>
      <c r="F43" s="7">
        <f>(E43-D43)*1440</f>
        <v>6.53333333333333</v>
      </c>
      <c r="G43" s="6" t="n">
        <v>100</v>
      </c>
      <c r="H43" s="6" t="inlineStr">
        <is>
          <t>anonymous</t>
        </is>
      </c>
    </row>
    <row r="44">
      <c r="A44" s="5" t="inlineStr">
        <is>
          <t>JENNIFER BETSABE MARAVILLA MORENO</t>
        </is>
      </c>
      <c r="B44" s="5" t="inlineStr">
        <is>
          <t xml:space="preserve">DEPARTAMENTO DE SEGUROS </t>
        </is>
      </c>
      <c r="C44" s="4" t="inlineStr">
        <is>
          <t>869</t>
        </is>
      </c>
      <c r="D44" s="23" t="n">
        <v>46296.67916666667</v>
      </c>
      <c r="E44" s="23" t="n">
        <v>46296.68630787037</v>
      </c>
      <c r="F44" s="7">
        <f>(E44-D44)*1440</f>
        <v>10.2833333333333</v>
      </c>
      <c r="G44" s="6" t="n">
        <v>100</v>
      </c>
      <c r="H44" s="6" t="inlineStr">
        <is>
          <t>anonymous</t>
        </is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4" t="inlineStr">
        <is>
          <t>548</t>
        </is>
      </c>
      <c r="D45" s="23" t="n">
        <v>46296.70424768519</v>
      </c>
      <c r="E45" s="23" t="n">
        <v>46296.71155092592</v>
      </c>
      <c r="F45" s="7">
        <f>(E45-D45)*1440</f>
        <v>10.5166666419167</v>
      </c>
      <c r="G45" s="6" t="n">
        <v>100</v>
      </c>
      <c r="H45" s="6" t="inlineStr">
        <is>
          <t>anonymous</t>
        </is>
      </c>
    </row>
    <row r="46">
      <c r="A46" s="5" t="inlineStr">
        <is>
          <t xml:space="preserve">Fatima Elizabeth lemus Rodriguez </t>
        </is>
      </c>
      <c r="B46" s="5" t="inlineStr">
        <is>
          <t xml:space="preserve">Dpto Tarjeta de crédito y débito </t>
        </is>
      </c>
      <c r="C46" s="4" t="inlineStr">
        <is>
          <t>980</t>
        </is>
      </c>
      <c r="D46" s="23" t="n">
        <v>46296.71229166666</v>
      </c>
      <c r="E46" s="23" t="n">
        <v>46296.71346064815</v>
      </c>
      <c r="F46" s="7">
        <f>(E46-D46)*1440</f>
        <v>1.68333333333333</v>
      </c>
      <c r="G46" s="6" t="n">
        <v>100</v>
      </c>
      <c r="H46" s="6" t="inlineStr">
        <is>
          <t>anonymous</t>
        </is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4" t="inlineStr">
        <is>
          <t>373</t>
        </is>
      </c>
      <c r="D47" s="23" t="n">
        <v>46296.82646990741</v>
      </c>
      <c r="E47" s="23" t="n">
        <v>46296.82847222222</v>
      </c>
      <c r="F47" s="7">
        <f>(E47-D47)*1440</f>
        <v>2.88333333333333</v>
      </c>
      <c r="G47" s="6" t="n">
        <v>100</v>
      </c>
      <c r="H47" s="6" t="inlineStr">
        <is>
          <t>anonymous</t>
        </is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4" t="inlineStr">
        <is>
          <t>773</t>
        </is>
      </c>
      <c r="D48" s="23" t="n">
        <v>46297.46885416667</v>
      </c>
      <c r="E48" s="23" t="n">
        <v>46297.47550925926</v>
      </c>
      <c r="F48" s="7">
        <f>(E48-D48)*1440</f>
        <v>9.58333333333333</v>
      </c>
      <c r="G48" s="6" t="n">
        <v>95</v>
      </c>
      <c r="H48" s="6" t="inlineStr">
        <is>
          <t>anonymous</t>
        </is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4" t="inlineStr">
        <is>
          <t>474</t>
        </is>
      </c>
      <c r="D49" s="23" t="n">
        <v>46297.48075231481</v>
      </c>
      <c r="E49" s="23" t="n">
        <v>46297.48825231481</v>
      </c>
      <c r="F49" s="7">
        <f>(E49-D49)*1440</f>
        <v>10.8</v>
      </c>
      <c r="G49" s="6" t="n">
        <v>100</v>
      </c>
      <c r="H49" s="6" t="inlineStr">
        <is>
          <t>anonymous</t>
        </is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4" t="inlineStr">
        <is>
          <t>793</t>
        </is>
      </c>
      <c r="D50" s="23" t="n">
        <v>46297.45885416667</v>
      </c>
      <c r="E50" s="23" t="n">
        <v>46297.49109953704</v>
      </c>
      <c r="F50" s="7">
        <f>(E50-D50)*1440</f>
        <v>46.4333333333333</v>
      </c>
      <c r="G50" s="6" t="n">
        <v>90</v>
      </c>
      <c r="H50" s="6" t="inlineStr">
        <is>
          <t>anonymous</t>
        </is>
      </c>
    </row>
    <row r="51">
      <c r="A51" s="5" t="inlineStr">
        <is>
          <t xml:space="preserve">carla eugenia hernandez de menjivar
</t>
        </is>
      </c>
      <c r="B51" s="5" t="inlineStr">
        <is>
          <t>GERENCIA ADMINISTRATIVA</t>
        </is>
      </c>
      <c r="C51" s="4" t="inlineStr">
        <is>
          <t>349</t>
        </is>
      </c>
      <c r="D51" s="23" t="n">
        <v>46297.63677083333</v>
      </c>
      <c r="E51" s="23" t="n">
        <v>46297.63836805556</v>
      </c>
      <c r="F51" s="7">
        <f>(E51-D51)*1440</f>
        <v>2.3</v>
      </c>
      <c r="G51" s="6" t="n">
        <v>100</v>
      </c>
      <c r="H51" s="6" t="inlineStr">
        <is>
          <t>anonymous</t>
        </is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4" t="inlineStr">
        <is>
          <t>345</t>
        </is>
      </c>
      <c r="D52" s="23" t="n">
        <v>46297.64716435185</v>
      </c>
      <c r="E52" s="23" t="n">
        <v>46297.65186342593</v>
      </c>
      <c r="F52" s="7">
        <f>(E52-D52)*1440</f>
        <v>6.76666666666667</v>
      </c>
      <c r="G52" s="6" t="n">
        <v>90</v>
      </c>
      <c r="H52" s="6" t="inlineStr">
        <is>
          <t>anonymous</t>
        </is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4" t="inlineStr">
        <is>
          <t>492</t>
        </is>
      </c>
      <c r="D53" s="23" t="n">
        <v>46297.65282407407</v>
      </c>
      <c r="E53" s="23" t="n">
        <v>46297.66012731481</v>
      </c>
      <c r="F53" s="7">
        <f>(E53-D53)*1440</f>
        <v>10.5166666666667</v>
      </c>
      <c r="G53" s="6" t="n">
        <v>100</v>
      </c>
      <c r="H53" s="6" t="inlineStr">
        <is>
          <t>anonymous</t>
        </is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4" t="inlineStr">
        <is>
          <t>715</t>
        </is>
      </c>
      <c r="D54" s="23" t="n">
        <v>46297.7059375</v>
      </c>
      <c r="E54" s="23" t="n">
        <v>46297.71334490741</v>
      </c>
      <c r="F54" s="7">
        <f>(E54-D54)*1440</f>
        <v>10.6666666666667</v>
      </c>
      <c r="G54" s="6" t="n">
        <v>85</v>
      </c>
      <c r="H54" s="6" t="inlineStr">
        <is>
          <t>anonymous</t>
        </is>
      </c>
    </row>
    <row r="55">
      <c r="A55" s="5" t="inlineStr">
        <is>
          <t xml:space="preserve">JENNIFFER IVETTE MORALES PEREZ </t>
        </is>
      </c>
      <c r="B55" s="5" t="inlineStr">
        <is>
          <t xml:space="preserve">COLONIA MEDICA </t>
        </is>
      </c>
      <c r="C55" s="4" t="inlineStr">
        <is>
          <t>308</t>
        </is>
      </c>
      <c r="D55" s="23" t="n">
        <v>46297.71155092592</v>
      </c>
      <c r="E55" s="23" t="n">
        <v>46297.71489583333</v>
      </c>
      <c r="F55" s="7">
        <f>(E55-D55)*1440</f>
        <v>4.81666666666667</v>
      </c>
      <c r="G55" s="6" t="n">
        <v>95</v>
      </c>
      <c r="H55" s="6" t="inlineStr">
        <is>
          <t>anonymous</t>
        </is>
      </c>
    </row>
    <row r="56">
      <c r="A56" s="5" t="inlineStr">
        <is>
          <t xml:space="preserve">Xiomara jeannette escobar portillo </t>
        </is>
      </c>
      <c r="B56" s="5" t="inlineStr">
        <is>
          <t xml:space="preserve">Servicios generales </t>
        </is>
      </c>
      <c r="C56" s="4" t="inlineStr">
        <is>
          <t>959</t>
        </is>
      </c>
      <c r="D56" s="23" t="n">
        <v>46297.77194444444</v>
      </c>
      <c r="E56" s="23" t="n">
        <v>46297.78946759259</v>
      </c>
      <c r="F56" s="7">
        <f>(E56-D56)*1440</f>
        <v>25.2333333333333</v>
      </c>
      <c r="G56" s="6" t="n">
        <v>90</v>
      </c>
      <c r="H56" s="6" t="inlineStr">
        <is>
          <t>anonymous</t>
        </is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4" t="inlineStr">
        <is>
          <t>224</t>
        </is>
      </c>
      <c r="D57" s="23" t="n">
        <v>46297.83465277778</v>
      </c>
      <c r="E57" s="23" t="n">
        <v>46297.84905092593</v>
      </c>
      <c r="F57" s="7">
        <f>(E57-D57)*1440</f>
        <v>20.7333333333333</v>
      </c>
      <c r="G57" s="6" t="n">
        <v>80</v>
      </c>
      <c r="H57" s="6" t="inlineStr">
        <is>
          <t>anonymous</t>
        </is>
      </c>
    </row>
    <row r="58">
      <c r="A58" s="5" t="inlineStr">
        <is>
          <t xml:space="preserve">Margarita Guadalupe Henríquez Elias </t>
        </is>
      </c>
      <c r="B58" s="5" t="inlineStr">
        <is>
          <t xml:space="preserve">Servicios vários </t>
        </is>
      </c>
      <c r="C58" s="4" t="inlineStr">
        <is>
          <t>522</t>
        </is>
      </c>
      <c r="D58" s="23" t="n">
        <v>46297.84774305556</v>
      </c>
      <c r="E58" s="23" t="n">
        <v>46297.85355324074</v>
      </c>
      <c r="F58" s="7">
        <f>(E58-D58)*1440</f>
        <v>8.36666666666667</v>
      </c>
      <c r="G58" s="6" t="n">
        <v>85</v>
      </c>
      <c r="H58" s="6" t="inlineStr">
        <is>
          <t>anonymous</t>
        </is>
      </c>
    </row>
    <row r="59">
      <c r="A59" s="5" t="inlineStr">
        <is>
          <t xml:space="preserve">Iliana Carolina Flamenco flores </t>
        </is>
      </c>
      <c r="B59" s="5" t="inlineStr">
        <is>
          <t xml:space="preserve">Servicios generales </t>
        </is>
      </c>
      <c r="C59" s="4" t="inlineStr">
        <is>
          <t>684</t>
        </is>
      </c>
      <c r="D59" s="23" t="n">
        <v>46298.29701388889</v>
      </c>
      <c r="E59" s="23" t="n">
        <v>46298.30020833333</v>
      </c>
      <c r="F59" s="7">
        <f>(E59-D59)*1440</f>
        <v>4.6</v>
      </c>
      <c r="G59" s="6" t="n">
        <v>80</v>
      </c>
      <c r="H59" s="6" t="inlineStr">
        <is>
          <t>anonymous</t>
        </is>
      </c>
    </row>
    <row r="60">
      <c r="A60" s="5" t="inlineStr">
        <is>
          <t>Mario Rosales</t>
        </is>
      </c>
      <c r="B60" s="5" t="inlineStr">
        <is>
          <t>Setvicio general</t>
        </is>
      </c>
      <c r="C60" s="4" t="inlineStr">
        <is>
          <t>430</t>
        </is>
      </c>
      <c r="D60" s="23" t="n">
        <v>46298.33667824074</v>
      </c>
      <c r="E60" s="23" t="n">
        <v>46298.34488425926</v>
      </c>
      <c r="F60" s="7">
        <f>(E60-D60)*1440</f>
        <v>11.8166666666667</v>
      </c>
      <c r="G60" s="6" t="n">
        <v>40</v>
      </c>
      <c r="H60" s="6" t="inlineStr">
        <is>
          <t>anonymous</t>
        </is>
      </c>
    </row>
    <row r="61">
      <c r="A61" s="5" t="inlineStr">
        <is>
          <t xml:space="preserve">Jose.Rosalio.Garcia soto
</t>
        </is>
      </c>
      <c r="B61" s="5" t="inlineStr">
        <is>
          <t>servicios.Generales</t>
        </is>
      </c>
      <c r="C61" s="4" t="inlineStr">
        <is>
          <t>587</t>
        </is>
      </c>
      <c r="D61" s="23" t="n">
        <v>46298.40037037037</v>
      </c>
      <c r="E61" s="23" t="n">
        <v>46298.41559027778</v>
      </c>
      <c r="F61" s="7">
        <f>(E61-D61)*1440</f>
        <v>21.9166666666667</v>
      </c>
      <c r="G61" s="6" t="n">
        <v>90</v>
      </c>
      <c r="H61" s="6" t="inlineStr">
        <is>
          <t>anonymous</t>
        </is>
      </c>
    </row>
    <row r="62">
      <c r="A62" s="5" t="inlineStr">
        <is>
          <t>Belly Emerson Rivera Ascencio</t>
        </is>
      </c>
      <c r="B62" s="5" t="inlineStr">
        <is>
          <t xml:space="preserve">Servicios Generales </t>
        </is>
      </c>
      <c r="C62" s="4" t="inlineStr">
        <is>
          <t>875</t>
        </is>
      </c>
      <c r="D62" s="23" t="n">
        <v>46298.40277777778</v>
      </c>
      <c r="E62" s="23" t="n">
        <v>46298.41583333333</v>
      </c>
      <c r="F62" s="7">
        <f>(E62-D62)*1440</f>
        <v>18.8</v>
      </c>
      <c r="G62" s="6" t="n">
        <v>100</v>
      </c>
      <c r="H62" s="6" t="inlineStr">
        <is>
          <t>anonymous</t>
        </is>
      </c>
    </row>
    <row r="63">
      <c r="A63" s="5" t="inlineStr">
        <is>
          <t xml:space="preserve">Cecilia  Anzora </t>
        </is>
      </c>
      <c r="B63" s="5" t="inlineStr">
        <is>
          <t xml:space="preserve">Servicios generales </t>
        </is>
      </c>
      <c r="C63" s="4" t="inlineStr">
        <is>
          <t>387</t>
        </is>
      </c>
      <c r="D63" s="23" t="n">
        <v>46298.41678240741</v>
      </c>
      <c r="E63" s="23" t="n">
        <v>46298.4184375</v>
      </c>
      <c r="F63" s="7">
        <f>(E63-D63)*1440</f>
        <v>2.38333333333333</v>
      </c>
      <c r="G63" s="6" t="n">
        <v>90</v>
      </c>
      <c r="H63" s="6" t="inlineStr">
        <is>
          <t>anonymous</t>
        </is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4" t="inlineStr">
        <is>
          <t>719</t>
        </is>
      </c>
      <c r="D64" s="23" t="n">
        <v>46298.40983796296</v>
      </c>
      <c r="E64" s="23" t="n">
        <v>46298.41878472222</v>
      </c>
      <c r="F64" s="7">
        <f>(E64-D64)*1440</f>
        <v>12.8833333333333</v>
      </c>
      <c r="G64" s="6" t="n">
        <v>100</v>
      </c>
      <c r="H64" s="6" t="inlineStr">
        <is>
          <t>anonymous</t>
        </is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4" t="inlineStr">
        <is>
          <t>973</t>
        </is>
      </c>
      <c r="D65" s="23" t="n">
        <v>46298.50091435185</v>
      </c>
      <c r="E65" s="23" t="n">
        <v>46298.51430555555</v>
      </c>
      <c r="F65" s="7">
        <f>(E65-D65)*1440</f>
        <v>19.2833333333333</v>
      </c>
      <c r="G65" s="6" t="n">
        <v>100</v>
      </c>
      <c r="H65" s="6" t="inlineStr">
        <is>
          <t>anonymous</t>
        </is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4" t="inlineStr">
        <is>
          <t>733</t>
        </is>
      </c>
      <c r="D66" s="23" t="n">
        <v>46300.30724537037</v>
      </c>
      <c r="E66" s="23" t="n">
        <v>46300.31707175926</v>
      </c>
      <c r="F66" s="7">
        <f>(E66-D66)*1440</f>
        <v>14.15</v>
      </c>
      <c r="G66" s="6" t="n">
        <v>100</v>
      </c>
      <c r="H66" s="6" t="inlineStr">
        <is>
          <t>anonymous</t>
        </is>
      </c>
    </row>
    <row r="67">
      <c r="A67" s="5" t="inlineStr">
        <is>
          <t>CARLOS FRANCISCO HERNANDEZ MUÑOZ</t>
        </is>
      </c>
      <c r="B67" s="5" t="inlineStr">
        <is>
          <t xml:space="preserve">DEPARTAMENTO DE ANALISIS Y PROGRAMACION </t>
        </is>
      </c>
      <c r="C67" s="4" t="inlineStr">
        <is>
          <t>680</t>
        </is>
      </c>
      <c r="D67" s="23" t="n">
        <v>46300.38666666667</v>
      </c>
      <c r="E67" s="23" t="n">
        <v>46300.39171296296</v>
      </c>
      <c r="F67" s="7">
        <f>(E67-D67)*1440</f>
        <v>7.26666666666667</v>
      </c>
      <c r="G67" s="6" t="n">
        <v>100</v>
      </c>
      <c r="H67" s="6" t="inlineStr">
        <is>
          <t>anonymous</t>
        </is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4" t="inlineStr">
        <is>
          <t>830</t>
        </is>
      </c>
      <c r="D68" s="23" t="n">
        <v>46300.39452546297</v>
      </c>
      <c r="E68" s="23" t="n">
        <v>46300.39962962963</v>
      </c>
      <c r="F68" s="7">
        <f>(E68-D68)*1440</f>
        <v>7.35</v>
      </c>
      <c r="G68" s="6" t="n">
        <v>95</v>
      </c>
      <c r="H68" s="6" t="inlineStr">
        <is>
          <t>anonymous</t>
        </is>
      </c>
    </row>
    <row r="69">
      <c r="A69" s="5" t="inlineStr">
        <is>
          <t xml:space="preserve">Mario Rosales
</t>
        </is>
      </c>
      <c r="B69" s="5" t="inlineStr">
        <is>
          <t>Servicio general</t>
        </is>
      </c>
      <c r="C69" s="4" t="inlineStr">
        <is>
          <t>430</t>
        </is>
      </c>
      <c r="D69" s="23" t="n">
        <v>46300.39993055556</v>
      </c>
      <c r="E69" s="23" t="n">
        <v>46300.40560185185</v>
      </c>
      <c r="F69" s="7">
        <f>(E69-D69)*1440</f>
        <v>8.16666666666667</v>
      </c>
      <c r="G69" s="6" t="n">
        <v>100</v>
      </c>
      <c r="H69" s="6" t="inlineStr">
        <is>
          <t>anonymous</t>
        </is>
      </c>
    </row>
    <row r="70">
      <c r="A70" s="5" t="inlineStr">
        <is>
          <t xml:space="preserve">Luis Marcelo Cruz Vigil
</t>
        </is>
      </c>
      <c r="B70" s="5" t="inlineStr">
        <is>
          <t>Sub Gerencia de Canales</t>
        </is>
      </c>
      <c r="C70" s="4" t="inlineStr">
        <is>
          <t>215</t>
        </is>
      </c>
      <c r="D70" s="23" t="n">
        <v>46300.40697916667</v>
      </c>
      <c r="E70" s="23" t="n">
        <v>46300.41096064815</v>
      </c>
      <c r="F70" s="7">
        <f>(E70-D70)*1440</f>
        <v>5.73333333333333</v>
      </c>
      <c r="G70" s="6" t="n">
        <v>100</v>
      </c>
      <c r="H70" s="6" t="inlineStr">
        <is>
          <t>anonymous</t>
        </is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4" t="inlineStr">
        <is>
          <t>281</t>
        </is>
      </c>
      <c r="D71" s="23" t="n">
        <v>46300.46083333333</v>
      </c>
      <c r="E71" s="23" t="n">
        <v>46300.48065972222</v>
      </c>
      <c r="F71" s="7">
        <f>(E71-D71)*1440</f>
        <v>28.55</v>
      </c>
      <c r="G71" s="6" t="n">
        <v>100</v>
      </c>
      <c r="H71" s="6" t="inlineStr">
        <is>
          <t>anonymous</t>
        </is>
      </c>
    </row>
    <row r="72">
      <c r="A72" s="5" t="inlineStr">
        <is>
          <t xml:space="preserve">Jonathan Enrique Aquino Sánchez </t>
        </is>
      </c>
      <c r="B72" s="5" t="inlineStr">
        <is>
          <t xml:space="preserve">Servicios Generales </t>
        </is>
      </c>
      <c r="C72" s="4" t="inlineStr">
        <is>
          <t>852</t>
        </is>
      </c>
      <c r="D72" s="23" t="n">
        <v>46300.52502314815</v>
      </c>
      <c r="E72" s="23" t="n">
        <v>46300.53921296296</v>
      </c>
      <c r="F72" s="7">
        <f>(E72-D72)*1440</f>
        <v>20.4333333333333</v>
      </c>
      <c r="G72" s="6" t="n">
        <v>90</v>
      </c>
      <c r="H72" s="6" t="inlineStr">
        <is>
          <t>anonymous</t>
        </is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4" t="inlineStr">
        <is>
          <t>880</t>
        </is>
      </c>
      <c r="D73" s="23" t="n">
        <v>46300.57717592592</v>
      </c>
      <c r="E73" s="23" t="n">
        <v>46300.5841087963</v>
      </c>
      <c r="F73" s="7">
        <f>(E73-D73)*1440</f>
        <v>9.98333333333333</v>
      </c>
      <c r="G73" s="6" t="n">
        <v>100</v>
      </c>
      <c r="H73" s="6" t="inlineStr">
        <is>
          <t>anonymous</t>
        </is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4" t="inlineStr">
        <is>
          <t>883</t>
        </is>
      </c>
      <c r="D74" s="23" t="n">
        <v>46300.58234953704</v>
      </c>
      <c r="E74" s="23" t="n">
        <v>46300.58474537037</v>
      </c>
      <c r="F74" s="7">
        <f>(E74-D74)*1440</f>
        <v>3.45</v>
      </c>
      <c r="G74" s="6" t="n">
        <v>95</v>
      </c>
      <c r="H74" s="6" t="inlineStr">
        <is>
          <t>anonymous</t>
        </is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4" t="inlineStr">
        <is>
          <t>221</t>
        </is>
      </c>
      <c r="D75" s="23" t="n">
        <v>46300.58730324074</v>
      </c>
      <c r="E75" s="23" t="n">
        <v>46300.58950231481</v>
      </c>
      <c r="F75" s="7">
        <f>(E75-D75)*1440</f>
        <v>3.16666666666667</v>
      </c>
      <c r="G75" s="6" t="n">
        <v>100</v>
      </c>
      <c r="H75" s="6" t="inlineStr">
        <is>
          <t>anonymous</t>
        </is>
      </c>
    </row>
    <row r="76">
      <c r="A76" s="5" t="inlineStr">
        <is>
          <t xml:space="preserve">Andres vladimir luna guevara </t>
        </is>
      </c>
      <c r="B76" s="5" t="inlineStr">
        <is>
          <t xml:space="preserve">Servicios generales </t>
        </is>
      </c>
      <c r="C76" s="4" t="inlineStr">
        <is>
          <t>926</t>
        </is>
      </c>
      <c r="D76" s="23" t="n">
        <v>46300.60138888889</v>
      </c>
      <c r="E76" s="23" t="n">
        <v>46300.60789351852</v>
      </c>
      <c r="F76" s="7">
        <f>(E76-D76)*1440</f>
        <v>9.36666666666667</v>
      </c>
      <c r="G76" s="6" t="n">
        <v>90</v>
      </c>
      <c r="H76" s="6" t="inlineStr">
        <is>
          <t>anonymous</t>
        </is>
      </c>
    </row>
    <row r="77">
      <c r="A77" s="5" t="inlineStr">
        <is>
          <t>Gabriela Lourdes Arévalo Sánchez</t>
        </is>
      </c>
      <c r="B77" s="5" t="inlineStr">
        <is>
          <t xml:space="preserve">Departamento Legal </t>
        </is>
      </c>
      <c r="C77" s="4" t="inlineStr">
        <is>
          <t>929</t>
        </is>
      </c>
      <c r="D77" s="23" t="n">
        <v>46300.62287037037</v>
      </c>
      <c r="E77" s="23" t="n">
        <v>46300.6284837963</v>
      </c>
      <c r="F77" s="7">
        <f>(E77-D77)*1440</f>
        <v>8.08333333333333</v>
      </c>
      <c r="G77" s="6" t="n">
        <v>90</v>
      </c>
      <c r="H77" s="6" t="inlineStr">
        <is>
          <t>anonymous</t>
        </is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4" t="inlineStr">
        <is>
          <t>433</t>
        </is>
      </c>
      <c r="D78" s="23" t="n">
        <v>46300.6215162037</v>
      </c>
      <c r="E78" s="23" t="n">
        <v>46300.6309837963</v>
      </c>
      <c r="F78" s="7">
        <f>(E78-D78)*1440</f>
        <v>13.6333333333333</v>
      </c>
      <c r="G78" s="6" t="n">
        <v>100</v>
      </c>
      <c r="H78" s="6" t="inlineStr">
        <is>
          <t>anonymous</t>
        </is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4" t="inlineStr">
        <is>
          <t>259</t>
        </is>
      </c>
      <c r="D79" s="23" t="n">
        <v>46300.63085648148</v>
      </c>
      <c r="E79" s="23" t="n">
        <v>46300.63810185185</v>
      </c>
      <c r="F79" s="7">
        <f>(E79-D79)*1440</f>
        <v>10.4333333333333</v>
      </c>
      <c r="G79" s="6" t="n">
        <v>100</v>
      </c>
      <c r="H79" s="6" t="inlineStr">
        <is>
          <t>anonymous</t>
        </is>
      </c>
    </row>
    <row r="80">
      <c r="A80" s="5" t="inlineStr">
        <is>
          <t>CLAUDIA MARIA GIMENEZ PEREZ</t>
        </is>
      </c>
      <c r="B80" s="5" t="inlineStr">
        <is>
          <t xml:space="preserve">CONSEJO DE ADMINISTRACION </t>
        </is>
      </c>
      <c r="C80" s="4" t="inlineStr">
        <is>
          <t>53</t>
        </is>
      </c>
      <c r="D80" s="23" t="n">
        <v>46300.65247685185</v>
      </c>
      <c r="E80" s="23" t="n">
        <v>46300.65800925926</v>
      </c>
      <c r="F80" s="7">
        <f>(E80-D80)*1440</f>
        <v>7.96666666666667</v>
      </c>
      <c r="G80" s="6" t="n">
        <v>90</v>
      </c>
      <c r="H80" s="6" t="inlineStr">
        <is>
          <t>anonymous</t>
        </is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4" t="inlineStr">
        <is>
          <t>222</t>
        </is>
      </c>
      <c r="D81" s="23" t="n">
        <v>46300.65453703704</v>
      </c>
      <c r="E81" s="23" t="n">
        <v>46300.66567129629</v>
      </c>
      <c r="F81" s="7">
        <f>(E81-D81)*1440</f>
        <v>16.0333333333333</v>
      </c>
      <c r="G81" s="6" t="n">
        <v>100</v>
      </c>
      <c r="H81" s="6" t="inlineStr">
        <is>
          <t>anonymous</t>
        </is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4" t="inlineStr">
        <is>
          <t>728</t>
        </is>
      </c>
      <c r="D82" s="23" t="n">
        <v>46300.67056712963</v>
      </c>
      <c r="E82" s="23" t="n">
        <v>46300.68400462963</v>
      </c>
      <c r="F82" s="7">
        <f>(E82-D82)*1440</f>
        <v>19.35</v>
      </c>
      <c r="G82" s="6" t="n">
        <v>100</v>
      </c>
      <c r="H82" s="6" t="inlineStr">
        <is>
          <t>anonymous</t>
        </is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4" t="inlineStr">
        <is>
          <t>801</t>
        </is>
      </c>
      <c r="D83" s="23" t="n">
        <v>46300.68642361111</v>
      </c>
      <c r="E83" s="23" t="n">
        <v>46300.68836805555</v>
      </c>
      <c r="F83" s="7">
        <f>(E83-D83)*1440</f>
        <v>2.8</v>
      </c>
      <c r="G83" s="6" t="n">
        <v>100</v>
      </c>
      <c r="H83" s="6" t="inlineStr">
        <is>
          <t>anonymous</t>
        </is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4" t="inlineStr">
        <is>
          <t>409</t>
        </is>
      </c>
      <c r="D84" s="23" t="n">
        <v>46300.68533564815</v>
      </c>
      <c r="E84" s="23" t="n">
        <v>46300.69601851852</v>
      </c>
      <c r="F84" s="7">
        <f>(E84-D84)*1440</f>
        <v>15.3833333333333</v>
      </c>
      <c r="G84" s="6" t="n">
        <v>95</v>
      </c>
      <c r="H84" s="6" t="inlineStr">
        <is>
          <t>anonymous</t>
        </is>
      </c>
    </row>
    <row r="85">
      <c r="A85" s="5" t="inlineStr">
        <is>
          <t xml:space="preserve">Christian George Figueroa Blanco </t>
        </is>
      </c>
      <c r="B85" s="5" t="inlineStr">
        <is>
          <t xml:space="preserve">Servicio generales </t>
        </is>
      </c>
      <c r="C85" s="4" t="inlineStr">
        <is>
          <t>803</t>
        </is>
      </c>
      <c r="D85" s="23" t="n">
        <v>46300.70214120371</v>
      </c>
      <c r="E85" s="23" t="n">
        <v>46300.70883101852</v>
      </c>
      <c r="F85" s="7">
        <f>(E85-D85)*1440</f>
        <v>9.63333333333333</v>
      </c>
      <c r="G85" s="6" t="n">
        <v>60</v>
      </c>
      <c r="H85" s="6" t="inlineStr">
        <is>
          <t>anonymous</t>
        </is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4" t="inlineStr">
        <is>
          <t>599</t>
        </is>
      </c>
      <c r="D86" s="23" t="n">
        <v>46300.7419212963</v>
      </c>
      <c r="E86" s="23" t="n">
        <v>46300.74870370371</v>
      </c>
      <c r="F86" s="7">
        <f>(E86-D86)*1440</f>
        <v>9.76666666666667</v>
      </c>
      <c r="G86" s="6" t="n">
        <v>100</v>
      </c>
      <c r="H86" s="6" t="inlineStr">
        <is>
          <t>anonymous</t>
        </is>
      </c>
    </row>
    <row r="87">
      <c r="A87" s="5" t="inlineStr">
        <is>
          <t>Leonel Edgardo Salazar Ramirez</t>
        </is>
      </c>
      <c r="B87" s="5" t="inlineStr">
        <is>
          <t xml:space="preserve">Agencia central, departamento de servicios generales </t>
        </is>
      </c>
      <c r="C87" s="4" t="inlineStr">
        <is>
          <t>55</t>
        </is>
      </c>
      <c r="D87" s="23" t="n">
        <v>46300.80671296296</v>
      </c>
      <c r="E87" s="23" t="n">
        <v>46300.81421296296</v>
      </c>
      <c r="F87" s="7">
        <f>(E87-D87)*1440</f>
        <v>10.8</v>
      </c>
      <c r="G87" s="6" t="n">
        <v>90</v>
      </c>
      <c r="H87" s="6" t="inlineStr">
        <is>
          <t>anonymous</t>
        </is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4" t="inlineStr">
        <is>
          <t>903</t>
        </is>
      </c>
      <c r="D88" s="23" t="n">
        <v>46301.42581018519</v>
      </c>
      <c r="E88" s="23" t="n">
        <v>46301.43233796296</v>
      </c>
      <c r="F88" s="7">
        <f>(E88-D88)*1440</f>
        <v>9.4</v>
      </c>
      <c r="G88" s="6" t="n">
        <v>100</v>
      </c>
      <c r="H88" s="6" t="inlineStr">
        <is>
          <t>anonymous</t>
        </is>
      </c>
    </row>
    <row r="89">
      <c r="A89" s="5" t="inlineStr">
        <is>
          <t>Adolfo Molina</t>
        </is>
      </c>
      <c r="B89" s="5" t="inlineStr">
        <is>
          <t>Soporte Técnico</t>
        </is>
      </c>
      <c r="C89" s="4" t="inlineStr">
        <is>
          <t>490</t>
        </is>
      </c>
      <c r="D89" s="23" t="n">
        <v>46301.4247337963</v>
      </c>
      <c r="E89" s="23" t="n">
        <v>46301.43652777778</v>
      </c>
      <c r="F89" s="7">
        <f>(E89-D89)*1440</f>
        <v>16.9833333333333</v>
      </c>
      <c r="G89" s="6" t="n">
        <v>100</v>
      </c>
      <c r="H89" s="6" t="inlineStr">
        <is>
          <t>anonymous</t>
        </is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4" t="inlineStr">
        <is>
          <t>872</t>
        </is>
      </c>
      <c r="D90" s="23" t="n">
        <v>46301.43630787037</v>
      </c>
      <c r="E90" s="23" t="n">
        <v>46301.43873842592</v>
      </c>
      <c r="F90" s="7">
        <f>(E90-D90)*1440</f>
        <v>3.5</v>
      </c>
      <c r="G90" s="6" t="n">
        <v>100</v>
      </c>
      <c r="H90" s="6" t="inlineStr">
        <is>
          <t>anonymous</t>
        </is>
      </c>
    </row>
    <row r="91">
      <c r="A91" s="5" t="inlineStr">
        <is>
          <t xml:space="preserve">Wanda Moreno </t>
        </is>
      </c>
      <c r="B91" s="5" t="inlineStr">
        <is>
          <t xml:space="preserve">Gerencia de negocio </t>
        </is>
      </c>
      <c r="C91" s="4" t="inlineStr">
        <is>
          <t>782</t>
        </is>
      </c>
      <c r="D91" s="23" t="n">
        <v>46301.42778935185</v>
      </c>
      <c r="E91" s="23" t="n">
        <v>46301.44030092593</v>
      </c>
      <c r="F91" s="7">
        <f>(E91-D91)*1440</f>
        <v>18.0166666666667</v>
      </c>
      <c r="G91" s="6" t="n">
        <v>100</v>
      </c>
      <c r="H91" s="6" t="inlineStr">
        <is>
          <t>anonymous</t>
        </is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4" t="inlineStr">
        <is>
          <t>166</t>
        </is>
      </c>
      <c r="D92" s="23" t="n">
        <v>46301.48449074074</v>
      </c>
      <c r="E92" s="23" t="n">
        <v>46301.4892824074</v>
      </c>
      <c r="F92" s="7">
        <f>(E92-D92)*1440</f>
        <v>6.9</v>
      </c>
      <c r="G92" s="6" t="n">
        <v>100</v>
      </c>
      <c r="H92" s="6" t="inlineStr">
        <is>
          <t>anonymous</t>
        </is>
      </c>
    </row>
    <row r="93">
      <c r="A93" s="5" t="inlineStr">
        <is>
          <t xml:space="preserve">Luciano de Jesús Saravia Beltrán </t>
        </is>
      </c>
      <c r="B93" s="5" t="inlineStr">
        <is>
          <t xml:space="preserve">Agencia usulutan </t>
        </is>
      </c>
      <c r="C93" s="4" t="inlineStr">
        <is>
          <t>456</t>
        </is>
      </c>
      <c r="D93" s="23" t="n">
        <v>46301.48697916666</v>
      </c>
      <c r="E93" s="23" t="n">
        <v>46301.49184027778</v>
      </c>
      <c r="F93" s="7">
        <f>(E93-D93)*1440</f>
        <v>7</v>
      </c>
      <c r="G93" s="6" t="n">
        <v>80</v>
      </c>
      <c r="H93" s="6" t="inlineStr">
        <is>
          <t>anonymous</t>
        </is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4" t="inlineStr">
        <is>
          <t>456</t>
        </is>
      </c>
      <c r="D94" s="23" t="n">
        <v>46301.5078587963</v>
      </c>
      <c r="E94" s="23" t="n">
        <v>46301.51369212963</v>
      </c>
      <c r="F94" s="7">
        <f>(E94-D94)*1440</f>
        <v>8.4</v>
      </c>
      <c r="G94" s="6" t="n">
        <v>100</v>
      </c>
      <c r="H94" s="6" t="inlineStr">
        <is>
          <t>anonymous</t>
        </is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4" t="inlineStr">
        <is>
          <t>982</t>
        </is>
      </c>
      <c r="D95" s="23" t="n">
        <v>46301.61615740741</v>
      </c>
      <c r="E95" s="23" t="n">
        <v>46301.64126157408</v>
      </c>
      <c r="F95" s="7">
        <f>(E95-D95)*1440</f>
        <v>36.15</v>
      </c>
      <c r="G95" s="6" t="n">
        <v>100</v>
      </c>
      <c r="H95" s="6" t="inlineStr">
        <is>
          <t>anonymous</t>
        </is>
      </c>
    </row>
    <row r="96">
      <c r="A96" s="5" t="inlineStr">
        <is>
          <t>STEPHANIE CAROLINA MALDONADO FLORES</t>
        </is>
      </c>
      <c r="B96" s="5" t="inlineStr">
        <is>
          <t xml:space="preserve">EDUCACION Y RESPONSABILIDAD SOCIAL </t>
        </is>
      </c>
      <c r="C96" s="4" t="inlineStr">
        <is>
          <t>853</t>
        </is>
      </c>
      <c r="D96" s="23" t="n">
        <v>46301.62170138889</v>
      </c>
      <c r="E96" s="23" t="n">
        <v>46301.64635416667</v>
      </c>
      <c r="F96" s="7">
        <f>(E96-D96)*1440</f>
        <v>35.5</v>
      </c>
      <c r="G96" s="6" t="n">
        <v>100</v>
      </c>
      <c r="H96" s="6" t="inlineStr">
        <is>
          <t>anonymous</t>
        </is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4" t="inlineStr">
        <is>
          <t>780</t>
        </is>
      </c>
      <c r="D97" s="23" t="n">
        <v>46301.65331018518</v>
      </c>
      <c r="E97" s="23" t="n">
        <v>46301.65928240741</v>
      </c>
      <c r="F97" s="7">
        <f>(E97-D97)*1440</f>
        <v>8.6</v>
      </c>
      <c r="G97" s="6" t="n">
        <v>100</v>
      </c>
      <c r="H97" s="6" t="inlineStr">
        <is>
          <t>anonymous</t>
        </is>
      </c>
    </row>
    <row r="98">
      <c r="A98" s="5" t="inlineStr">
        <is>
          <t xml:space="preserve">Clelia Lizeth Ortiz Galdamez </t>
        </is>
      </c>
      <c r="B98" s="5" t="inlineStr">
        <is>
          <t xml:space="preserve">Seguros </t>
        </is>
      </c>
      <c r="C98" s="4" t="inlineStr">
        <is>
          <t>589</t>
        </is>
      </c>
      <c r="D98" s="23" t="n">
        <v>46301.67337962963</v>
      </c>
      <c r="E98" s="23" t="n">
        <v>46301.68011574074</v>
      </c>
      <c r="F98" s="7">
        <f>(E98-D98)*1440</f>
        <v>9.7</v>
      </c>
      <c r="G98" s="6" t="n">
        <v>90</v>
      </c>
      <c r="H98" s="6" t="inlineStr">
        <is>
          <t>anonymous</t>
        </is>
      </c>
    </row>
    <row r="99">
      <c r="A99" s="5" t="inlineStr">
        <is>
          <t xml:space="preserve">juan jose lopez alfaro
</t>
        </is>
      </c>
      <c r="B99" s="5" t="inlineStr">
        <is>
          <t>Operaciones y soporte tecnico</t>
        </is>
      </c>
      <c r="C99" s="4" t="inlineStr">
        <is>
          <t>119</t>
        </is>
      </c>
      <c r="D99" s="23" t="n">
        <v>46302.42083333333</v>
      </c>
      <c r="E99" s="23" t="n">
        <v>46302.4418287037</v>
      </c>
      <c r="F99" s="7">
        <f>(E99-D99)*1440</f>
        <v>30.2333333333333</v>
      </c>
      <c r="G99" s="6" t="n">
        <v>100</v>
      </c>
      <c r="H99" s="6" t="inlineStr">
        <is>
          <t>anonymous</t>
        </is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4" t="inlineStr">
        <is>
          <t>585</t>
        </is>
      </c>
      <c r="D100" s="23" t="n">
        <v>46302.46341435185</v>
      </c>
      <c r="E100" s="23" t="n">
        <v>46302.47909722223</v>
      </c>
      <c r="F100" s="7">
        <f>(E100-D100)*1440</f>
        <v>22.5833333528</v>
      </c>
      <c r="G100" s="6" t="n">
        <v>100</v>
      </c>
      <c r="H100" s="6" t="inlineStr">
        <is>
          <t>anonymous</t>
        </is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4" t="inlineStr">
        <is>
          <t>960</t>
        </is>
      </c>
      <c r="D101" s="23" t="n">
        <v>46302.46998842592</v>
      </c>
      <c r="E101" s="23" t="n">
        <v>46302.48327546296</v>
      </c>
      <c r="F101" s="7">
        <f>(E101-D101)*1440</f>
        <v>19.1333333333333</v>
      </c>
      <c r="G101" s="6" t="n">
        <v>100</v>
      </c>
      <c r="H101" s="6" t="inlineStr">
        <is>
          <t>anonymous</t>
        </is>
      </c>
    </row>
    <row r="102">
      <c r="A102" s="5" t="inlineStr">
        <is>
          <t>DAYANA ABIGAIL CHAVEZ DE CORDOVA</t>
        </is>
      </c>
      <c r="B102" s="5" t="inlineStr">
        <is>
          <t xml:space="preserve">DEPARTAMENTO DE CREDITOS </t>
        </is>
      </c>
      <c r="C102" s="4" t="inlineStr">
        <is>
          <t>837</t>
        </is>
      </c>
      <c r="D102" s="23" t="n">
        <v>46302.47519675926</v>
      </c>
      <c r="E102" s="23" t="n">
        <v>46302.48523148148</v>
      </c>
      <c r="F102" s="7">
        <f>(E102-D102)*1440</f>
        <v>14.45</v>
      </c>
      <c r="G102" s="6" t="n">
        <v>100</v>
      </c>
      <c r="H102" s="6" t="inlineStr">
        <is>
          <t>anonymous</t>
        </is>
      </c>
    </row>
    <row r="103">
      <c r="A103" s="5" t="inlineStr">
        <is>
          <t xml:space="preserve">Jenniffer Mireya Ayala Zepeda </t>
        </is>
      </c>
      <c r="B103" s="5" t="inlineStr">
        <is>
          <t xml:space="preserve">Agencia Merliot </t>
        </is>
      </c>
      <c r="C103" s="4" t="inlineStr">
        <is>
          <t>700</t>
        </is>
      </c>
      <c r="D103" s="23" t="n">
        <v>46302.55385416667</v>
      </c>
      <c r="E103" s="23" t="n">
        <v>46302.56188657408</v>
      </c>
      <c r="F103" s="7">
        <f>(E103-D103)*1440</f>
        <v>11.5666666666667</v>
      </c>
      <c r="G103" s="6" t="n">
        <v>100</v>
      </c>
      <c r="H103" s="6" t="inlineStr">
        <is>
          <t>anonymous</t>
        </is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4" t="inlineStr">
        <is>
          <t>922</t>
        </is>
      </c>
      <c r="D104" s="23" t="n">
        <v>46302.57461805556</v>
      </c>
      <c r="E104" s="23" t="n">
        <v>46302.57753472222</v>
      </c>
      <c r="F104" s="7">
        <f>(E104-D104)*1440</f>
        <v>4.2</v>
      </c>
      <c r="G104" s="6" t="n">
        <v>100</v>
      </c>
      <c r="H104" s="6" t="inlineStr">
        <is>
          <t>anonymous</t>
        </is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4" t="inlineStr">
        <is>
          <t>827</t>
        </is>
      </c>
      <c r="D105" s="23" t="n">
        <v>46302.5837962963</v>
      </c>
      <c r="E105" s="23" t="n">
        <v>46302.58609953704</v>
      </c>
      <c r="F105" s="7">
        <f>(E105-D105)*1440</f>
        <v>3.31666666666667</v>
      </c>
      <c r="G105" s="6" t="n">
        <v>100</v>
      </c>
      <c r="H105" s="6" t="inlineStr">
        <is>
          <t>anonymous</t>
        </is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4" t="inlineStr">
        <is>
          <t>967</t>
        </is>
      </c>
      <c r="D106" s="23" t="n">
        <v>46302.58623842592</v>
      </c>
      <c r="E106" s="23" t="n">
        <v>46302.58998842593</v>
      </c>
      <c r="F106" s="7">
        <f>(E106-D106)*1440</f>
        <v>5.4</v>
      </c>
      <c r="G106" s="6" t="n">
        <v>100</v>
      </c>
      <c r="H106" s="6" t="inlineStr">
        <is>
          <t>anonymous</t>
        </is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4" t="inlineStr">
        <is>
          <t>976</t>
        </is>
      </c>
      <c r="D107" s="23" t="n">
        <v>46302.59699074074</v>
      </c>
      <c r="E107" s="23" t="n">
        <v>46302.59866898148</v>
      </c>
      <c r="F107" s="7">
        <f>(E107-D107)*1440</f>
        <v>2.41666666666667</v>
      </c>
      <c r="G107" s="6" t="n">
        <v>100</v>
      </c>
      <c r="H107" s="6" t="inlineStr">
        <is>
          <t>anonymous</t>
        </is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4" t="inlineStr">
        <is>
          <t>953</t>
        </is>
      </c>
      <c r="D108" s="23" t="n">
        <v>46302.62548611111</v>
      </c>
      <c r="E108" s="23" t="n">
        <v>46302.62670138889</v>
      </c>
      <c r="F108" s="7">
        <f>(E108-D108)*1440</f>
        <v>1.75</v>
      </c>
      <c r="G108" s="6" t="n">
        <v>100</v>
      </c>
      <c r="H108" s="6" t="inlineStr">
        <is>
          <t>anonymous</t>
        </is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4" t="inlineStr">
        <is>
          <t>412</t>
        </is>
      </c>
      <c r="D109" s="23" t="n">
        <v>46302.48877314815</v>
      </c>
      <c r="E109" s="23" t="n">
        <v>46302.63581018519</v>
      </c>
      <c r="F109" s="7">
        <f>(E109-D109)*1440</f>
        <v>211.733333333333</v>
      </c>
      <c r="G109" s="6" t="n">
        <v>100</v>
      </c>
      <c r="H109" s="6" t="inlineStr">
        <is>
          <t>anonymous</t>
        </is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4" t="inlineStr">
        <is>
          <t>936</t>
        </is>
      </c>
      <c r="D110" s="23" t="n">
        <v>46302.63322916667</v>
      </c>
      <c r="E110" s="23" t="n">
        <v>46302.63703703704</v>
      </c>
      <c r="F110" s="7">
        <f>(E110-D110)*1440</f>
        <v>5.48333333333333</v>
      </c>
      <c r="G110" s="6" t="n">
        <v>100</v>
      </c>
      <c r="H110" s="6" t="inlineStr">
        <is>
          <t>anonymous</t>
        </is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4" t="inlineStr">
        <is>
          <t>89</t>
        </is>
      </c>
      <c r="D111" s="23" t="n">
        <v>46302.64388888889</v>
      </c>
      <c r="E111" s="23" t="n">
        <v>46302.64712962963</v>
      </c>
      <c r="F111" s="7">
        <f>(E111-D111)*1440</f>
        <v>4.66666666666667</v>
      </c>
      <c r="G111" s="6" t="n">
        <v>100</v>
      </c>
      <c r="H111" s="6" t="inlineStr">
        <is>
          <t>anonymous</t>
        </is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4" t="inlineStr">
        <is>
          <t>542</t>
        </is>
      </c>
      <c r="D112" s="23" t="n">
        <v>46302.63820601852</v>
      </c>
      <c r="E112" s="23" t="n">
        <v>46302.67400462963</v>
      </c>
      <c r="F112" s="7">
        <f>(E112-D112)*1440</f>
        <v>51.55</v>
      </c>
      <c r="G112" s="6" t="n">
        <v>95</v>
      </c>
      <c r="H112" s="6" t="inlineStr">
        <is>
          <t>anonymous</t>
        </is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4" t="inlineStr">
        <is>
          <t>343</t>
        </is>
      </c>
      <c r="D113" s="23" t="n">
        <v>46302.70020833334</v>
      </c>
      <c r="E113" s="23" t="n">
        <v>46302.70259259259</v>
      </c>
      <c r="F113" s="7">
        <f>(E113-D113)*1440</f>
        <v>3.43333333333333</v>
      </c>
      <c r="G113" s="6" t="n">
        <v>100</v>
      </c>
      <c r="H113" s="6" t="inlineStr">
        <is>
          <t>anonymous</t>
        </is>
      </c>
    </row>
    <row r="114">
      <c r="A114" s="5" t="inlineStr">
        <is>
          <t xml:space="preserve">GLADYS LISETH HERNANDEZ CRUZ </t>
        </is>
      </c>
      <c r="B114" s="5" t="inlineStr">
        <is>
          <t>AGENCIA MERLIOT</t>
        </is>
      </c>
      <c r="C114" s="4" t="inlineStr">
        <is>
          <t>909</t>
        </is>
      </c>
      <c r="D114" s="23" t="n">
        <v>46302.70101851852</v>
      </c>
      <c r="E114" s="23" t="n">
        <v>46302.70457175926</v>
      </c>
      <c r="F114" s="7">
        <f>(E114-D114)*1440</f>
        <v>5.11666666666667</v>
      </c>
      <c r="G114" s="6" t="n">
        <v>100</v>
      </c>
      <c r="H114" s="6" t="inlineStr">
        <is>
          <t>anonymous</t>
        </is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4" t="inlineStr">
        <is>
          <t>892</t>
        </is>
      </c>
      <c r="D115" s="23" t="n">
        <v>46303.38890046296</v>
      </c>
      <c r="E115" s="23" t="n">
        <v>46303.39013888889</v>
      </c>
      <c r="F115" s="7">
        <f>(E115-D115)*1440</f>
        <v>1.78333333333333</v>
      </c>
      <c r="G115" s="6" t="n">
        <v>100</v>
      </c>
      <c r="H115" s="6" t="inlineStr">
        <is>
          <t>anonymous</t>
        </is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4" t="inlineStr">
        <is>
          <t>159</t>
        </is>
      </c>
      <c r="D116" s="23" t="n">
        <v>46303.39310185185</v>
      </c>
      <c r="E116" s="23" t="n">
        <v>46303.39640046296</v>
      </c>
      <c r="F116" s="7">
        <f>(E116-D116)*1440</f>
        <v>4.75</v>
      </c>
      <c r="G116" s="6" t="n">
        <v>100</v>
      </c>
      <c r="H116" s="6" t="inlineStr">
        <is>
          <t>anonymous</t>
        </is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4" t="inlineStr">
        <is>
          <t>757</t>
        </is>
      </c>
      <c r="D117" s="23" t="n">
        <v>46303.44171296297</v>
      </c>
      <c r="E117" s="23" t="n">
        <v>46303.44346064814</v>
      </c>
      <c r="F117" s="7">
        <f>(E117-D117)*1440</f>
        <v>2.5166666368</v>
      </c>
      <c r="G117" s="6" t="n">
        <v>100</v>
      </c>
      <c r="H117" s="6" t="inlineStr">
        <is>
          <t>anonymous</t>
        </is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4" t="inlineStr">
        <is>
          <t>912</t>
        </is>
      </c>
      <c r="D118" s="23" t="n">
        <v>46303.45423611111</v>
      </c>
      <c r="E118" s="23" t="n">
        <v>46303.45730324074</v>
      </c>
      <c r="F118" s="7">
        <f>(E118-D118)*1440</f>
        <v>4.41666666666667</v>
      </c>
      <c r="G118" s="6" t="n">
        <v>100</v>
      </c>
      <c r="H118" s="6" t="inlineStr">
        <is>
          <t>anonymous</t>
        </is>
      </c>
    </row>
    <row r="119">
      <c r="A119" s="5" t="inlineStr">
        <is>
          <t xml:space="preserve">NURIA LISSETH AGUILAR AGUILAR </t>
        </is>
      </c>
      <c r="B119" s="5" t="inlineStr">
        <is>
          <t xml:space="preserve">AGENCIA MERLIOT </t>
        </is>
      </c>
      <c r="C119" s="4" t="inlineStr">
        <is>
          <t>251</t>
        </is>
      </c>
      <c r="D119" s="23" t="n">
        <v>46303.45815972222</v>
      </c>
      <c r="E119" s="23" t="n">
        <v>46303.46199074074</v>
      </c>
      <c r="F119" s="7">
        <f>(E119-D119)*1440</f>
        <v>5.51666666666667</v>
      </c>
      <c r="G119" s="6" t="n">
        <v>100</v>
      </c>
      <c r="H119" s="6" t="inlineStr">
        <is>
          <t>anonymous</t>
        </is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4" t="inlineStr">
        <is>
          <t>961</t>
        </is>
      </c>
      <c r="D120" s="23" t="n">
        <v>46303.53456018519</v>
      </c>
      <c r="E120" s="23" t="n">
        <v>46303.54432870371</v>
      </c>
      <c r="F120" s="7">
        <f>(E120-D120)*1440</f>
        <v>14.0666666666667</v>
      </c>
      <c r="G120" s="6" t="n">
        <v>100</v>
      </c>
      <c r="H120" s="6" t="inlineStr">
        <is>
          <t>anonymous</t>
        </is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4" t="inlineStr">
        <is>
          <t>778</t>
        </is>
      </c>
      <c r="D121" s="23" t="n">
        <v>46304.33164351852</v>
      </c>
      <c r="E121" s="23" t="n">
        <v>46304.33385416667</v>
      </c>
      <c r="F121" s="7">
        <f>(E121-D121)*1440</f>
        <v>3.18333333333333</v>
      </c>
      <c r="G121" s="6" t="n">
        <v>100</v>
      </c>
      <c r="H121" s="6" t="inlineStr">
        <is>
          <t>anonymous</t>
        </is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4" t="inlineStr">
        <is>
          <t>676</t>
        </is>
      </c>
      <c r="D122" s="23" t="n">
        <v>46304.35847222222</v>
      </c>
      <c r="E122" s="23" t="n">
        <v>46304.36083333333</v>
      </c>
      <c r="F122" s="7">
        <f>(E122-D122)*1440</f>
        <v>3.4</v>
      </c>
      <c r="G122" s="6" t="n">
        <v>100</v>
      </c>
      <c r="H122" s="6" t="inlineStr">
        <is>
          <t>anonymous</t>
        </is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4" t="inlineStr">
        <is>
          <t>472</t>
        </is>
      </c>
      <c r="D123" s="23" t="n">
        <v>46304.37324074074</v>
      </c>
      <c r="E123" s="23" t="n">
        <v>46304.37534722222</v>
      </c>
      <c r="F123" s="7">
        <f>(E123-D123)*1440</f>
        <v>3.03333333333333</v>
      </c>
      <c r="G123" s="6" t="n">
        <v>100</v>
      </c>
      <c r="H123" s="6" t="inlineStr">
        <is>
          <t>anonymous</t>
        </is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4" t="inlineStr">
        <is>
          <t>712</t>
        </is>
      </c>
      <c r="D124" s="23" t="n">
        <v>46304.37309027778</v>
      </c>
      <c r="E124" s="23" t="n">
        <v>46304.37650462963</v>
      </c>
      <c r="F124" s="7">
        <f>(E124-D124)*1440</f>
        <v>4.91666666666667</v>
      </c>
      <c r="G124" s="6" t="n">
        <v>100</v>
      </c>
      <c r="H124" s="6" t="inlineStr">
        <is>
          <t>anonymous</t>
        </is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4" t="inlineStr">
        <is>
          <t>633</t>
        </is>
      </c>
      <c r="D125" s="23" t="n">
        <v>46304.37530092592</v>
      </c>
      <c r="E125" s="23" t="n">
        <v>46304.37832175926</v>
      </c>
      <c r="F125" s="7">
        <f>(E125-D125)*1440</f>
        <v>4.35</v>
      </c>
      <c r="G125" s="6" t="n">
        <v>100</v>
      </c>
      <c r="H125" s="6" t="inlineStr">
        <is>
          <t>anonymous</t>
        </is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4" t="inlineStr">
        <is>
          <t>806</t>
        </is>
      </c>
      <c r="D126" s="23" t="n">
        <v>46304.36936342593</v>
      </c>
      <c r="E126" s="23" t="n">
        <v>46304.38461805556</v>
      </c>
      <c r="F126" s="7">
        <f>(E126-D126)*1440</f>
        <v>21.9666666666667</v>
      </c>
      <c r="G126" s="6" t="n">
        <v>100</v>
      </c>
      <c r="H126" s="6" t="inlineStr">
        <is>
          <t>anonymous</t>
        </is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4" t="inlineStr">
        <is>
          <t>439</t>
        </is>
      </c>
      <c r="D127" s="23" t="n">
        <v>46304.3803587963</v>
      </c>
      <c r="E127" s="23" t="n">
        <v>46304.38547453703</v>
      </c>
      <c r="F127" s="7">
        <f>(E127-D127)*1440</f>
        <v>7.36666666666667</v>
      </c>
      <c r="G127" s="6" t="n">
        <v>80</v>
      </c>
      <c r="H127" s="6" t="inlineStr">
        <is>
          <t>anonymous</t>
        </is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4" t="inlineStr">
        <is>
          <t>824</t>
        </is>
      </c>
      <c r="D128" s="23" t="n">
        <v>46304.37327546296</v>
      </c>
      <c r="E128" s="23" t="n">
        <v>46304.38784722222</v>
      </c>
      <c r="F128" s="7">
        <f>(E128-D128)*1440</f>
        <v>20.9833333333333</v>
      </c>
      <c r="G128" s="6" t="n">
        <v>100</v>
      </c>
      <c r="H128" s="6" t="inlineStr">
        <is>
          <t>anonymous</t>
        </is>
      </c>
    </row>
    <row r="129">
      <c r="A129" s="5" t="inlineStr">
        <is>
          <t>Milagro Natividad Escobar Melendez</t>
        </is>
      </c>
      <c r="B129" s="5" t="inlineStr">
        <is>
          <t xml:space="preserve">Análisis y Programación </t>
        </is>
      </c>
      <c r="C129" s="4" t="inlineStr">
        <is>
          <t>879</t>
        </is>
      </c>
      <c r="D129" s="23" t="n">
        <v>46304.39172453704</v>
      </c>
      <c r="E129" s="23" t="n">
        <v>46304.39483796297</v>
      </c>
      <c r="F129" s="7">
        <f>(E129-D129)*1440</f>
        <v>4.48333333333333</v>
      </c>
      <c r="G129" s="6" t="n">
        <v>100</v>
      </c>
      <c r="H129" s="6" t="inlineStr">
        <is>
          <t>anonymous</t>
        </is>
      </c>
    </row>
    <row r="130">
      <c r="A130" s="5" t="inlineStr">
        <is>
          <t xml:space="preserve">ALMA BEATRIZ RAMIREZ SANDOVAL </t>
        </is>
      </c>
      <c r="B130" s="5" t="inlineStr">
        <is>
          <t xml:space="preserve">CONTABILIDAD </t>
        </is>
      </c>
      <c r="C130" s="4" t="inlineStr">
        <is>
          <t>850</t>
        </is>
      </c>
      <c r="D130" s="23" t="n">
        <v>46304.38685185185</v>
      </c>
      <c r="E130" s="23" t="n">
        <v>46304.4002662037</v>
      </c>
      <c r="F130" s="7">
        <f>(E130-D130)*1440</f>
        <v>19.3166666666667</v>
      </c>
      <c r="G130" s="6" t="n">
        <v>90</v>
      </c>
      <c r="H130" s="6" t="inlineStr">
        <is>
          <t>anonymous</t>
        </is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4" t="inlineStr">
        <is>
          <t>783</t>
        </is>
      </c>
      <c r="D131" s="23" t="n">
        <v>46304.39583333334</v>
      </c>
      <c r="E131" s="23" t="n">
        <v>46304.40027777778</v>
      </c>
      <c r="F131" s="7">
        <f>(E131-D131)*1440</f>
        <v>6.4</v>
      </c>
      <c r="G131" s="6" t="n">
        <v>100</v>
      </c>
      <c r="H131" s="6" t="inlineStr">
        <is>
          <t>anonymous</t>
        </is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4" t="inlineStr">
        <is>
          <t>742</t>
        </is>
      </c>
      <c r="D132" s="23" t="n">
        <v>46304.39957175926</v>
      </c>
      <c r="E132" s="23" t="n">
        <v>46304.40319444444</v>
      </c>
      <c r="F132" s="7">
        <f>(E132-D132)*1440</f>
        <v>5.21666666666667</v>
      </c>
      <c r="G132" s="6" t="n">
        <v>90</v>
      </c>
      <c r="H132" s="6" t="inlineStr">
        <is>
          <t>anonymous</t>
        </is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4" t="inlineStr">
        <is>
          <t>424</t>
        </is>
      </c>
      <c r="D133" s="23" t="n">
        <v>46304.40168981482</v>
      </c>
      <c r="E133" s="23" t="n">
        <v>46304.40432870371</v>
      </c>
      <c r="F133" s="7">
        <f>(E133-D133)*1440</f>
        <v>3.8</v>
      </c>
      <c r="G133" s="6" t="n">
        <v>90</v>
      </c>
      <c r="H133" s="6" t="inlineStr">
        <is>
          <t>anonymous</t>
        </is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4" t="inlineStr">
        <is>
          <t>948</t>
        </is>
      </c>
      <c r="D134" s="23" t="n">
        <v>46304.40207175926</v>
      </c>
      <c r="E134" s="23" t="n">
        <v>46304.40600694445</v>
      </c>
      <c r="F134" s="7">
        <f>(E134-D134)*1440</f>
        <v>5.66666666666667</v>
      </c>
      <c r="G134" s="6" t="n">
        <v>100</v>
      </c>
      <c r="H134" s="6" t="inlineStr">
        <is>
          <t>anonymous</t>
        </is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4" t="inlineStr">
        <is>
          <t>804</t>
        </is>
      </c>
      <c r="D135" s="23" t="n">
        <v>46304.4034837963</v>
      </c>
      <c r="E135" s="23" t="n">
        <v>46304.40790509259</v>
      </c>
      <c r="F135" s="7">
        <f>(E135-D135)*1440</f>
        <v>6.36666666666667</v>
      </c>
      <c r="G135" s="6" t="n">
        <v>100</v>
      </c>
      <c r="H135" s="6" t="inlineStr">
        <is>
          <t>anonymous</t>
        </is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4" t="inlineStr">
        <is>
          <t>470</t>
        </is>
      </c>
      <c r="D136" s="23" t="n">
        <v>46304.40576388889</v>
      </c>
      <c r="E136" s="23" t="n">
        <v>46304.40931712963</v>
      </c>
      <c r="F136" s="7">
        <f>(E136-D136)*1440</f>
        <v>5.11666666666667</v>
      </c>
      <c r="G136" s="6" t="n">
        <v>100</v>
      </c>
      <c r="H136" s="6" t="inlineStr">
        <is>
          <t>anonymous</t>
        </is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4" t="inlineStr">
        <is>
          <t>290</t>
        </is>
      </c>
      <c r="D137" s="23" t="n">
        <v>46304.406875</v>
      </c>
      <c r="E137" s="23" t="n">
        <v>46304.40962962963</v>
      </c>
      <c r="F137" s="7">
        <f>(E137-D137)*1440</f>
        <v>3.96666666666667</v>
      </c>
      <c r="G137" s="6" t="n">
        <v>100</v>
      </c>
      <c r="H137" s="6" t="inlineStr">
        <is>
          <t>anonymous</t>
        </is>
      </c>
    </row>
    <row r="138">
      <c r="A138" s="5" t="inlineStr">
        <is>
          <t xml:space="preserve">Claudia Verónica Lara de Rodas  </t>
        </is>
      </c>
      <c r="B138" s="5" t="inlineStr">
        <is>
          <t xml:space="preserve">tarjeta comercial </t>
        </is>
      </c>
      <c r="C138" s="4" t="inlineStr">
        <is>
          <t>422</t>
        </is>
      </c>
      <c r="D138" s="23" t="n">
        <v>46304.40586805555</v>
      </c>
      <c r="E138" s="23" t="n">
        <v>46304.41396990741</v>
      </c>
      <c r="F138" s="7">
        <f>(E138-D138)*1440</f>
        <v>11.6666666666667</v>
      </c>
      <c r="G138" s="6" t="n">
        <v>100</v>
      </c>
      <c r="H138" s="6" t="inlineStr">
        <is>
          <t>anonymous</t>
        </is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4" t="inlineStr">
        <is>
          <t>678</t>
        </is>
      </c>
      <c r="D139" s="23" t="n">
        <v>46304.41604166666</v>
      </c>
      <c r="E139" s="23" t="n">
        <v>46304.42278935185</v>
      </c>
      <c r="F139" s="7">
        <f>(E139-D139)*1440</f>
        <v>9.71666666666667</v>
      </c>
      <c r="G139" s="6" t="n">
        <v>100</v>
      </c>
      <c r="H139" s="6" t="inlineStr">
        <is>
          <t>anonymous</t>
        </is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4" t="inlineStr">
        <is>
          <t>781</t>
        </is>
      </c>
      <c r="D140" s="23" t="n">
        <v>46304.42932870371</v>
      </c>
      <c r="E140" s="23" t="n">
        <v>46304.44460648148</v>
      </c>
      <c r="F140" s="7">
        <f>(E140-D140)*1440</f>
        <v>22</v>
      </c>
      <c r="G140" s="6" t="n">
        <v>90</v>
      </c>
      <c r="H140" s="6" t="inlineStr">
        <is>
          <t>anonymous</t>
        </is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4" t="inlineStr">
        <is>
          <t>572</t>
        </is>
      </c>
      <c r="D141" s="23" t="n">
        <v>46304.49410879629</v>
      </c>
      <c r="E141" s="23" t="n">
        <v>46304.51201388889</v>
      </c>
      <c r="F141" s="7">
        <f>(E141-D141)*1440</f>
        <v>25.7833333333333</v>
      </c>
      <c r="G141" s="6" t="n">
        <v>100</v>
      </c>
      <c r="H141" s="6" t="inlineStr">
        <is>
          <t>anonymous</t>
        </is>
      </c>
    </row>
    <row r="142">
      <c r="A142" s="5" t="inlineStr">
        <is>
          <t xml:space="preserve">Geovanny Gabriel Rodriguez Solórzano </t>
        </is>
      </c>
      <c r="B142" s="5" t="inlineStr">
        <is>
          <t xml:space="preserve">Servicios generales </t>
        </is>
      </c>
      <c r="C142" s="4" t="inlineStr">
        <is>
          <t>972</t>
        </is>
      </c>
      <c r="D142" s="23" t="n">
        <v>46304.51767361111</v>
      </c>
      <c r="E142" s="23" t="n">
        <v>46304.52078703704</v>
      </c>
      <c r="F142" s="7">
        <f>(E142-D142)*1440</f>
        <v>4.48333333333333</v>
      </c>
      <c r="G142" s="6" t="n">
        <v>90</v>
      </c>
      <c r="H142" s="6" t="inlineStr">
        <is>
          <t>anonymous</t>
        </is>
      </c>
    </row>
    <row r="143">
      <c r="A143" s="5" t="inlineStr">
        <is>
          <t xml:space="preserve">Helen Gloribel Platero Sánchez </t>
        </is>
      </c>
      <c r="B143" s="5" t="inlineStr">
        <is>
          <t xml:space="preserve">Talento Humano </t>
        </is>
      </c>
      <c r="C143" s="4" t="inlineStr">
        <is>
          <t>962</t>
        </is>
      </c>
      <c r="D143" s="23" t="n">
        <v>46304.51046296296</v>
      </c>
      <c r="E143" s="23" t="n">
        <v>46304.52142361111</v>
      </c>
      <c r="F143" s="7">
        <f>(E143-D143)*1440</f>
        <v>15.7833333333333</v>
      </c>
      <c r="G143" s="6" t="n">
        <v>90</v>
      </c>
      <c r="H143" s="6" t="inlineStr">
        <is>
          <t>anonymous</t>
        </is>
      </c>
    </row>
    <row r="144">
      <c r="A144" s="5" t="inlineStr">
        <is>
          <t xml:space="preserve">Loyda Aracely Ramos Cañenguez </t>
        </is>
      </c>
      <c r="B144" s="5" t="inlineStr">
        <is>
          <t xml:space="preserve">Departamento de Administracion de carteras </t>
        </is>
      </c>
      <c r="C144" s="4" t="inlineStr">
        <is>
          <t>931</t>
        </is>
      </c>
      <c r="D144" s="23" t="n">
        <v>46304.56408564815</v>
      </c>
      <c r="E144" s="23" t="n">
        <v>46304.56716435185</v>
      </c>
      <c r="F144" s="7">
        <f>(E144-D144)*1440</f>
        <v>4.43333333333333</v>
      </c>
      <c r="G144" s="6" t="n">
        <v>100</v>
      </c>
      <c r="H144" s="6" t="inlineStr">
        <is>
          <t>anonymous</t>
        </is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4" t="inlineStr">
        <is>
          <t>459</t>
        </is>
      </c>
      <c r="D145" s="23" t="n">
        <v>46304.57431712963</v>
      </c>
      <c r="E145" s="23" t="n">
        <v>46304.57939814815</v>
      </c>
      <c r="F145" s="7">
        <f>(E145-D145)*1440</f>
        <v>7.31666666666667</v>
      </c>
      <c r="G145" s="6" t="n">
        <v>95</v>
      </c>
      <c r="H145" s="6" t="inlineStr">
        <is>
          <t>anonymous</t>
        </is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4" t="inlineStr">
        <is>
          <t>934</t>
        </is>
      </c>
      <c r="D146" s="23" t="n">
        <v>46304.66388888889</v>
      </c>
      <c r="E146" s="23" t="n">
        <v>46304.67644675926</v>
      </c>
      <c r="F146" s="7">
        <f>(E146-D146)*1440</f>
        <v>18.0833333333333</v>
      </c>
      <c r="G146" s="6" t="n">
        <v>100</v>
      </c>
      <c r="H146" s="6" t="inlineStr">
        <is>
          <t>anonymous</t>
        </is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4" t="inlineStr">
        <is>
          <t>654</t>
        </is>
      </c>
      <c r="D147" s="23" t="n">
        <v>46304.67545138889</v>
      </c>
      <c r="E147" s="23" t="n">
        <v>46304.67850694444</v>
      </c>
      <c r="F147" s="7">
        <f>(E147-D147)*1440</f>
        <v>4.4</v>
      </c>
      <c r="G147" s="6" t="n">
        <v>80</v>
      </c>
      <c r="H147" s="6" t="inlineStr">
        <is>
          <t>anonymous</t>
        </is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4" t="inlineStr">
        <is>
          <t>949</t>
        </is>
      </c>
      <c r="D148" s="23" t="n">
        <v>46304.68123842592</v>
      </c>
      <c r="E148" s="23" t="n">
        <v>46304.68270833333</v>
      </c>
      <c r="F148" s="7">
        <f>(E148-D148)*1440</f>
        <v>2.11666666666667</v>
      </c>
      <c r="G148" s="6" t="n">
        <v>100</v>
      </c>
      <c r="H148" s="6" t="inlineStr">
        <is>
          <t>anonymous</t>
        </is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4" t="inlineStr">
        <is>
          <t>740</t>
        </is>
      </c>
      <c r="D149" s="23" t="n">
        <v>46304.68376157407</v>
      </c>
      <c r="E149" s="23" t="n">
        <v>46304.68594907408</v>
      </c>
      <c r="F149" s="7">
        <f>(E149-D149)*1440</f>
        <v>3.15</v>
      </c>
      <c r="G149" s="6" t="n">
        <v>100</v>
      </c>
      <c r="H149" s="6" t="inlineStr">
        <is>
          <t>anonymous</t>
        </is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4" t="inlineStr">
        <is>
          <t>787</t>
        </is>
      </c>
      <c r="D150" s="23" t="n">
        <v>46304.69060185185</v>
      </c>
      <c r="E150" s="23" t="n">
        <v>46304.69292824074</v>
      </c>
      <c r="F150" s="7">
        <f>(E150-D150)*1440</f>
        <v>3.35</v>
      </c>
      <c r="G150" s="6" t="n">
        <v>100</v>
      </c>
      <c r="H150" s="6" t="inlineStr">
        <is>
          <t>anonymous</t>
        </is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4" t="inlineStr">
        <is>
          <t>570</t>
        </is>
      </c>
      <c r="D151" s="23" t="n">
        <v>46304.69274305556</v>
      </c>
      <c r="E151" s="23" t="n">
        <v>46304.69452546296</v>
      </c>
      <c r="F151" s="7">
        <f>(E151-D151)*1440</f>
        <v>2.56666666666667</v>
      </c>
      <c r="G151" s="6" t="n">
        <v>100</v>
      </c>
      <c r="H151" s="6" t="inlineStr">
        <is>
          <t>anonymous</t>
        </is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4" t="inlineStr">
        <is>
          <t>893</t>
        </is>
      </c>
      <c r="D152" s="23" t="n">
        <v>46304.69597222222</v>
      </c>
      <c r="E152" s="23" t="n">
        <v>46304.70368055555</v>
      </c>
      <c r="F152" s="7">
        <f>(E152-D152)*1440</f>
        <v>11.1</v>
      </c>
      <c r="G152" s="6" t="n">
        <v>100</v>
      </c>
      <c r="H152" s="6" t="inlineStr">
        <is>
          <t>anonymous</t>
        </is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4" t="inlineStr">
        <is>
          <t>539</t>
        </is>
      </c>
      <c r="D153" s="23" t="n">
        <v>46304.70121527778</v>
      </c>
      <c r="E153" s="23" t="n">
        <v>46304.70379629629</v>
      </c>
      <c r="F153" s="7">
        <f>(E153-D153)*1440</f>
        <v>3.71666666666667</v>
      </c>
      <c r="G153" s="6" t="n">
        <v>100</v>
      </c>
      <c r="H153" s="6" t="inlineStr">
        <is>
          <t>anonymous</t>
        </is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4" t="inlineStr">
        <is>
          <t>533</t>
        </is>
      </c>
      <c r="D154" s="23" t="n">
        <v>46304.77427083333</v>
      </c>
      <c r="E154" s="23" t="n">
        <v>46304.7809837963</v>
      </c>
      <c r="F154" s="7">
        <f>(E154-D154)*1440</f>
        <v>9.66666666666667</v>
      </c>
      <c r="G154" s="6" t="n">
        <v>90</v>
      </c>
      <c r="H154" s="6" t="inlineStr">
        <is>
          <t>anonymous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24" customWidth="1" min="3" max="3"/>
    <col width="24" customWidth="1" min="4" max="4"/>
    <col width="24" customWidth="1" min="5" max="5"/>
    <col width="117" customWidth="1" min="6" max="6"/>
    <col width="89" customWidth="1" min="7" max="7"/>
    <col width="89" customWidth="1" min="8" max="8"/>
    <col width="89" customWidth="1" min="9" max="9"/>
    <col width="89" customWidth="1" min="10" max="10"/>
    <col width="98" customWidth="1" min="11" max="11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</row>
    <row r="5">
      <c r="A5" s="4" t="str">
        <f>'Base Oficial'!A5</f>
        <v>977</v>
      </c>
      <c r="B5" s="6" t="str">
        <f>'Base Oficial'!B5</f>
        <v>NELSON ULISES CAMPOS FLORES </v>
      </c>
      <c r="C5" s="6" t="str">
        <f>'Base Oficial'!F5</f>
        <v>GERENCIA GENERAL</v>
      </c>
      <c r="D5" s="6" t="str">
        <f>'Base Oficial'!G5</f>
        <v>Gerencia General</v>
      </c>
      <c r="E5" s="6" t="str">
        <f>'Base Oficial'!D5</f>
        <v>GERENTE GENERAL</v>
      </c>
      <c r="F5" s="4" t="str">
        <f>IF(COUNTIFS('Base Exámenes'!$C$5:$C$154, A5, 'Base Exámenes'!$E$5:$E$154, "&lt;&gt;")&gt;0, "Completado", "Pendiente")</f>
        <v>Pendiente</v>
      </c>
      <c r="G5" s="23" t="str">
        <f>IFERROR(INDEX('Base Exámenes'!$D$5:$D$154, MATCH(A5, 'Base Exámenes'!$C$5:$C$154, 0)), "")</f>
        <v/>
      </c>
      <c r="H5" s="23" t="str">
        <f>IFERROR(INDEX('Base Exámenes'!$E$5:$E$154, MATCH(A5, 'Base Exámenes'!$C$5:$C$154, 0)), "")</f>
        <v/>
      </c>
      <c r="I5" s="24" t="str">
        <f>IFERROR(INDEX('Base Exámenes'!$F$5:$F$154, MATCH(A5, 'Base Exámenes'!$C$5:$C$154, 0)), "")</f>
        <v/>
      </c>
      <c r="J5" s="6" t="str">
        <f>IFERROR(INDEX('Base Exámenes'!$G$5:$G$154, MATCH(A5, 'Base Exámenes'!$C$5:$C$154, 0)), "")</f>
        <v/>
      </c>
      <c r="K5" s="6" t="str">
        <f>IFERROR(INDEX('Base Exámenes'!$H$5:$H$154, MATCH(A5, 'Base Exámenes'!$C$5:$C$154, 0)), "anonymous")</f>
        <v>anonymous</v>
      </c>
    </row>
    <row r="6">
      <c r="A6" s="4" t="str">
        <f>'Base Oficial'!A6</f>
        <v>349</v>
      </c>
      <c r="B6" s="6" t="str">
        <f>'Base Oficial'!B6</f>
        <v>CARLA EUGENIA HERNANDEZ MENJIVAR</v>
      </c>
      <c r="C6" s="6" t="str">
        <f>'Base Oficial'!F6</f>
        <v>GERENCIA  ADMINISTRATIVA</v>
      </c>
      <c r="D6" s="6" t="str">
        <f>'Base Oficial'!G6</f>
        <v>Gerencia Administrativa</v>
      </c>
      <c r="E6" s="6" t="str">
        <f>'Base Oficial'!D6</f>
        <v>GERENTE  ADMINISTRATIVA</v>
      </c>
      <c r="F6" s="4" t="str">
        <f>IF(COUNTIFS('Base Exámenes'!$C$5:$C$154, A6, 'Base Exámenes'!$E$5:$E$154, "&lt;&gt;")&gt;0, "Completado", "Pendiente")</f>
        <v>Completado</v>
      </c>
      <c r="G6" s="23">
        <f>IFERROR(INDEX('Base Exámenes'!$D$5:$D$154, MATCH(A6, 'Base Exámenes'!$C$5:$C$154, 0)), "")</f>
        <v>46297.636770833335</v>
      </c>
      <c r="H6" s="23">
        <f>IFERROR(INDEX('Base Exámenes'!$E$5:$E$154, MATCH(A6, 'Base Exámenes'!$C$5:$C$154, 0)), "")</f>
        <v>46297.63836805556</v>
      </c>
      <c r="I6" s="24">
        <f>IFERROR(INDEX('Base Exámenes'!$F$5:$F$154, MATCH(A6, 'Base Exámenes'!$C$5:$C$154, 0)), "")</f>
        <v>2.3</v>
      </c>
      <c r="J6" s="6">
        <f>IFERROR(INDEX('Base Exámenes'!$G$5:$G$154, MATCH(A6, 'Base Exámenes'!$C$5:$C$154, 0)), "")</f>
        <v>100</v>
      </c>
      <c r="K6" s="6" t="str">
        <f>IFERROR(INDEX('Base Exámenes'!$H$5:$H$154, MATCH(A6, 'Base Exámenes'!$C$5:$C$154, 0)), "anonymous")</f>
        <v>anonymous</v>
      </c>
    </row>
    <row r="7">
      <c r="A7" s="4" t="str">
        <f>'Base Oficial'!A7</f>
        <v>41</v>
      </c>
      <c r="B7" s="6" t="str">
        <f>'Base Oficial'!B7</f>
        <v>ROQUE RAFAEL REYES ESPINAL </v>
      </c>
      <c r="C7" s="6" t="str">
        <f>'Base Oficial'!F7</f>
        <v>GERENCIA DE OPERACIONES</v>
      </c>
      <c r="D7" s="6" t="str">
        <f>'Base Oficial'!G7</f>
        <v>Gerencia de Operaciones</v>
      </c>
      <c r="E7" s="6" t="str">
        <f>'Base Oficial'!D7</f>
        <v>GERENTE DE OPERACIONES</v>
      </c>
      <c r="F7" s="4" t="str">
        <f>IF(COUNTIFS('Base Exámenes'!$C$5:$C$154, A7, 'Base Exámenes'!$E$5:$E$154, "&lt;&gt;")&gt;0, "Completado", "Pendiente")</f>
        <v>Pendiente</v>
      </c>
      <c r="G7" s="23" t="str">
        <f>IFERROR(INDEX('Base Exámenes'!$D$5:$D$154, MATCH(A7, 'Base Exámenes'!$C$5:$C$154, 0)), "")</f>
        <v/>
      </c>
      <c r="H7" s="23" t="str">
        <f>IFERROR(INDEX('Base Exámenes'!$E$5:$E$154, MATCH(A7, 'Base Exámenes'!$C$5:$C$154, 0)), "")</f>
        <v/>
      </c>
      <c r="I7" s="24" t="str">
        <f>IFERROR(INDEX('Base Exámenes'!$F$5:$F$154, MATCH(A7, 'Base Exámenes'!$C$5:$C$154, 0)), "")</f>
        <v/>
      </c>
      <c r="J7" s="6" t="str">
        <f>IFERROR(INDEX('Base Exámenes'!$G$5:$G$154, MATCH(A7, 'Base Exámenes'!$C$5:$C$154, 0)), "")</f>
        <v/>
      </c>
      <c r="K7" s="6" t="str">
        <f>IFERROR(INDEX('Base Exámenes'!$H$5:$H$154, MATCH(A7, 'Base Exámenes'!$C$5:$C$154, 0)), "anonymous")</f>
        <v>anonymous</v>
      </c>
    </row>
    <row r="8">
      <c r="A8" s="4" t="str">
        <f>'Base Oficial'!A8</f>
        <v>524</v>
      </c>
      <c r="B8" s="6" t="str">
        <f>'Base Oficial'!B8</f>
        <v>JOSE AUGUSTO DE LA O GALLEGOS </v>
      </c>
      <c r="C8" s="6" t="str">
        <f>'Base Oficial'!F8</f>
        <v>GERENCIA DE FINANZAS Y PLANIFICACIÓN</v>
      </c>
      <c r="D8" s="6" t="str">
        <f>'Base Oficial'!G8</f>
        <v>Gerencia de Finanzas y Planificación</v>
      </c>
      <c r="E8" s="6" t="str">
        <f>'Base Oficial'!D8</f>
        <v>GERENTE DE FINANZAS Y PLANIFICACION</v>
      </c>
      <c r="F8" s="4" t="str">
        <f>IF(COUNTIFS('Base Exámenes'!$C$5:$C$154, A8, 'Base Exámenes'!$E$5:$E$154, "&lt;&gt;")&gt;0, "Completado", "Pendiente")</f>
        <v>Completado</v>
      </c>
      <c r="G8" s="23">
        <f>IFERROR(INDEX('Base Exámenes'!$D$5:$D$154, MATCH(A8, 'Base Exámenes'!$C$5:$C$154, 0)), "")</f>
        <v>46296.42706018518</v>
      </c>
      <c r="H8" s="23">
        <f>IFERROR(INDEX('Base Exámenes'!$E$5:$E$154, MATCH(A8, 'Base Exámenes'!$C$5:$C$154, 0)), "")</f>
        <v>46296.429560185185</v>
      </c>
      <c r="I8" s="24">
        <f>IFERROR(INDEX('Base Exámenes'!$F$5:$F$154, MATCH(A8, 'Base Exámenes'!$C$5:$C$154, 0)), "")</f>
        <v>3.6</v>
      </c>
      <c r="J8" s="6">
        <f>IFERROR(INDEX('Base Exámenes'!$G$5:$G$154, MATCH(A8, 'Base Exámenes'!$C$5:$C$154, 0)), "")</f>
        <v>100</v>
      </c>
      <c r="K8" s="6" t="str">
        <f>IFERROR(INDEX('Base Exámenes'!$H$5:$H$154, MATCH(A8, 'Base Exámenes'!$C$5:$C$154, 0)), "anonymous")</f>
        <v>anonymous</v>
      </c>
    </row>
    <row r="9">
      <c r="A9" s="4" t="str">
        <f>'Base Oficial'!A9</f>
        <v>878</v>
      </c>
      <c r="B9" s="6" t="str">
        <f>'Base Oficial'!B9</f>
        <v>ALEX VIRGILIO  AGUILAR ARIAS  </v>
      </c>
      <c r="C9" s="6" t="str">
        <f>'Base Oficial'!F9</f>
        <v>GERENCIA DE SISTEMAS</v>
      </c>
      <c r="D9" s="6" t="str">
        <f>'Base Oficial'!G9</f>
        <v>Gerencia de Sistemas</v>
      </c>
      <c r="E9" s="6" t="str">
        <f>'Base Oficial'!D9</f>
        <v>GERENTE DE SISTEMAS</v>
      </c>
      <c r="F9" s="4" t="str">
        <f>IF(COUNTIFS('Base Exámenes'!$C$5:$C$154, A9, 'Base Exámenes'!$E$5:$E$154, "&lt;&gt;")&gt;0, "Completado", "Pendiente")</f>
        <v>Pendiente</v>
      </c>
      <c r="G9" s="23" t="str">
        <f>IFERROR(INDEX('Base Exámenes'!$D$5:$D$154, MATCH(A9, 'Base Exámenes'!$C$5:$C$154, 0)), "")</f>
        <v/>
      </c>
      <c r="H9" s="23" t="str">
        <f>IFERROR(INDEX('Base Exámenes'!$E$5:$E$154, MATCH(A9, 'Base Exámenes'!$C$5:$C$154, 0)), "")</f>
        <v/>
      </c>
      <c r="I9" s="24" t="str">
        <f>IFERROR(INDEX('Base Exámenes'!$F$5:$F$154, MATCH(A9, 'Base Exámenes'!$C$5:$C$154, 0)), "")</f>
        <v/>
      </c>
      <c r="J9" s="6" t="str">
        <f>IFERROR(INDEX('Base Exámenes'!$G$5:$G$154, MATCH(A9, 'Base Exámenes'!$C$5:$C$154, 0)), "")</f>
        <v/>
      </c>
      <c r="K9" s="6" t="str">
        <f>IFERROR(INDEX('Base Exámenes'!$H$5:$H$154, MATCH(A9, 'Base Exámenes'!$C$5:$C$154, 0)), "anonymous")</f>
        <v>anonymous</v>
      </c>
    </row>
    <row r="10">
      <c r="A10" s="4" t="str">
        <f>'Base Oficial'!A10</f>
        <v>862</v>
      </c>
      <c r="B10" s="6" t="str">
        <f>'Base Oficial'!B10</f>
        <v>GEORGI ROBERTO CASTILLO CHACON </v>
      </c>
      <c r="C10" s="6" t="str">
        <f>'Base Oficial'!F10</f>
        <v>OFICIALIA DE CUMPLIMIENTO</v>
      </c>
      <c r="D10" s="6" t="str">
        <f>'Base Oficial'!G10</f>
        <v>Gerencia de Oficialía de Cumplimiento</v>
      </c>
      <c r="E10" s="6" t="str">
        <f>'Base Oficial'!D10</f>
        <v>GERENTE DE OFICIALIA DE CUMPLIMIENTO</v>
      </c>
      <c r="F10" s="4" t="str">
        <f>IF(COUNTIFS('Base Exámenes'!$C$5:$C$154, A10, 'Base Exámenes'!$E$5:$E$154, "&lt;&gt;")&gt;0, "Completado", "Pendiente")</f>
        <v>Completado</v>
      </c>
      <c r="G10" s="23">
        <f>IFERROR(INDEX('Base Exámenes'!$D$5:$D$154, MATCH(A10, 'Base Exámenes'!$C$5:$C$154, 0)), "")</f>
        <v>46296.47011574074</v>
      </c>
      <c r="H10" s="23">
        <f>IFERROR(INDEX('Base Exámenes'!$E$5:$E$154, MATCH(A10, 'Base Exámenes'!$C$5:$C$154, 0)), "")</f>
        <v>46296.47738425926</v>
      </c>
      <c r="I10" s="24">
        <f>IFERROR(INDEX('Base Exámenes'!$F$5:$F$154, MATCH(A10, 'Base Exámenes'!$C$5:$C$154, 0)), "")</f>
        <v>10.4666666666667</v>
      </c>
      <c r="J10" s="6">
        <f>IFERROR(INDEX('Base Exámenes'!$G$5:$G$154, MATCH(A10, 'Base Exámenes'!$C$5:$C$154, 0)), "")</f>
        <v>100</v>
      </c>
      <c r="K10" s="6" t="str">
        <f>IFERROR(INDEX('Base Exámenes'!$H$5:$H$154, MATCH(A10, 'Base Exámenes'!$C$5:$C$154, 0)), "anonymous")</f>
        <v>anonymous</v>
      </c>
    </row>
    <row r="11">
      <c r="A11" s="4" t="str">
        <f>'Base Oficial'!A11</f>
        <v>741</v>
      </c>
      <c r="B11" s="6" t="str">
        <f>'Base Oficial'!B11</f>
        <v>JOSE HUMBERTO BARILLAS BURGOS </v>
      </c>
      <c r="C11" s="6" t="str">
        <f>'Base Oficial'!F11</f>
        <v>GERENCIA DE NEGOCIOS</v>
      </c>
      <c r="D11" s="6" t="str">
        <f>'Base Oficial'!G11</f>
        <v>Gerencia de Negocios</v>
      </c>
      <c r="E11" s="6" t="str">
        <f>'Base Oficial'!D11</f>
        <v>GERENTE DE NEGOCIOS</v>
      </c>
      <c r="F11" s="4" t="str">
        <f>IF(COUNTIFS('Base Exámenes'!$C$5:$C$154, A11, 'Base Exámenes'!$E$5:$E$154, "&lt;&gt;")&gt;0, "Completado", "Pendiente")</f>
        <v>Pendiente</v>
      </c>
      <c r="G11" s="23" t="str">
        <f>IFERROR(INDEX('Base Exámenes'!$D$5:$D$154, MATCH(A11, 'Base Exámenes'!$C$5:$C$154, 0)), "")</f>
        <v/>
      </c>
      <c r="H11" s="23" t="str">
        <f>IFERROR(INDEX('Base Exámenes'!$E$5:$E$154, MATCH(A11, 'Base Exámenes'!$C$5:$C$154, 0)), "")</f>
        <v/>
      </c>
      <c r="I11" s="24" t="str">
        <f>IFERROR(INDEX('Base Exámenes'!$F$5:$F$154, MATCH(A11, 'Base Exámenes'!$C$5:$C$154, 0)), "")</f>
        <v/>
      </c>
      <c r="J11" s="6" t="str">
        <f>IFERROR(INDEX('Base Exámenes'!$G$5:$G$154, MATCH(A11, 'Base Exámenes'!$C$5:$C$154, 0)), "")</f>
        <v/>
      </c>
      <c r="K11" s="6" t="str">
        <f>IFERROR(INDEX('Base Exámenes'!$H$5:$H$154, MATCH(A11, 'Base Exámenes'!$C$5:$C$154, 0)), "anonymous")</f>
        <v>anonymous</v>
      </c>
    </row>
    <row r="12">
      <c r="A12" s="4" t="str">
        <f>'Base Oficial'!A12</f>
        <v>570</v>
      </c>
      <c r="B12" s="6" t="str">
        <f>'Base Oficial'!B12</f>
        <v>ANDREA VICTORIA MAYORGA RODRIGUEZ </v>
      </c>
      <c r="C12" s="6" t="str">
        <f>'Base Oficial'!F12</f>
        <v>GERENCIA LEGAL Y DE CUMPLIMIENTO NORMATIVO</v>
      </c>
      <c r="D12" s="6" t="str">
        <f>'Base Oficial'!G12</f>
        <v>Gerencia Legal y Cumplimiento Normativo</v>
      </c>
      <c r="E12" s="6" t="str">
        <f>'Base Oficial'!D12</f>
        <v>GERENTE LEGAL Y DE CUMPLIMIENTO NORMATIVO</v>
      </c>
      <c r="F12" s="4" t="str">
        <f>IF(COUNTIFS('Base Exámenes'!$C$5:$C$154, A12, 'Base Exámenes'!$E$5:$E$154, "&lt;&gt;")&gt;0, "Completado", "Pendiente")</f>
        <v>Completado</v>
      </c>
      <c r="G12" s="23">
        <f>IFERROR(INDEX('Base Exámenes'!$D$5:$D$154, MATCH(A12, 'Base Exámenes'!$C$5:$C$154, 0)), "")</f>
        <v>46304.69274305556</v>
      </c>
      <c r="H12" s="23">
        <f>IFERROR(INDEX('Base Exámenes'!$E$5:$E$154, MATCH(A12, 'Base Exámenes'!$C$5:$C$154, 0)), "")</f>
        <v>46304.69452546296</v>
      </c>
      <c r="I12" s="24">
        <f>IFERROR(INDEX('Base Exámenes'!$F$5:$F$154, MATCH(A12, 'Base Exámenes'!$C$5:$C$154, 0)), "")</f>
        <v>2.56666666666667</v>
      </c>
      <c r="J12" s="6">
        <f>IFERROR(INDEX('Base Exámenes'!$G$5:$G$154, MATCH(A12, 'Base Exámenes'!$C$5:$C$154, 0)), "")</f>
        <v>100</v>
      </c>
      <c r="K12" s="6" t="str">
        <f>IFERROR(INDEX('Base Exámenes'!$H$5:$H$154, MATCH(A12, 'Base Exámenes'!$C$5:$C$154, 0)), "anonymous")</f>
        <v>anonymous</v>
      </c>
    </row>
    <row r="13">
      <c r="A13" s="4" t="str">
        <f>'Base Oficial'!A13</f>
        <v>17</v>
      </c>
      <c r="B13" s="6" t="str">
        <f>'Base Oficial'!B13</f>
        <v>ANTONIA SARAI BELTRAN CARBALLO</v>
      </c>
      <c r="C13" s="6" t="str">
        <f>'Base Oficial'!F13</f>
        <v>GERENCIA GENERAL</v>
      </c>
      <c r="D13" s="6" t="str">
        <f>'Base Oficial'!G13</f>
        <v>Gerencia General</v>
      </c>
      <c r="E13" s="6" t="str">
        <f>'Base Oficial'!D13</f>
        <v>ASISTENTE ADMINISTRATIVO DE GERENCIA GENERAL</v>
      </c>
      <c r="F13" s="4" t="str">
        <f>IF(COUNTIFS('Base Exámenes'!$C$5:$C$154, A13, 'Base Exámenes'!$E$5:$E$154, "&lt;&gt;")&gt;0, "Completado", "Pendiente")</f>
        <v>Pendiente</v>
      </c>
      <c r="G13" s="23" t="str">
        <f>IFERROR(INDEX('Base Exámenes'!$D$5:$D$154, MATCH(A13, 'Base Exámenes'!$C$5:$C$154, 0)), "")</f>
        <v/>
      </c>
      <c r="H13" s="23" t="str">
        <f>IFERROR(INDEX('Base Exámenes'!$E$5:$E$154, MATCH(A13, 'Base Exámenes'!$C$5:$C$154, 0)), "")</f>
        <v/>
      </c>
      <c r="I13" s="24" t="str">
        <f>IFERROR(INDEX('Base Exámenes'!$F$5:$F$154, MATCH(A13, 'Base Exámenes'!$C$5:$C$154, 0)), "")</f>
        <v/>
      </c>
      <c r="J13" s="6" t="str">
        <f>IFERROR(INDEX('Base Exámenes'!$G$5:$G$154, MATCH(A13, 'Base Exámenes'!$C$5:$C$154, 0)), "")</f>
        <v/>
      </c>
      <c r="K13" s="6" t="str">
        <f>IFERROR(INDEX('Base Exámenes'!$H$5:$H$154, MATCH(A13, 'Base Exámenes'!$C$5:$C$154, 0)), "anonymous")</f>
        <v>anonymous</v>
      </c>
    </row>
    <row r="14">
      <c r="A14" s="4" t="str">
        <f>'Base Oficial'!A14</f>
        <v>290</v>
      </c>
      <c r="B14" s="6" t="str">
        <f>'Base Oficial'!B14</f>
        <v>MELVIN ENRIQUE PORTILLO VALLE </v>
      </c>
      <c r="C14" s="6" t="str">
        <f>'Base Oficial'!F14</f>
        <v>ADMINISTRACION DE RIESGOS</v>
      </c>
      <c r="D14" s="6" t="str">
        <f>'Base Oficial'!G14</f>
        <v>Gerencia General</v>
      </c>
      <c r="E14" s="6" t="str">
        <f>'Base Oficial'!D14</f>
        <v>ANALISTA DE RIESGOS FINANCIEROS</v>
      </c>
      <c r="F14" s="4" t="str">
        <f>IF(COUNTIFS('Base Exámenes'!$C$5:$C$154, A14, 'Base Exámenes'!$E$5:$E$154, "&lt;&gt;")&gt;0, "Completado", "Pendiente")</f>
        <v>Completado</v>
      </c>
      <c r="G14" s="23">
        <f>IFERROR(INDEX('Base Exámenes'!$D$5:$D$154, MATCH(A14, 'Base Exámenes'!$C$5:$C$154, 0)), "")</f>
        <v>46304.406875</v>
      </c>
      <c r="H14" s="23">
        <f>IFERROR(INDEX('Base Exámenes'!$E$5:$E$154, MATCH(A14, 'Base Exámenes'!$C$5:$C$154, 0)), "")</f>
        <v>46304.40962962963</v>
      </c>
      <c r="I14" s="24">
        <f>IFERROR(INDEX('Base Exámenes'!$F$5:$F$154, MATCH(A14, 'Base Exámenes'!$C$5:$C$154, 0)), "")</f>
        <v>3.96666666666667</v>
      </c>
      <c r="J14" s="6">
        <f>IFERROR(INDEX('Base Exámenes'!$G$5:$G$154, MATCH(A14, 'Base Exámenes'!$C$5:$C$154, 0)), "")</f>
        <v>100</v>
      </c>
      <c r="K14" s="6" t="str">
        <f>IFERROR(INDEX('Base Exámenes'!$H$5:$H$154, MATCH(A14, 'Base Exámenes'!$C$5:$C$154, 0)), "anonymous")</f>
        <v>anonymous</v>
      </c>
    </row>
    <row r="15">
      <c r="A15" s="4" t="str">
        <f>'Base Oficial'!A15</f>
        <v>408</v>
      </c>
      <c r="B15" s="6" t="str">
        <f>'Base Oficial'!B15</f>
        <v>SARA PATRICIA GONZALEZ JIMENEZ</v>
      </c>
      <c r="C15" s="6" t="str">
        <f>'Base Oficial'!F15</f>
        <v>ADMINISTRACION DE RIESGOS</v>
      </c>
      <c r="D15" s="6" t="str">
        <f>'Base Oficial'!G15</f>
        <v>Gerencia General</v>
      </c>
      <c r="E15" s="6" t="str">
        <f>'Base Oficial'!D15</f>
        <v>ASISTENTE TECNICO DE RIESGOS</v>
      </c>
      <c r="F15" s="4" t="str">
        <f>IF(COUNTIFS('Base Exámenes'!$C$5:$C$154, A15, 'Base Exámenes'!$E$5:$E$154, "&lt;&gt;")&gt;0, "Completado", "Pendiente")</f>
        <v>Completado</v>
      </c>
      <c r="G15" s="23">
        <f>IFERROR(INDEX('Base Exámenes'!$D$5:$D$154, MATCH(A15, 'Base Exámenes'!$C$5:$C$154, 0)), "")</f>
        <v>46296.43667824074</v>
      </c>
      <c r="H15" s="23">
        <f>IFERROR(INDEX('Base Exámenes'!$E$5:$E$154, MATCH(A15, 'Base Exámenes'!$C$5:$C$154, 0)), "")</f>
        <v>46296.438796296294</v>
      </c>
      <c r="I15" s="24">
        <f>IFERROR(INDEX('Base Exámenes'!$F$5:$F$154, MATCH(A15, 'Base Exámenes'!$C$5:$C$154, 0)), "")</f>
        <v>3.05</v>
      </c>
      <c r="J15" s="6">
        <f>IFERROR(INDEX('Base Exámenes'!$G$5:$G$154, MATCH(A15, 'Base Exámenes'!$C$5:$C$154, 0)), "")</f>
        <v>100</v>
      </c>
      <c r="K15" s="6" t="str">
        <f>IFERROR(INDEX('Base Exámenes'!$H$5:$H$154, MATCH(A15, 'Base Exámenes'!$C$5:$C$154, 0)), "anonymous")</f>
        <v>anonymous</v>
      </c>
    </row>
    <row r="16">
      <c r="A16" s="4" t="str">
        <f>'Base Oficial'!A16</f>
        <v>433</v>
      </c>
      <c r="B16" s="6" t="str">
        <f>'Base Oficial'!B16</f>
        <v>SILVIA IVETH MARTINEZ RAMIREZ</v>
      </c>
      <c r="C16" s="6" t="str">
        <f>'Base Oficial'!F16</f>
        <v>ADMINISTRACION DE RIESGOS</v>
      </c>
      <c r="D16" s="6" t="str">
        <f>'Base Oficial'!G16</f>
        <v>Gerencia General</v>
      </c>
      <c r="E16" s="6" t="str">
        <f>'Base Oficial'!D16</f>
        <v>ANALISTA DE RIESGO OPERACIONAL</v>
      </c>
      <c r="F16" s="4" t="str">
        <f>IF(COUNTIFS('Base Exámenes'!$C$5:$C$154, A16, 'Base Exámenes'!$E$5:$E$154, "&lt;&gt;")&gt;0, "Completado", "Pendiente")</f>
        <v>Completado</v>
      </c>
      <c r="G16" s="23">
        <f>IFERROR(INDEX('Base Exámenes'!$D$5:$D$154, MATCH(A16, 'Base Exámenes'!$C$5:$C$154, 0)), "")</f>
        <v>46300.621516203704</v>
      </c>
      <c r="H16" s="23">
        <f>IFERROR(INDEX('Base Exámenes'!$E$5:$E$154, MATCH(A16, 'Base Exámenes'!$C$5:$C$154, 0)), "")</f>
        <v>46300.6309837963</v>
      </c>
      <c r="I16" s="24">
        <f>IFERROR(INDEX('Base Exámenes'!$F$5:$F$154, MATCH(A16, 'Base Exámenes'!$C$5:$C$154, 0)), "")</f>
        <v>13.6333333333333</v>
      </c>
      <c r="J16" s="6">
        <f>IFERROR(INDEX('Base Exámenes'!$G$5:$G$154, MATCH(A16, 'Base Exámenes'!$C$5:$C$154, 0)), "")</f>
        <v>100</v>
      </c>
      <c r="K16" s="6" t="str">
        <f>IFERROR(INDEX('Base Exámenes'!$H$5:$H$154, MATCH(A16, 'Base Exámenes'!$C$5:$C$154, 0)), "anonymous")</f>
        <v>anonymous</v>
      </c>
    </row>
    <row r="17">
      <c r="A17" s="4" t="str">
        <f>'Base Oficial'!A17</f>
        <v>928</v>
      </c>
      <c r="B17" s="6" t="str">
        <f>'Base Oficial'!B17</f>
        <v>HENRRY DANIEL ESCAMILLA ZALDAÑA </v>
      </c>
      <c r="C17" s="6" t="str">
        <f>'Base Oficial'!F17</f>
        <v>ADMINISTRACION DE RIESGOS</v>
      </c>
      <c r="D17" s="6" t="str">
        <f>'Base Oficial'!G17</f>
        <v>Gerencia General</v>
      </c>
      <c r="E17" s="6" t="str">
        <f>'Base Oficial'!D17</f>
        <v>JEFE DE ADMINISTRACION DE RIESGOS</v>
      </c>
      <c r="F17" s="4" t="str">
        <f>IF(COUNTIFS('Base Exámenes'!$C$5:$C$154, A17, 'Base Exámenes'!$E$5:$E$154, "&lt;&gt;")&gt;0, "Completado", "Pendiente")</f>
        <v>Pendiente</v>
      </c>
      <c r="G17" s="23" t="str">
        <f>IFERROR(INDEX('Base Exámenes'!$D$5:$D$154, MATCH(A17, 'Base Exámenes'!$C$5:$C$154, 0)), "")</f>
        <v/>
      </c>
      <c r="H17" s="23" t="str">
        <f>IFERROR(INDEX('Base Exámenes'!$E$5:$E$154, MATCH(A17, 'Base Exámenes'!$C$5:$C$154, 0)), "")</f>
        <v/>
      </c>
      <c r="I17" s="24" t="str">
        <f>IFERROR(INDEX('Base Exámenes'!$F$5:$F$154, MATCH(A17, 'Base Exámenes'!$C$5:$C$154, 0)), "")</f>
        <v/>
      </c>
      <c r="J17" s="6" t="str">
        <f>IFERROR(INDEX('Base Exámenes'!$G$5:$G$154, MATCH(A17, 'Base Exámenes'!$C$5:$C$154, 0)), "")</f>
        <v/>
      </c>
      <c r="K17" s="6" t="str">
        <f>IFERROR(INDEX('Base Exámenes'!$H$5:$H$154, MATCH(A17, 'Base Exámenes'!$C$5:$C$154, 0)), "anonymous")</f>
        <v>anonymous</v>
      </c>
    </row>
    <row r="18">
      <c r="A18" s="4" t="str">
        <f>'Base Oficial'!A18</f>
        <v>318</v>
      </c>
      <c r="B18" s="6" t="str">
        <f>'Base Oficial'!B18</f>
        <v>CLAUDIA CAROLINA HENRIQUEZ VELASCO </v>
      </c>
      <c r="C18" s="6" t="str">
        <f>'Base Oficial'!F18</f>
        <v>DEPARTAMENTO DE PROCESOS</v>
      </c>
      <c r="D18" s="6" t="str">
        <f>'Base Oficial'!G18</f>
        <v>Gerencia General</v>
      </c>
      <c r="E18" s="6" t="str">
        <f>'Base Oficial'!D18</f>
        <v>JEFE DE PROCESOS</v>
      </c>
      <c r="F18" s="4" t="str">
        <f>IF(COUNTIFS('Base Exámenes'!$C$5:$C$154, A18, 'Base Exámenes'!$E$5:$E$154, "&lt;&gt;")&gt;0, "Completado", "Pendiente")</f>
        <v>Completado</v>
      </c>
      <c r="G18" s="23">
        <f>IFERROR(INDEX('Base Exámenes'!$D$5:$D$154, MATCH(A18, 'Base Exámenes'!$C$5:$C$154, 0)), "")</f>
        <v>46296.436574074076</v>
      </c>
      <c r="H18" s="23">
        <f>IFERROR(INDEX('Base Exámenes'!$E$5:$E$154, MATCH(A18, 'Base Exámenes'!$C$5:$C$154, 0)), "")</f>
        <v>46296.44149305556</v>
      </c>
      <c r="I18" s="24">
        <f>IFERROR(INDEX('Base Exámenes'!$F$5:$F$154, MATCH(A18, 'Base Exámenes'!$C$5:$C$154, 0)), "")</f>
        <v>7.08333333333333</v>
      </c>
      <c r="J18" s="6">
        <f>IFERROR(INDEX('Base Exámenes'!$G$5:$G$154, MATCH(A18, 'Base Exámenes'!$C$5:$C$154, 0)), "")</f>
        <v>100</v>
      </c>
      <c r="K18" s="6" t="str">
        <f>IFERROR(INDEX('Base Exámenes'!$H$5:$H$154, MATCH(A18, 'Base Exámenes'!$C$5:$C$154, 0)), "anonymous")</f>
        <v>anonymous</v>
      </c>
    </row>
    <row r="19">
      <c r="A19" s="4" t="str">
        <f>'Base Oficial'!A19</f>
        <v>817</v>
      </c>
      <c r="B19" s="6" t="str">
        <f>'Base Oficial'!B19</f>
        <v>MAURICIO EDGARDO MIRANDA CAMPOS </v>
      </c>
      <c r="C19" s="6" t="str">
        <f>'Base Oficial'!F19</f>
        <v>DEPARTAMENTO DE PROCESOS</v>
      </c>
      <c r="D19" s="6" t="str">
        <f>'Base Oficial'!G19</f>
        <v>Gerencia General</v>
      </c>
      <c r="E19" s="6" t="str">
        <f>'Base Oficial'!D19</f>
        <v>ANALISTA DE PROCESOS</v>
      </c>
      <c r="F19" s="4" t="str">
        <f>IF(COUNTIFS('Base Exámenes'!$C$5:$C$154, A19, 'Base Exámenes'!$E$5:$E$154, "&lt;&gt;")&gt;0, "Completado", "Pendiente")</f>
        <v>Completado</v>
      </c>
      <c r="G19" s="23">
        <f>IFERROR(INDEX('Base Exámenes'!$D$5:$D$154, MATCH(A19, 'Base Exámenes'!$C$5:$C$154, 0)), "")</f>
        <v>46296.43665509259</v>
      </c>
      <c r="H19" s="23">
        <f>IFERROR(INDEX('Base Exámenes'!$E$5:$E$154, MATCH(A19, 'Base Exámenes'!$C$5:$C$154, 0)), "")</f>
        <v>46296.44137731481</v>
      </c>
      <c r="I19" s="24">
        <f>IFERROR(INDEX('Base Exámenes'!$F$5:$F$154, MATCH(A19, 'Base Exámenes'!$C$5:$C$154, 0)), "")</f>
        <v>6.8</v>
      </c>
      <c r="J19" s="6">
        <f>IFERROR(INDEX('Base Exámenes'!$G$5:$G$154, MATCH(A19, 'Base Exámenes'!$C$5:$C$154, 0)), "")</f>
        <v>100</v>
      </c>
      <c r="K19" s="6" t="str">
        <f>IFERROR(INDEX('Base Exámenes'!$H$5:$H$154, MATCH(A19, 'Base Exámenes'!$C$5:$C$154, 0)), "anonymous")</f>
        <v>anonymous</v>
      </c>
    </row>
    <row r="20">
      <c r="A20" s="4" t="str">
        <f>'Base Oficial'!A20</f>
        <v>932</v>
      </c>
      <c r="B20" s="6" t="str">
        <f>'Base Oficial'!B20</f>
        <v>HECTOR SEBASTIAN LOPEZ GRANADOS </v>
      </c>
      <c r="C20" s="6" t="str">
        <f>'Base Oficial'!F20</f>
        <v>DEPARTAMENTO DE PROCESOS</v>
      </c>
      <c r="D20" s="6" t="str">
        <f>'Base Oficial'!G20</f>
        <v>Gerencia General</v>
      </c>
      <c r="E20" s="6" t="str">
        <f>'Base Oficial'!D20</f>
        <v>ASISTENTE TECNICO DE PROCESOS</v>
      </c>
      <c r="F20" s="4" t="str">
        <f>IF(COUNTIFS('Base Exámenes'!$C$5:$C$154, A20, 'Base Exámenes'!$E$5:$E$154, "&lt;&gt;")&gt;0, "Completado", "Pendiente")</f>
        <v>Completado</v>
      </c>
      <c r="G20" s="23">
        <f>IFERROR(INDEX('Base Exámenes'!$D$5:$D$154, MATCH(A20, 'Base Exámenes'!$C$5:$C$154, 0)), "")</f>
        <v>46296.4371875</v>
      </c>
      <c r="H20" s="23">
        <f>IFERROR(INDEX('Base Exámenes'!$E$5:$E$154, MATCH(A20, 'Base Exámenes'!$C$5:$C$154, 0)), "")</f>
        <v>46296.44143518519</v>
      </c>
      <c r="I20" s="24">
        <f>IFERROR(INDEX('Base Exámenes'!$F$5:$F$154, MATCH(A20, 'Base Exámenes'!$C$5:$C$154, 0)), "")</f>
        <v>6.11666666666667</v>
      </c>
      <c r="J20" s="6">
        <f>IFERROR(INDEX('Base Exámenes'!$G$5:$G$154, MATCH(A20, 'Base Exámenes'!$C$5:$C$154, 0)), "")</f>
        <v>100</v>
      </c>
      <c r="K20" s="6" t="str">
        <f>IFERROR(INDEX('Base Exámenes'!$H$5:$H$154, MATCH(A20, 'Base Exámenes'!$C$5:$C$154, 0)), "anonymous")</f>
        <v>anonymous</v>
      </c>
    </row>
    <row r="21">
      <c r="A21" s="4" t="str">
        <f>'Base Oficial'!A21</f>
        <v>710</v>
      </c>
      <c r="B21" s="6" t="str">
        <f>'Base Oficial'!B21</f>
        <v>MARIA AZUCENA BONILLA RIVERA </v>
      </c>
      <c r="C21" s="6" t="str">
        <f>'Base Oficial'!F21</f>
        <v>OFICIALIA DE SEGURIDAD DE LA INFORMACION</v>
      </c>
      <c r="D21" s="6" t="str">
        <f>'Base Oficial'!G21</f>
        <v>Gerencia General</v>
      </c>
      <c r="E21" s="6" t="str">
        <f>'Base Oficial'!D21</f>
        <v>OFICIAL DE SEGURIDAD DE LA INFORMACION</v>
      </c>
      <c r="F21" s="4" t="str">
        <f>IF(COUNTIFS('Base Exámenes'!$C$5:$C$154, A21, 'Base Exámenes'!$E$5:$E$154, "&lt;&gt;")&gt;0, "Completado", "Pendiente")</f>
        <v>Completado</v>
      </c>
      <c r="G21" s="23">
        <f>IFERROR(INDEX('Base Exámenes'!$D$5:$D$154, MATCH(A21, 'Base Exámenes'!$C$5:$C$154, 0)), "")</f>
        <v>46296.44082175926</v>
      </c>
      <c r="H21" s="23">
        <f>IFERROR(INDEX('Base Exámenes'!$E$5:$E$154, MATCH(A21, 'Base Exámenes'!$C$5:$C$154, 0)), "")</f>
        <v>46296.448969907404</v>
      </c>
      <c r="I21" s="24">
        <f>IFERROR(INDEX('Base Exámenes'!$F$5:$F$154, MATCH(A21, 'Base Exámenes'!$C$5:$C$154, 0)), "")</f>
        <v>11.7333333333333</v>
      </c>
      <c r="J21" s="6">
        <f>IFERROR(INDEX('Base Exámenes'!$G$5:$G$154, MATCH(A21, 'Base Exámenes'!$C$5:$C$154, 0)), "")</f>
        <v>100</v>
      </c>
      <c r="K21" s="6" t="str">
        <f>IFERROR(INDEX('Base Exámenes'!$H$5:$H$154, MATCH(A21, 'Base Exámenes'!$C$5:$C$154, 0)), "anonymous")</f>
        <v>anonymous</v>
      </c>
    </row>
    <row r="22">
      <c r="A22" s="4" t="str">
        <f>'Base Oficial'!A22</f>
        <v>907</v>
      </c>
      <c r="B22" s="6" t="str">
        <f>'Base Oficial'!B22</f>
        <v>JENNIFER GEORGINA ALVARADO HERNANDEZ</v>
      </c>
      <c r="C22" s="6" t="str">
        <f>'Base Oficial'!F22</f>
        <v>OFICIALIA DE SEGURIDAD DE LA INFORMACION</v>
      </c>
      <c r="D22" s="6" t="str">
        <f>'Base Oficial'!G22</f>
        <v>Gerencia General</v>
      </c>
      <c r="E22" s="6" t="str">
        <f>'Base Oficial'!D22</f>
        <v>ANALISTA DE MONITOREO DEL FRAUDE DIGITAL</v>
      </c>
      <c r="F22" s="4" t="str">
        <f>IF(COUNTIFS('Base Exámenes'!$C$5:$C$154, A22, 'Base Exámenes'!$E$5:$E$154, "&lt;&gt;")&gt;0, "Completado", "Pendiente")</f>
        <v>Completado</v>
      </c>
      <c r="G22" s="23">
        <f>IFERROR(INDEX('Base Exámenes'!$D$5:$D$154, MATCH(A22, 'Base Exámenes'!$C$5:$C$154, 0)), "")</f>
        <v>46296.44221064815</v>
      </c>
      <c r="H22" s="23">
        <f>IFERROR(INDEX('Base Exámenes'!$E$5:$E$154, MATCH(A22, 'Base Exámenes'!$C$5:$C$154, 0)), "")</f>
        <v>46296.44850694444</v>
      </c>
      <c r="I22" s="24">
        <f>IFERROR(INDEX('Base Exámenes'!$F$5:$F$154, MATCH(A22, 'Base Exámenes'!$C$5:$C$154, 0)), "")</f>
        <v>9.06666666666667</v>
      </c>
      <c r="J22" s="6">
        <f>IFERROR(INDEX('Base Exámenes'!$G$5:$G$154, MATCH(A22, 'Base Exámenes'!$C$5:$C$154, 0)), "")</f>
        <v>85</v>
      </c>
      <c r="K22" s="6" t="str">
        <f>IFERROR(INDEX('Base Exámenes'!$H$5:$H$154, MATCH(A22, 'Base Exámenes'!$C$5:$C$154, 0)), "anonymous")</f>
        <v>anonymous</v>
      </c>
    </row>
    <row r="23">
      <c r="A23" s="4" t="str">
        <f>'Base Oficial'!A23</f>
        <v>918</v>
      </c>
      <c r="B23" s="6" t="str">
        <f>'Base Oficial'!B23</f>
        <v>MARVIN ALONSO FRANCO RAMIREZ </v>
      </c>
      <c r="C23" s="6" t="str">
        <f>'Base Oficial'!F23</f>
        <v>OFICIALIA DE SEGURIDAD DE LA INFORMACION</v>
      </c>
      <c r="D23" s="6" t="str">
        <f>'Base Oficial'!G23</f>
        <v>Gerencia General</v>
      </c>
      <c r="E23" s="6" t="str">
        <f>'Base Oficial'!D23</f>
        <v>ANALISTA DE SEGURIDAD DE LA INFORMACION</v>
      </c>
      <c r="F23" s="4" t="str">
        <f>IF(COUNTIFS('Base Exámenes'!$C$5:$C$154, A23, 'Base Exámenes'!$E$5:$E$154, "&lt;&gt;")&gt;0, "Completado", "Pendiente")</f>
        <v>Completado</v>
      </c>
      <c r="G23" s="23">
        <f>IFERROR(INDEX('Base Exámenes'!$D$5:$D$154, MATCH(A23, 'Base Exámenes'!$C$5:$C$154, 0)), "")</f>
        <v>46296.441828703704</v>
      </c>
      <c r="H23" s="23">
        <f>IFERROR(INDEX('Base Exámenes'!$E$5:$E$154, MATCH(A23, 'Base Exámenes'!$C$5:$C$154, 0)), "")</f>
        <v>46296.44851851852</v>
      </c>
      <c r="I23" s="24">
        <f>IFERROR(INDEX('Base Exámenes'!$F$5:$F$154, MATCH(A23, 'Base Exámenes'!$C$5:$C$154, 0)), "")</f>
        <v>9.63333333333333</v>
      </c>
      <c r="J23" s="6">
        <f>IFERROR(INDEX('Base Exámenes'!$G$5:$G$154, MATCH(A23, 'Base Exámenes'!$C$5:$C$154, 0)), "")</f>
        <v>100</v>
      </c>
      <c r="K23" s="6" t="str">
        <f>IFERROR(INDEX('Base Exámenes'!$H$5:$H$154, MATCH(A23, 'Base Exámenes'!$C$5:$C$154, 0)), "anonymous")</f>
        <v>anonymous</v>
      </c>
    </row>
    <row r="24">
      <c r="A24" s="4" t="str">
        <f>'Base Oficial'!A24</f>
        <v>950</v>
      </c>
      <c r="B24" s="6" t="str">
        <f>'Base Oficial'!B24</f>
        <v>VALERIA MICHELLE  QUINTANILLA FLORES  </v>
      </c>
      <c r="C24" s="6" t="str">
        <f>'Base Oficial'!F24</f>
        <v>OFICIALIA DE SEGURIDAD DE LA INFORMACION</v>
      </c>
      <c r="D24" s="6" t="str">
        <f>'Base Oficial'!G24</f>
        <v>Gerencia General</v>
      </c>
      <c r="E24" s="6" t="str">
        <f>'Base Oficial'!D24</f>
        <v>ANALISTA TECNICO DE PROTECCION DE DATOS</v>
      </c>
      <c r="F24" s="4" t="str">
        <f>IF(COUNTIFS('Base Exámenes'!$C$5:$C$154, A24, 'Base Exámenes'!$E$5:$E$154, "&lt;&gt;")&gt;0, "Completado", "Pendiente")</f>
        <v>Completado</v>
      </c>
      <c r="G24" s="23">
        <f>IFERROR(INDEX('Base Exámenes'!$D$5:$D$154, MATCH(A24, 'Base Exámenes'!$C$5:$C$154, 0)), "")</f>
        <v>46296.44081018519</v>
      </c>
      <c r="H24" s="23">
        <f>IFERROR(INDEX('Base Exámenes'!$E$5:$E$154, MATCH(A24, 'Base Exámenes'!$C$5:$C$154, 0)), "")</f>
        <v>46296.44909722222</v>
      </c>
      <c r="I24" s="24">
        <f>IFERROR(INDEX('Base Exámenes'!$F$5:$F$154, MATCH(A24, 'Base Exámenes'!$C$5:$C$154, 0)), "")</f>
        <v>11.9333333333333</v>
      </c>
      <c r="J24" s="6">
        <f>IFERROR(INDEX('Base Exámenes'!$G$5:$G$154, MATCH(A24, 'Base Exámenes'!$C$5:$C$154, 0)), "")</f>
        <v>100</v>
      </c>
      <c r="K24" s="6" t="str">
        <f>IFERROR(INDEX('Base Exámenes'!$H$5:$H$154, MATCH(A24, 'Base Exámenes'!$C$5:$C$154, 0)), "anonymous")</f>
        <v>anonymous</v>
      </c>
    </row>
    <row r="25">
      <c r="A25" s="4" t="str">
        <f>'Base Oficial'!A25</f>
        <v>45</v>
      </c>
      <c r="B25" s="6" t="str">
        <f>'Base Oficial'!B25</f>
        <v>MARTA LILLIAN VIGIL QUIJANO</v>
      </c>
      <c r="C25" s="6" t="str">
        <f>'Base Oficial'!F25</f>
        <v>GERENCIA  ADMINISTRATIVA</v>
      </c>
      <c r="D25" s="6" t="str">
        <f>'Base Oficial'!G25</f>
        <v>Gerencia Administrativa</v>
      </c>
      <c r="E25" s="6" t="str">
        <f>'Base Oficial'!D25</f>
        <v>ASISTENTE ADMINISTRATIVO DE GERENCIA  ADMINISTRATIVA</v>
      </c>
      <c r="F25" s="4" t="str">
        <f>IF(COUNTIFS('Base Exámenes'!$C$5:$C$154, A25, 'Base Exámenes'!$E$5:$E$154, "&lt;&gt;")&gt;0, "Completado", "Pendiente")</f>
        <v>Pendiente</v>
      </c>
      <c r="G25" s="23" t="str">
        <f>IFERROR(INDEX('Base Exámenes'!$D$5:$D$154, MATCH(A25, 'Base Exámenes'!$C$5:$C$154, 0)), "")</f>
        <v/>
      </c>
      <c r="H25" s="23" t="str">
        <f>IFERROR(INDEX('Base Exámenes'!$E$5:$E$154, MATCH(A25, 'Base Exámenes'!$C$5:$C$154, 0)), "")</f>
        <v/>
      </c>
      <c r="I25" s="24" t="str">
        <f>IFERROR(INDEX('Base Exámenes'!$F$5:$F$154, MATCH(A25, 'Base Exámenes'!$C$5:$C$154, 0)), "")</f>
        <v/>
      </c>
      <c r="J25" s="6" t="str">
        <f>IFERROR(INDEX('Base Exámenes'!$G$5:$G$154, MATCH(A25, 'Base Exámenes'!$C$5:$C$154, 0)), "")</f>
        <v/>
      </c>
      <c r="K25" s="6" t="str">
        <f>IFERROR(INDEX('Base Exámenes'!$H$5:$H$154, MATCH(A25, 'Base Exámenes'!$C$5:$C$154, 0)), "anonymous")</f>
        <v>anonymous</v>
      </c>
    </row>
    <row r="26">
      <c r="A26" s="4" t="str">
        <f>'Base Oficial'!A26</f>
        <v>55</v>
      </c>
      <c r="B26" s="6" t="str">
        <f>'Base Oficial'!B26</f>
        <v>LEONEL EDGARDO SALAZAR RAMIREZ </v>
      </c>
      <c r="C26" s="6" t="str">
        <f>'Base Oficial'!F26</f>
        <v>DEPARTAMENTO DE SERVICIOS GENERALES</v>
      </c>
      <c r="D26" s="6" t="str">
        <f>'Base Oficial'!G26</f>
        <v>Gerencia Administrativa</v>
      </c>
      <c r="E26" s="6" t="str">
        <f>'Base Oficial'!D26</f>
        <v>MENSAJERO</v>
      </c>
      <c r="F26" s="4" t="str">
        <f>IF(COUNTIFS('Base Exámenes'!$C$5:$C$154, A26, 'Base Exámenes'!$E$5:$E$154, "&lt;&gt;")&gt;0, "Completado", "Pendiente")</f>
        <v>Completado</v>
      </c>
      <c r="G26" s="23">
        <f>IFERROR(INDEX('Base Exámenes'!$D$5:$D$154, MATCH(A26, 'Base Exámenes'!$C$5:$C$154, 0)), "")</f>
        <v>46300.80671296296</v>
      </c>
      <c r="H26" s="23">
        <f>IFERROR(INDEX('Base Exámenes'!$E$5:$E$154, MATCH(A26, 'Base Exámenes'!$C$5:$C$154, 0)), "")</f>
        <v>46300.81421296296</v>
      </c>
      <c r="I26" s="24">
        <f>IFERROR(INDEX('Base Exámenes'!$F$5:$F$154, MATCH(A26, 'Base Exámenes'!$C$5:$C$154, 0)), "")</f>
        <v>10.8</v>
      </c>
      <c r="J26" s="6">
        <f>IFERROR(INDEX('Base Exámenes'!$G$5:$G$154, MATCH(A26, 'Base Exámenes'!$C$5:$C$154, 0)), "")</f>
        <v>90</v>
      </c>
      <c r="K26" s="6" t="str">
        <f>IFERROR(INDEX('Base Exámenes'!$H$5:$H$154, MATCH(A26, 'Base Exámenes'!$C$5:$C$154, 0)), "anonymous")</f>
        <v>anonymous</v>
      </c>
    </row>
    <row r="27">
      <c r="A27" s="4" t="str">
        <f>'Base Oficial'!A27</f>
        <v>222</v>
      </c>
      <c r="B27" s="6" t="str">
        <f>'Base Oficial'!B27</f>
        <v>MARIA GUADALUPE MARTINEZ MURCIA </v>
      </c>
      <c r="C27" s="6" t="str">
        <f>'Base Oficial'!F27</f>
        <v>DEPARTAMENTO DE SERVICIOS GENERALES</v>
      </c>
      <c r="D27" s="6" t="str">
        <f>'Base Oficial'!G27</f>
        <v>Gerencia Administrativa</v>
      </c>
      <c r="E27" s="6" t="str">
        <f>'Base Oficial'!D27</f>
        <v>AUXILIAR DE COMPRAS</v>
      </c>
      <c r="F27" s="4" t="str">
        <f>IF(COUNTIFS('Base Exámenes'!$C$5:$C$154, A27, 'Base Exámenes'!$E$5:$E$154, "&lt;&gt;")&gt;0, "Completado", "Pendiente")</f>
        <v>Completado</v>
      </c>
      <c r="G27" s="23">
        <f>IFERROR(INDEX('Base Exámenes'!$D$5:$D$154, MATCH(A27, 'Base Exámenes'!$C$5:$C$154, 0)), "")</f>
        <v>46300.65453703704</v>
      </c>
      <c r="H27" s="23">
        <f>IFERROR(INDEX('Base Exámenes'!$E$5:$E$154, MATCH(A27, 'Base Exámenes'!$C$5:$C$154, 0)), "")</f>
        <v>46300.665671296294</v>
      </c>
      <c r="I27" s="24">
        <f>IFERROR(INDEX('Base Exámenes'!$F$5:$F$154, MATCH(A27, 'Base Exámenes'!$C$5:$C$154, 0)), "")</f>
        <v>16.0333333333333</v>
      </c>
      <c r="J27" s="6">
        <f>IFERROR(INDEX('Base Exámenes'!$G$5:$G$154, MATCH(A27, 'Base Exámenes'!$C$5:$C$154, 0)), "")</f>
        <v>100</v>
      </c>
      <c r="K27" s="6" t="str">
        <f>IFERROR(INDEX('Base Exámenes'!$H$5:$H$154, MATCH(A27, 'Base Exámenes'!$C$5:$C$154, 0)), "anonymous")</f>
        <v>anonymous</v>
      </c>
    </row>
    <row r="28">
      <c r="A28" s="4" t="str">
        <f>'Base Oficial'!A28</f>
        <v>224</v>
      </c>
      <c r="B28" s="6" t="str">
        <f>'Base Oficial'!B28</f>
        <v>JESUS REYES GUZMAN FUENTES </v>
      </c>
      <c r="C28" s="6" t="str">
        <f>'Base Oficial'!F28</f>
        <v>DEPARTAMENTO DE SERVICIOS GENERALES</v>
      </c>
      <c r="D28" s="6" t="str">
        <f>'Base Oficial'!G28</f>
        <v>Gerencia Administrativa</v>
      </c>
      <c r="E28" s="6" t="str">
        <f>'Base Oficial'!D28</f>
        <v>MENSAJERO</v>
      </c>
      <c r="F28" s="4" t="str">
        <f>IF(COUNTIFS('Base Exámenes'!$C$5:$C$154, A28, 'Base Exámenes'!$E$5:$E$154, "&lt;&gt;")&gt;0, "Completado", "Pendiente")</f>
        <v>Completado</v>
      </c>
      <c r="G28" s="23">
        <f>IFERROR(INDEX('Base Exámenes'!$D$5:$D$154, MATCH(A28, 'Base Exámenes'!$C$5:$C$154, 0)), "")</f>
        <v>46297.834652777776</v>
      </c>
      <c r="H28" s="23">
        <f>IFERROR(INDEX('Base Exámenes'!$E$5:$E$154, MATCH(A28, 'Base Exámenes'!$C$5:$C$154, 0)), "")</f>
        <v>46297.84905092593</v>
      </c>
      <c r="I28" s="24">
        <f>IFERROR(INDEX('Base Exámenes'!$F$5:$F$154, MATCH(A28, 'Base Exámenes'!$C$5:$C$154, 0)), "")</f>
        <v>20.7333333333333</v>
      </c>
      <c r="J28" s="6">
        <f>IFERROR(INDEX('Base Exámenes'!$G$5:$G$154, MATCH(A28, 'Base Exámenes'!$C$5:$C$154, 0)), "")</f>
        <v>80</v>
      </c>
      <c r="K28" s="6" t="str">
        <f>IFERROR(INDEX('Base Exámenes'!$H$5:$H$154, MATCH(A28, 'Base Exámenes'!$C$5:$C$154, 0)), "anonymous")</f>
        <v>anonymous</v>
      </c>
    </row>
    <row r="29">
      <c r="A29" s="4" t="str">
        <f>'Base Oficial'!A29</f>
        <v>387</v>
      </c>
      <c r="B29" s="6" t="str">
        <f>'Base Oficial'!B29</f>
        <v>CELINA CECILIA ANZORA BERNAL </v>
      </c>
      <c r="C29" s="6" t="str">
        <f>'Base Oficial'!F29</f>
        <v>DEPARTAMENTO DE SERVICIOS GENERALES</v>
      </c>
      <c r="D29" s="6" t="str">
        <f>'Base Oficial'!G29</f>
        <v>Gerencia Administrativa</v>
      </c>
      <c r="E29" s="6" t="str">
        <f>'Base Oficial'!D29</f>
        <v>SERVICIOS VARIOS</v>
      </c>
      <c r="F29" s="4" t="str">
        <f>IF(COUNTIFS('Base Exámenes'!$C$5:$C$154, A29, 'Base Exámenes'!$E$5:$E$154, "&lt;&gt;")&gt;0, "Completado", "Pendiente")</f>
        <v>Completado</v>
      </c>
      <c r="G29" s="23">
        <f>IFERROR(INDEX('Base Exámenes'!$D$5:$D$154, MATCH(A29, 'Base Exámenes'!$C$5:$C$154, 0)), "")</f>
        <v>46298.41678240741</v>
      </c>
      <c r="H29" s="23">
        <f>IFERROR(INDEX('Base Exámenes'!$E$5:$E$154, MATCH(A29, 'Base Exámenes'!$C$5:$C$154, 0)), "")</f>
        <v>46298.4184375</v>
      </c>
      <c r="I29" s="24">
        <f>IFERROR(INDEX('Base Exámenes'!$F$5:$F$154, MATCH(A29, 'Base Exámenes'!$C$5:$C$154, 0)), "")</f>
        <v>2.38333333333333</v>
      </c>
      <c r="J29" s="6">
        <f>IFERROR(INDEX('Base Exámenes'!$G$5:$G$154, MATCH(A29, 'Base Exámenes'!$C$5:$C$154, 0)), "")</f>
        <v>90</v>
      </c>
      <c r="K29" s="6" t="str">
        <f>IFERROR(INDEX('Base Exámenes'!$H$5:$H$154, MATCH(A29, 'Base Exámenes'!$C$5:$C$154, 0)), "anonymous")</f>
        <v>anonymous</v>
      </c>
    </row>
    <row r="30">
      <c r="A30" s="4" t="str">
        <f>'Base Oficial'!A30</f>
        <v>430</v>
      </c>
      <c r="B30" s="6" t="str">
        <f>'Base Oficial'!B30</f>
        <v>MARIO ROSALES VASQUEZ </v>
      </c>
      <c r="C30" s="6" t="str">
        <f>'Base Oficial'!F30</f>
        <v>DEPARTAMENTO DE SERVICIOS GENERALES</v>
      </c>
      <c r="D30" s="6" t="str">
        <f>'Base Oficial'!G30</f>
        <v>Gerencia Administrativa</v>
      </c>
      <c r="E30" s="6" t="str">
        <f>'Base Oficial'!D30</f>
        <v>MENSAJERO</v>
      </c>
      <c r="F30" s="4" t="str">
        <f>IF(COUNTIFS('Base Exámenes'!$C$5:$C$154, A30, 'Base Exámenes'!$E$5:$E$154, "&lt;&gt;")&gt;0, "Completado", "Pendiente")</f>
        <v>Completado</v>
      </c>
      <c r="G30" s="23">
        <f>IFERROR(INDEX('Base Exámenes'!$D$5:$D$154, MATCH(A30, 'Base Exámenes'!$C$5:$C$154, 0)), "")</f>
        <v>46298.33667824074</v>
      </c>
      <c r="H30" s="23">
        <f>IFERROR(INDEX('Base Exámenes'!$E$5:$E$154, MATCH(A30, 'Base Exámenes'!$C$5:$C$154, 0)), "")</f>
        <v>46298.34488425926</v>
      </c>
      <c r="I30" s="24">
        <f>IFERROR(INDEX('Base Exámenes'!$F$5:$F$154, MATCH(A30, 'Base Exámenes'!$C$5:$C$154, 0)), "")</f>
        <v>11.8166666666667</v>
      </c>
      <c r="J30" s="6">
        <f>IFERROR(INDEX('Base Exámenes'!$G$5:$G$154, MATCH(A30, 'Base Exámenes'!$C$5:$C$154, 0)), "")</f>
        <v>40</v>
      </c>
      <c r="K30" s="6" t="str">
        <f>IFERROR(INDEX('Base Exámenes'!$H$5:$H$154, MATCH(A30, 'Base Exámenes'!$C$5:$C$154, 0)), "anonymous")</f>
        <v>anonymous</v>
      </c>
    </row>
    <row r="31">
      <c r="A31" s="4" t="str">
        <f>'Base Oficial'!A31</f>
        <v>436</v>
      </c>
      <c r="B31" s="6" t="str">
        <f>'Base Oficial'!B31</f>
        <v>MAURICIO ANTONIO RAMIREZ PEREZ </v>
      </c>
      <c r="C31" s="6" t="str">
        <f>'Base Oficial'!F31</f>
        <v>DEPARTAMENTO DE SERVICIOS GENERALES</v>
      </c>
      <c r="D31" s="6" t="str">
        <f>'Base Oficial'!G31</f>
        <v>Gerencia Administrativa</v>
      </c>
      <c r="E31" s="6" t="str">
        <f>'Base Oficial'!D31</f>
        <v>AUXILIAR DE MANTENIMIENTO</v>
      </c>
      <c r="F31" s="4" t="str">
        <f>IF(COUNTIFS('Base Exámenes'!$C$5:$C$154, A31, 'Base Exámenes'!$E$5:$E$154, "&lt;&gt;")&gt;0, "Completado", "Pendiente")</f>
        <v>Pendiente</v>
      </c>
      <c r="G31" s="23" t="str">
        <f>IFERROR(INDEX('Base Exámenes'!$D$5:$D$154, MATCH(A31, 'Base Exámenes'!$C$5:$C$154, 0)), "")</f>
        <v/>
      </c>
      <c r="H31" s="23" t="str">
        <f>IFERROR(INDEX('Base Exámenes'!$E$5:$E$154, MATCH(A31, 'Base Exámenes'!$C$5:$C$154, 0)), "")</f>
        <v/>
      </c>
      <c r="I31" s="24" t="str">
        <f>IFERROR(INDEX('Base Exámenes'!$F$5:$F$154, MATCH(A31, 'Base Exámenes'!$C$5:$C$154, 0)), "")</f>
        <v/>
      </c>
      <c r="J31" s="6" t="str">
        <f>IFERROR(INDEX('Base Exámenes'!$G$5:$G$154, MATCH(A31, 'Base Exámenes'!$C$5:$C$154, 0)), "")</f>
        <v/>
      </c>
      <c r="K31" s="6" t="str">
        <f>IFERROR(INDEX('Base Exámenes'!$H$5:$H$154, MATCH(A31, 'Base Exámenes'!$C$5:$C$154, 0)), "anonymous")</f>
        <v>anonymous</v>
      </c>
    </row>
    <row r="32">
      <c r="A32" s="4" t="str">
        <f>'Base Oficial'!A32</f>
        <v>522</v>
      </c>
      <c r="B32" s="6" t="str">
        <f>'Base Oficial'!B32</f>
        <v>MARGARITA GUADALUPE  HENRIQUEZ ELIAS </v>
      </c>
      <c r="C32" s="6" t="str">
        <f>'Base Oficial'!F32</f>
        <v>DEPARTAMENTO DE SERVICIOS GENERALES</v>
      </c>
      <c r="D32" s="6" t="str">
        <f>'Base Oficial'!G32</f>
        <v>Gerencia Administrativa</v>
      </c>
      <c r="E32" s="6" t="str">
        <f>'Base Oficial'!D32</f>
        <v>SERVICIOS VARIOS</v>
      </c>
      <c r="F32" s="4" t="str">
        <f>IF(COUNTIFS('Base Exámenes'!$C$5:$C$154, A32, 'Base Exámenes'!$E$5:$E$154, "&lt;&gt;")&gt;0, "Completado", "Pendiente")</f>
        <v>Completado</v>
      </c>
      <c r="G32" s="23">
        <f>IFERROR(INDEX('Base Exámenes'!$D$5:$D$154, MATCH(A32, 'Base Exámenes'!$C$5:$C$154, 0)), "")</f>
        <v>46297.84774305556</v>
      </c>
      <c r="H32" s="23">
        <f>IFERROR(INDEX('Base Exámenes'!$E$5:$E$154, MATCH(A32, 'Base Exámenes'!$C$5:$C$154, 0)), "")</f>
        <v>46297.85355324074</v>
      </c>
      <c r="I32" s="24">
        <f>IFERROR(INDEX('Base Exámenes'!$F$5:$F$154, MATCH(A32, 'Base Exámenes'!$C$5:$C$154, 0)), "")</f>
        <v>8.36666666666667</v>
      </c>
      <c r="J32" s="6">
        <f>IFERROR(INDEX('Base Exámenes'!$G$5:$G$154, MATCH(A32, 'Base Exámenes'!$C$5:$C$154, 0)), "")</f>
        <v>85</v>
      </c>
      <c r="K32" s="6" t="str">
        <f>IFERROR(INDEX('Base Exámenes'!$H$5:$H$154, MATCH(A32, 'Base Exámenes'!$C$5:$C$154, 0)), "anonymous")</f>
        <v>anonymous</v>
      </c>
    </row>
    <row r="33">
      <c r="A33" s="4" t="str">
        <f>'Base Oficial'!A33</f>
        <v>587</v>
      </c>
      <c r="B33" s="6" t="str">
        <f>'Base Oficial'!B33</f>
        <v>JOSE ROSALIO GARCIA SOTO </v>
      </c>
      <c r="C33" s="6" t="str">
        <f>'Base Oficial'!F33</f>
        <v>DEPARTAMENTO DE SERVICIOS GENERALES</v>
      </c>
      <c r="D33" s="6" t="str">
        <f>'Base Oficial'!G33</f>
        <v>Gerencia Administrativa</v>
      </c>
      <c r="E33" s="6" t="str">
        <f>'Base Oficial'!D33</f>
        <v>JARDINERO</v>
      </c>
      <c r="F33" s="4" t="str">
        <f>IF(COUNTIFS('Base Exámenes'!$C$5:$C$154, A33, 'Base Exámenes'!$E$5:$E$154, "&lt;&gt;")&gt;0, "Completado", "Pendiente")</f>
        <v>Completado</v>
      </c>
      <c r="G33" s="23">
        <f>IFERROR(INDEX('Base Exámenes'!$D$5:$D$154, MATCH(A33, 'Base Exámenes'!$C$5:$C$154, 0)), "")</f>
        <v>46298.40037037037</v>
      </c>
      <c r="H33" s="23">
        <f>IFERROR(INDEX('Base Exámenes'!$E$5:$E$154, MATCH(A33, 'Base Exámenes'!$C$5:$C$154, 0)), "")</f>
        <v>46298.41559027778</v>
      </c>
      <c r="I33" s="24">
        <f>IFERROR(INDEX('Base Exámenes'!$F$5:$F$154, MATCH(A33, 'Base Exámenes'!$C$5:$C$154, 0)), "")</f>
        <v>21.9166666666667</v>
      </c>
      <c r="J33" s="6">
        <f>IFERROR(INDEX('Base Exámenes'!$G$5:$G$154, MATCH(A33, 'Base Exámenes'!$C$5:$C$154, 0)), "")</f>
        <v>90</v>
      </c>
      <c r="K33" s="6" t="str">
        <f>IFERROR(INDEX('Base Exámenes'!$H$5:$H$154, MATCH(A33, 'Base Exámenes'!$C$5:$C$154, 0)), "anonymous")</f>
        <v>anonymous</v>
      </c>
    </row>
    <row r="34">
      <c r="A34" s="4" t="str">
        <f>'Base Oficial'!A34</f>
        <v>599</v>
      </c>
      <c r="B34" s="6" t="str">
        <f>'Base Oficial'!B34</f>
        <v>MAIRA ELIZABETH PEREZ LEIVA</v>
      </c>
      <c r="C34" s="6" t="str">
        <f>'Base Oficial'!F34</f>
        <v>DEPARTAMENTO DE SERVICIOS GENERALES</v>
      </c>
      <c r="D34" s="6" t="str">
        <f>'Base Oficial'!G34</f>
        <v>Gerencia Administrativa</v>
      </c>
      <c r="E34" s="6" t="str">
        <f>'Base Oficial'!D34</f>
        <v>JEFE DE SERVICIOS GENERALES</v>
      </c>
      <c r="F34" s="4" t="str">
        <f>IF(COUNTIFS('Base Exámenes'!$C$5:$C$154, A34, 'Base Exámenes'!$E$5:$E$154, "&lt;&gt;")&gt;0, "Completado", "Pendiente")</f>
        <v>Completado</v>
      </c>
      <c r="G34" s="23">
        <f>IFERROR(INDEX('Base Exámenes'!$D$5:$D$154, MATCH(A34, 'Base Exámenes'!$C$5:$C$154, 0)), "")</f>
        <v>46300.7419212963</v>
      </c>
      <c r="H34" s="23">
        <f>IFERROR(INDEX('Base Exámenes'!$E$5:$E$154, MATCH(A34, 'Base Exámenes'!$C$5:$C$154, 0)), "")</f>
        <v>46300.748703703706</v>
      </c>
      <c r="I34" s="24">
        <f>IFERROR(INDEX('Base Exámenes'!$F$5:$F$154, MATCH(A34, 'Base Exámenes'!$C$5:$C$154, 0)), "")</f>
        <v>9.76666666666667</v>
      </c>
      <c r="J34" s="6">
        <f>IFERROR(INDEX('Base Exámenes'!$G$5:$G$154, MATCH(A34, 'Base Exámenes'!$C$5:$C$154, 0)), "")</f>
        <v>100</v>
      </c>
      <c r="K34" s="6" t="str">
        <f>IFERROR(INDEX('Base Exámenes'!$H$5:$H$154, MATCH(A34, 'Base Exámenes'!$C$5:$C$154, 0)), "anonymous")</f>
        <v>anonymous</v>
      </c>
    </row>
    <row r="35">
      <c r="A35" s="4" t="str">
        <f>'Base Oficial'!A35</f>
        <v>684</v>
      </c>
      <c r="B35" s="6" t="str">
        <f>'Base Oficial'!B35</f>
        <v>ILIANA CAROLINA FLAMENCO FLORES </v>
      </c>
      <c r="C35" s="6" t="str">
        <f>'Base Oficial'!F35</f>
        <v>DEPARTAMENTO DE SERVICIOS GENERALES</v>
      </c>
      <c r="D35" s="6" t="str">
        <f>'Base Oficial'!G35</f>
        <v>Gerencia Administrativa</v>
      </c>
      <c r="E35" s="6" t="str">
        <f>'Base Oficial'!D35</f>
        <v>SERVICIOS VARIOS</v>
      </c>
      <c r="F35" s="4" t="str">
        <f>IF(COUNTIFS('Base Exámenes'!$C$5:$C$154, A35, 'Base Exámenes'!$E$5:$E$154, "&lt;&gt;")&gt;0, "Completado", "Pendiente")</f>
        <v>Completado</v>
      </c>
      <c r="G35" s="23">
        <f>IFERROR(INDEX('Base Exámenes'!$D$5:$D$154, MATCH(A35, 'Base Exámenes'!$C$5:$C$154, 0)), "")</f>
        <v>46298.29701388889</v>
      </c>
      <c r="H35" s="23">
        <f>IFERROR(INDEX('Base Exámenes'!$E$5:$E$154, MATCH(A35, 'Base Exámenes'!$C$5:$C$154, 0)), "")</f>
        <v>46298.300208333334</v>
      </c>
      <c r="I35" s="24">
        <f>IFERROR(INDEX('Base Exámenes'!$F$5:$F$154, MATCH(A35, 'Base Exámenes'!$C$5:$C$154, 0)), "")</f>
        <v>4.6</v>
      </c>
      <c r="J35" s="6">
        <f>IFERROR(INDEX('Base Exámenes'!$G$5:$G$154, MATCH(A35, 'Base Exámenes'!$C$5:$C$154, 0)), "")</f>
        <v>80</v>
      </c>
      <c r="K35" s="6" t="str">
        <f>IFERROR(INDEX('Base Exámenes'!$H$5:$H$154, MATCH(A35, 'Base Exámenes'!$C$5:$C$154, 0)), "anonymous")</f>
        <v>anonymous</v>
      </c>
    </row>
    <row r="36">
      <c r="A36" s="4" t="str">
        <f>'Base Oficial'!A36</f>
        <v>803</v>
      </c>
      <c r="B36" s="6" t="str">
        <f>'Base Oficial'!B36</f>
        <v>CHRISTIAN GEORGE FIGUEROA BLANCO </v>
      </c>
      <c r="C36" s="6" t="str">
        <f>'Base Oficial'!F36</f>
        <v>DEPARTAMENTO DE SERVICIOS GENERALES</v>
      </c>
      <c r="D36" s="6" t="str">
        <f>'Base Oficial'!G36</f>
        <v>Gerencia Administrativa</v>
      </c>
      <c r="E36" s="6" t="str">
        <f>'Base Oficial'!D36</f>
        <v>MENSAJERO</v>
      </c>
      <c r="F36" s="4" t="str">
        <f>IF(COUNTIFS('Base Exámenes'!$C$5:$C$154, A36, 'Base Exámenes'!$E$5:$E$154, "&lt;&gt;")&gt;0, "Completado", "Pendiente")</f>
        <v>Completado</v>
      </c>
      <c r="G36" s="23">
        <f>IFERROR(INDEX('Base Exámenes'!$D$5:$D$154, MATCH(A36, 'Base Exámenes'!$C$5:$C$154, 0)), "")</f>
        <v>46300.70214120371</v>
      </c>
      <c r="H36" s="23">
        <f>IFERROR(INDEX('Base Exámenes'!$E$5:$E$154, MATCH(A36, 'Base Exámenes'!$C$5:$C$154, 0)), "")</f>
        <v>46300.70883101852</v>
      </c>
      <c r="I36" s="24">
        <f>IFERROR(INDEX('Base Exámenes'!$F$5:$F$154, MATCH(A36, 'Base Exámenes'!$C$5:$C$154, 0)), "")</f>
        <v>9.63333333333333</v>
      </c>
      <c r="J36" s="6">
        <f>IFERROR(INDEX('Base Exámenes'!$G$5:$G$154, MATCH(A36, 'Base Exámenes'!$C$5:$C$154, 0)), "")</f>
        <v>60</v>
      </c>
      <c r="K36" s="6" t="str">
        <f>IFERROR(INDEX('Base Exámenes'!$H$5:$H$154, MATCH(A36, 'Base Exámenes'!$C$5:$C$154, 0)), "anonymous")</f>
        <v>anonymous</v>
      </c>
    </row>
    <row r="37">
      <c r="A37" s="4" t="str">
        <f>'Base Oficial'!A37</f>
        <v>830</v>
      </c>
      <c r="B37" s="6" t="str">
        <f>'Base Oficial'!B37</f>
        <v>GERMAN ALBERTO  CAMPOS TORRES </v>
      </c>
      <c r="C37" s="6" t="str">
        <f>'Base Oficial'!F37</f>
        <v>DEPARTAMENTO DE SERVICIOS GENERALES</v>
      </c>
      <c r="D37" s="6" t="str">
        <f>'Base Oficial'!G37</f>
        <v>Gerencia Administrativa</v>
      </c>
      <c r="E37" s="6" t="str">
        <f>'Base Oficial'!D37</f>
        <v>TECNICO EN MANTENIMIENTO</v>
      </c>
      <c r="F37" s="4" t="str">
        <f>IF(COUNTIFS('Base Exámenes'!$C$5:$C$154, A37, 'Base Exámenes'!$E$5:$E$154, "&lt;&gt;")&gt;0, "Completado", "Pendiente")</f>
        <v>Completado</v>
      </c>
      <c r="G37" s="23">
        <f>IFERROR(INDEX('Base Exámenes'!$D$5:$D$154, MATCH(A37, 'Base Exámenes'!$C$5:$C$154, 0)), "")</f>
        <v>46300.394525462965</v>
      </c>
      <c r="H37" s="23">
        <f>IFERROR(INDEX('Base Exámenes'!$E$5:$E$154, MATCH(A37, 'Base Exámenes'!$C$5:$C$154, 0)), "")</f>
        <v>46300.39962962963</v>
      </c>
      <c r="I37" s="24">
        <f>IFERROR(INDEX('Base Exámenes'!$F$5:$F$154, MATCH(A37, 'Base Exámenes'!$C$5:$C$154, 0)), "")</f>
        <v>7.35</v>
      </c>
      <c r="J37" s="6">
        <f>IFERROR(INDEX('Base Exámenes'!$G$5:$G$154, MATCH(A37, 'Base Exámenes'!$C$5:$C$154, 0)), "")</f>
        <v>95</v>
      </c>
      <c r="K37" s="6" t="str">
        <f>IFERROR(INDEX('Base Exámenes'!$H$5:$H$154, MATCH(A37, 'Base Exámenes'!$C$5:$C$154, 0)), "anonymous")</f>
        <v>anonymous</v>
      </c>
    </row>
    <row r="38">
      <c r="A38" s="4" t="str">
        <f>'Base Oficial'!A38</f>
        <v>852</v>
      </c>
      <c r="B38" s="6" t="str">
        <f>'Base Oficial'!B38</f>
        <v>JONATHAN ENRIQUE  AQUINO SANCHEZ </v>
      </c>
      <c r="C38" s="6" t="str">
        <f>'Base Oficial'!F38</f>
        <v>DEPARTAMENTO DE SERVICIOS GENERALES</v>
      </c>
      <c r="D38" s="6" t="str">
        <f>'Base Oficial'!G38</f>
        <v>Gerencia Administrativa</v>
      </c>
      <c r="E38" s="6" t="str">
        <f>'Base Oficial'!D38</f>
        <v>SERVICIOS VARIOS</v>
      </c>
      <c r="F38" s="4" t="str">
        <f>IF(COUNTIFS('Base Exámenes'!$C$5:$C$154, A38, 'Base Exámenes'!$E$5:$E$154, "&lt;&gt;")&gt;0, "Completado", "Pendiente")</f>
        <v>Completado</v>
      </c>
      <c r="G38" s="23">
        <f>IFERROR(INDEX('Base Exámenes'!$D$5:$D$154, MATCH(A38, 'Base Exámenes'!$C$5:$C$154, 0)), "")</f>
        <v>46300.52502314815</v>
      </c>
      <c r="H38" s="23">
        <f>IFERROR(INDEX('Base Exámenes'!$E$5:$E$154, MATCH(A38, 'Base Exámenes'!$C$5:$C$154, 0)), "")</f>
        <v>46300.53921296296</v>
      </c>
      <c r="I38" s="24">
        <f>IFERROR(INDEX('Base Exámenes'!$F$5:$F$154, MATCH(A38, 'Base Exámenes'!$C$5:$C$154, 0)), "")</f>
        <v>20.4333333333333</v>
      </c>
      <c r="J38" s="6">
        <f>IFERROR(INDEX('Base Exámenes'!$G$5:$G$154, MATCH(A38, 'Base Exámenes'!$C$5:$C$154, 0)), "")</f>
        <v>90</v>
      </c>
      <c r="K38" s="6" t="str">
        <f>IFERROR(INDEX('Base Exámenes'!$H$5:$H$154, MATCH(A38, 'Base Exámenes'!$C$5:$C$154, 0)), "anonymous")</f>
        <v>anonymous</v>
      </c>
    </row>
    <row r="39">
      <c r="A39" s="4" t="str">
        <f>'Base Oficial'!A39</f>
        <v>875</v>
      </c>
      <c r="B39" s="6" t="str">
        <f>'Base Oficial'!B39</f>
        <v>BELLY EMERSON RIVERA ASCENCIO </v>
      </c>
      <c r="C39" s="6" t="str">
        <f>'Base Oficial'!F39</f>
        <v>DEPARTAMENTO DE SERVICIOS GENERALES</v>
      </c>
      <c r="D39" s="6" t="str">
        <f>'Base Oficial'!G39</f>
        <v>Gerencia Administrativa</v>
      </c>
      <c r="E39" s="6" t="str">
        <f>'Base Oficial'!D39</f>
        <v>SERVICIOS VARIOS</v>
      </c>
      <c r="F39" s="4" t="str">
        <f>IF(COUNTIFS('Base Exámenes'!$C$5:$C$154, A39, 'Base Exámenes'!$E$5:$E$154, "&lt;&gt;")&gt;0, "Completado", "Pendiente")</f>
        <v>Completado</v>
      </c>
      <c r="G39" s="23">
        <f>IFERROR(INDEX('Base Exámenes'!$D$5:$D$154, MATCH(A39, 'Base Exámenes'!$C$5:$C$154, 0)), "")</f>
        <v>46298.40277777778</v>
      </c>
      <c r="H39" s="23">
        <f>IFERROR(INDEX('Base Exámenes'!$E$5:$E$154, MATCH(A39, 'Base Exámenes'!$C$5:$C$154, 0)), "")</f>
        <v>46298.41583333333</v>
      </c>
      <c r="I39" s="24">
        <f>IFERROR(INDEX('Base Exámenes'!$F$5:$F$154, MATCH(A39, 'Base Exámenes'!$C$5:$C$154, 0)), "")</f>
        <v>18.8</v>
      </c>
      <c r="J39" s="6">
        <f>IFERROR(INDEX('Base Exámenes'!$G$5:$G$154, MATCH(A39, 'Base Exámenes'!$C$5:$C$154, 0)), "")</f>
        <v>100</v>
      </c>
      <c r="K39" s="6" t="str">
        <f>IFERROR(INDEX('Base Exámenes'!$H$5:$H$154, MATCH(A39, 'Base Exámenes'!$C$5:$C$154, 0)), "anonymous")</f>
        <v>anonymous</v>
      </c>
    </row>
    <row r="40">
      <c r="A40" s="4" t="str">
        <f>'Base Oficial'!A40</f>
        <v>926</v>
      </c>
      <c r="B40" s="6" t="str">
        <f>'Base Oficial'!B40</f>
        <v>ANDRES VLADIMIR LUNA GUEVARA </v>
      </c>
      <c r="C40" s="6" t="str">
        <f>'Base Oficial'!F40</f>
        <v>DEPARTAMENTO DE SERVICIOS GENERALES</v>
      </c>
      <c r="D40" s="6" t="str">
        <f>'Base Oficial'!G40</f>
        <v>Gerencia Administrativa</v>
      </c>
      <c r="E40" s="6" t="str">
        <f>'Base Oficial'!D40</f>
        <v>MENSAJERO</v>
      </c>
      <c r="F40" s="4" t="str">
        <f>IF(COUNTIFS('Base Exámenes'!$C$5:$C$154, A40, 'Base Exámenes'!$E$5:$E$154, "&lt;&gt;")&gt;0, "Completado", "Pendiente")</f>
        <v>Completado</v>
      </c>
      <c r="G40" s="23">
        <f>IFERROR(INDEX('Base Exámenes'!$D$5:$D$154, MATCH(A40, 'Base Exámenes'!$C$5:$C$154, 0)), "")</f>
        <v>46300.60138888889</v>
      </c>
      <c r="H40" s="23">
        <f>IFERROR(INDEX('Base Exámenes'!$E$5:$E$154, MATCH(A40, 'Base Exámenes'!$C$5:$C$154, 0)), "")</f>
        <v>46300.60789351852</v>
      </c>
      <c r="I40" s="24">
        <f>IFERROR(INDEX('Base Exámenes'!$F$5:$F$154, MATCH(A40, 'Base Exámenes'!$C$5:$C$154, 0)), "")</f>
        <v>9.36666666666667</v>
      </c>
      <c r="J40" s="6">
        <f>IFERROR(INDEX('Base Exámenes'!$G$5:$G$154, MATCH(A40, 'Base Exámenes'!$C$5:$C$154, 0)), "")</f>
        <v>90</v>
      </c>
      <c r="K40" s="6" t="str">
        <f>IFERROR(INDEX('Base Exámenes'!$H$5:$H$154, MATCH(A40, 'Base Exámenes'!$C$5:$C$154, 0)), "anonymous")</f>
        <v>anonymous</v>
      </c>
    </row>
    <row r="41">
      <c r="A41" s="4" t="str">
        <f>'Base Oficial'!A41</f>
        <v>959</v>
      </c>
      <c r="B41" s="6" t="str">
        <f>'Base Oficial'!B41</f>
        <v>XIOMARA JEANNETTE ESCOBAR PORTILLO </v>
      </c>
      <c r="C41" s="6" t="str">
        <f>'Base Oficial'!F41</f>
        <v>DEPARTAMENTO DE SERVICIOS GENERALES</v>
      </c>
      <c r="D41" s="6" t="str">
        <f>'Base Oficial'!G41</f>
        <v>Gerencia Administrativa</v>
      </c>
      <c r="E41" s="6" t="str">
        <f>'Base Oficial'!D41</f>
        <v>SERVICIOS VARIOS</v>
      </c>
      <c r="F41" s="4" t="str">
        <f>IF(COUNTIFS('Base Exámenes'!$C$5:$C$154, A41, 'Base Exámenes'!$E$5:$E$154, "&lt;&gt;")&gt;0, "Completado", "Pendiente")</f>
        <v>Completado</v>
      </c>
      <c r="G41" s="23">
        <f>IFERROR(INDEX('Base Exámenes'!$D$5:$D$154, MATCH(A41, 'Base Exámenes'!$C$5:$C$154, 0)), "")</f>
        <v>46297.771944444445</v>
      </c>
      <c r="H41" s="23">
        <f>IFERROR(INDEX('Base Exámenes'!$E$5:$E$154, MATCH(A41, 'Base Exámenes'!$C$5:$C$154, 0)), "")</f>
        <v>46297.78946759259</v>
      </c>
      <c r="I41" s="24">
        <f>IFERROR(INDEX('Base Exámenes'!$F$5:$F$154, MATCH(A41, 'Base Exámenes'!$C$5:$C$154, 0)), "")</f>
        <v>25.2333333333333</v>
      </c>
      <c r="J41" s="6">
        <f>IFERROR(INDEX('Base Exámenes'!$G$5:$G$154, MATCH(A41, 'Base Exámenes'!$C$5:$C$154, 0)), "")</f>
        <v>90</v>
      </c>
      <c r="K41" s="6" t="str">
        <f>IFERROR(INDEX('Base Exámenes'!$H$5:$H$154, MATCH(A41, 'Base Exámenes'!$C$5:$C$154, 0)), "anonymous")</f>
        <v>anonymous</v>
      </c>
    </row>
    <row r="42">
      <c r="A42" s="4" t="str">
        <f>'Base Oficial'!A42</f>
        <v>972</v>
      </c>
      <c r="B42" s="6" t="str">
        <f>'Base Oficial'!B42</f>
        <v>GEOVANNY GABRIEL RODRIGUEZ SOLORZANO </v>
      </c>
      <c r="C42" s="6" t="str">
        <f>'Base Oficial'!F42</f>
        <v>DEPARTAMENTO DE SERVICIOS GENERALES</v>
      </c>
      <c r="D42" s="6" t="str">
        <f>'Base Oficial'!G42</f>
        <v>Gerencia Administrativa</v>
      </c>
      <c r="E42" s="6" t="str">
        <f>'Base Oficial'!D42</f>
        <v>AUXILIAR DE ACTIVO FIJO Y ALMACEN</v>
      </c>
      <c r="F42" s="4" t="str">
        <f>IF(COUNTIFS('Base Exámenes'!$C$5:$C$154, A42, 'Base Exámenes'!$E$5:$E$154, "&lt;&gt;")&gt;0, "Completado", "Pendiente")</f>
        <v>Completado</v>
      </c>
      <c r="G42" s="23">
        <f>IFERROR(INDEX('Base Exámenes'!$D$5:$D$154, MATCH(A42, 'Base Exámenes'!$C$5:$C$154, 0)), "")</f>
        <v>46304.51767361111</v>
      </c>
      <c r="H42" s="23">
        <f>IFERROR(INDEX('Base Exámenes'!$E$5:$E$154, MATCH(A42, 'Base Exámenes'!$C$5:$C$154, 0)), "")</f>
        <v>46304.520787037036</v>
      </c>
      <c r="I42" s="24">
        <f>IFERROR(INDEX('Base Exámenes'!$F$5:$F$154, MATCH(A42, 'Base Exámenes'!$C$5:$C$154, 0)), "")</f>
        <v>4.48333333333333</v>
      </c>
      <c r="J42" s="6">
        <f>IFERROR(INDEX('Base Exámenes'!$G$5:$G$154, MATCH(A42, 'Base Exámenes'!$C$5:$C$154, 0)), "")</f>
        <v>90</v>
      </c>
      <c r="K42" s="6" t="str">
        <f>IFERROR(INDEX('Base Exámenes'!$H$5:$H$154, MATCH(A42, 'Base Exámenes'!$C$5:$C$154, 0)), "anonymous")</f>
        <v>anonymous</v>
      </c>
    </row>
    <row r="43">
      <c r="A43" s="4" t="str">
        <f>'Base Oficial'!A43</f>
        <v>539</v>
      </c>
      <c r="B43" s="6" t="str">
        <f>'Base Oficial'!B43</f>
        <v>JESICA XIOMARA RAMOS PEÑA </v>
      </c>
      <c r="C43" s="6" t="str">
        <f>'Base Oficial'!F43</f>
        <v>DEPARTAMENTO DE CUSTODIA DE GARANTÍA Y VALORES</v>
      </c>
      <c r="D43" s="6" t="str">
        <f>'Base Oficial'!G43</f>
        <v>Gerencia Administrativa</v>
      </c>
      <c r="E43" s="6" t="str">
        <f>'Base Oficial'!D43</f>
        <v>JEFE DE CUSTODIA DE GARANTÍA Y VALORES</v>
      </c>
      <c r="F43" s="4" t="str">
        <f>IF(COUNTIFS('Base Exámenes'!$C$5:$C$154, A43, 'Base Exámenes'!$E$5:$E$154, "&lt;&gt;")&gt;0, "Completado", "Pendiente")</f>
        <v>Completado</v>
      </c>
      <c r="G43" s="23">
        <f>IFERROR(INDEX('Base Exámenes'!$D$5:$D$154, MATCH(A43, 'Base Exámenes'!$C$5:$C$154, 0)), "")</f>
        <v>46304.701215277775</v>
      </c>
      <c r="H43" s="23">
        <f>IFERROR(INDEX('Base Exámenes'!$E$5:$E$154, MATCH(A43, 'Base Exámenes'!$C$5:$C$154, 0)), "")</f>
        <v>46304.70379629629</v>
      </c>
      <c r="I43" s="24">
        <f>IFERROR(INDEX('Base Exámenes'!$F$5:$F$154, MATCH(A43, 'Base Exámenes'!$C$5:$C$154, 0)), "")</f>
        <v>3.71666666666667</v>
      </c>
      <c r="J43" s="6">
        <f>IFERROR(INDEX('Base Exámenes'!$G$5:$G$154, MATCH(A43, 'Base Exámenes'!$C$5:$C$154, 0)), "")</f>
        <v>100</v>
      </c>
      <c r="K43" s="6" t="str">
        <f>IFERROR(INDEX('Base Exámenes'!$H$5:$H$154, MATCH(A43, 'Base Exámenes'!$C$5:$C$154, 0)), "anonymous")</f>
        <v>anonymous</v>
      </c>
    </row>
    <row r="44">
      <c r="A44" s="4" t="str">
        <f>'Base Oficial'!A44</f>
        <v>678</v>
      </c>
      <c r="B44" s="6" t="str">
        <f>'Base Oficial'!B44</f>
        <v>CARLOS ALBERTO VELASQUEZ ALVARADO </v>
      </c>
      <c r="C44" s="6" t="str">
        <f>'Base Oficial'!F44</f>
        <v>DEPARTAMENTO DE CUSTODIA DE GARANTÍA Y VALORES</v>
      </c>
      <c r="D44" s="6" t="str">
        <f>'Base Oficial'!G44</f>
        <v>Gerencia Administrativa</v>
      </c>
      <c r="E44" s="6" t="str">
        <f>'Base Oficial'!D44</f>
        <v>ANALISTA DE ARCHIVO CENTRAL</v>
      </c>
      <c r="F44" s="4" t="str">
        <f>IF(COUNTIFS('Base Exámenes'!$C$5:$C$154, A44, 'Base Exámenes'!$E$5:$E$154, "&lt;&gt;")&gt;0, "Completado", "Pendiente")</f>
        <v>Completado</v>
      </c>
      <c r="G44" s="23">
        <f>IFERROR(INDEX('Base Exámenes'!$D$5:$D$154, MATCH(A44, 'Base Exámenes'!$C$5:$C$154, 0)), "")</f>
        <v>46304.416041666664</v>
      </c>
      <c r="H44" s="23">
        <f>IFERROR(INDEX('Base Exámenes'!$E$5:$E$154, MATCH(A44, 'Base Exámenes'!$C$5:$C$154, 0)), "")</f>
        <v>46304.422789351855</v>
      </c>
      <c r="I44" s="24">
        <f>IFERROR(INDEX('Base Exámenes'!$F$5:$F$154, MATCH(A44, 'Base Exámenes'!$C$5:$C$154, 0)), "")</f>
        <v>9.71666666666667</v>
      </c>
      <c r="J44" s="6">
        <f>IFERROR(INDEX('Base Exámenes'!$G$5:$G$154, MATCH(A44, 'Base Exámenes'!$C$5:$C$154, 0)), "")</f>
        <v>100</v>
      </c>
      <c r="K44" s="6" t="str">
        <f>IFERROR(INDEX('Base Exámenes'!$H$5:$H$154, MATCH(A44, 'Base Exámenes'!$C$5:$C$154, 0)), "anonymous")</f>
        <v>anonymous</v>
      </c>
    </row>
    <row r="45">
      <c r="A45" s="4" t="str">
        <f>'Base Oficial'!A45</f>
        <v>740</v>
      </c>
      <c r="B45" s="6" t="str">
        <f>'Base Oficial'!B45</f>
        <v>RAFAEL ERNESTO LOPEZ MARTINEZ </v>
      </c>
      <c r="C45" s="6" t="str">
        <f>'Base Oficial'!F45</f>
        <v>DEPARTAMENTO DE CUSTODIA DE GARANTÍA Y VALORES</v>
      </c>
      <c r="D45" s="6" t="str">
        <f>'Base Oficial'!G45</f>
        <v>Gerencia Administrativa</v>
      </c>
      <c r="E45" s="6" t="str">
        <f>'Base Oficial'!D45</f>
        <v>ASISTENTE ADMINISTRATIVO CUSTODIA DE GARANTIA Y VALORES</v>
      </c>
      <c r="F45" s="4" t="str">
        <f>IF(COUNTIFS('Base Exámenes'!$C$5:$C$154, A45, 'Base Exámenes'!$E$5:$E$154, "&lt;&gt;")&gt;0, "Completado", "Pendiente")</f>
        <v>Completado</v>
      </c>
      <c r="G45" s="23">
        <f>IFERROR(INDEX('Base Exámenes'!$D$5:$D$154, MATCH(A45, 'Base Exámenes'!$C$5:$C$154, 0)), "")</f>
        <v>46304.68376157407</v>
      </c>
      <c r="H45" s="23">
        <f>IFERROR(INDEX('Base Exámenes'!$E$5:$E$154, MATCH(A45, 'Base Exámenes'!$C$5:$C$154, 0)), "")</f>
        <v>46304.685949074075</v>
      </c>
      <c r="I45" s="24">
        <f>IFERROR(INDEX('Base Exámenes'!$F$5:$F$154, MATCH(A45, 'Base Exámenes'!$C$5:$C$154, 0)), "")</f>
        <v>3.15</v>
      </c>
      <c r="J45" s="6">
        <f>IFERROR(INDEX('Base Exámenes'!$G$5:$G$154, MATCH(A45, 'Base Exámenes'!$C$5:$C$154, 0)), "")</f>
        <v>100</v>
      </c>
      <c r="K45" s="6" t="str">
        <f>IFERROR(INDEX('Base Exámenes'!$H$5:$H$154, MATCH(A45, 'Base Exámenes'!$C$5:$C$154, 0)), "anonymous")</f>
        <v>anonymous</v>
      </c>
    </row>
    <row r="46">
      <c r="A46" s="4" t="str">
        <f>'Base Oficial'!A46</f>
        <v>934</v>
      </c>
      <c r="B46" s="6" t="str">
        <f>'Base Oficial'!B46</f>
        <v>JOSE FRANCISCO ZECEÑA MUÑOZ </v>
      </c>
      <c r="C46" s="6" t="str">
        <f>'Base Oficial'!F46</f>
        <v>DEPARTAMENTO DE CUSTODIA DE GARANTÍA Y VALORES</v>
      </c>
      <c r="D46" s="6" t="str">
        <f>'Base Oficial'!G46</f>
        <v>Gerencia Administrativa</v>
      </c>
      <c r="E46" s="6" t="str">
        <f>'Base Oficial'!D46</f>
        <v>AUXILIAR DE CUSTODIA  DE VALORES</v>
      </c>
      <c r="F46" s="4" t="str">
        <f>IF(COUNTIFS('Base Exámenes'!$C$5:$C$154, A46, 'Base Exámenes'!$E$5:$E$154, "&lt;&gt;")&gt;0, "Completado", "Pendiente")</f>
        <v>Completado</v>
      </c>
      <c r="G46" s="23">
        <f>IFERROR(INDEX('Base Exámenes'!$D$5:$D$154, MATCH(A46, 'Base Exámenes'!$C$5:$C$154, 0)), "")</f>
        <v>46304.66388888889</v>
      </c>
      <c r="H46" s="23">
        <f>IFERROR(INDEX('Base Exámenes'!$E$5:$E$154, MATCH(A46, 'Base Exámenes'!$C$5:$C$154, 0)), "")</f>
        <v>46304.67644675926</v>
      </c>
      <c r="I46" s="24">
        <f>IFERROR(INDEX('Base Exámenes'!$F$5:$F$154, MATCH(A46, 'Base Exámenes'!$C$5:$C$154, 0)), "")</f>
        <v>18.0833333333333</v>
      </c>
      <c r="J46" s="6">
        <f>IFERROR(INDEX('Base Exámenes'!$G$5:$G$154, MATCH(A46, 'Base Exámenes'!$C$5:$C$154, 0)), "")</f>
        <v>100</v>
      </c>
      <c r="K46" s="6" t="str">
        <f>IFERROR(INDEX('Base Exámenes'!$H$5:$H$154, MATCH(A46, 'Base Exámenes'!$C$5:$C$154, 0)), "anonymous")</f>
        <v>anonymous</v>
      </c>
    </row>
    <row r="47">
      <c r="A47" s="4" t="str">
        <f>'Base Oficial'!A47</f>
        <v>949</v>
      </c>
      <c r="B47" s="6" t="str">
        <f>'Base Oficial'!B47</f>
        <v>ALEJANDRO JOSE  ARGUETA  CORTEZ  </v>
      </c>
      <c r="C47" s="6" t="str">
        <f>'Base Oficial'!F47</f>
        <v>DEPARTAMENTO DE CUSTODIA DE GARANTÍA Y VALORES</v>
      </c>
      <c r="D47" s="6" t="str">
        <f>'Base Oficial'!G47</f>
        <v>Gerencia Administrativa</v>
      </c>
      <c r="E47" s="6" t="str">
        <f>'Base Oficial'!D47</f>
        <v>AUXILIAR DE CUSTODIA  DE VALORES</v>
      </c>
      <c r="F47" s="4" t="str">
        <f>IF(COUNTIFS('Base Exámenes'!$C$5:$C$154, A47, 'Base Exámenes'!$E$5:$E$154, "&lt;&gt;")&gt;0, "Completado", "Pendiente")</f>
        <v>Completado</v>
      </c>
      <c r="G47" s="23">
        <f>IFERROR(INDEX('Base Exámenes'!$D$5:$D$154, MATCH(A47, 'Base Exámenes'!$C$5:$C$154, 0)), "")</f>
        <v>46304.681238425925</v>
      </c>
      <c r="H47" s="23">
        <f>IFERROR(INDEX('Base Exámenes'!$E$5:$E$154, MATCH(A47, 'Base Exámenes'!$C$5:$C$154, 0)), "")</f>
        <v>46304.682708333334</v>
      </c>
      <c r="I47" s="24">
        <f>IFERROR(INDEX('Base Exámenes'!$F$5:$F$154, MATCH(A47, 'Base Exámenes'!$C$5:$C$154, 0)), "")</f>
        <v>2.11666666666667</v>
      </c>
      <c r="J47" s="6">
        <f>IFERROR(INDEX('Base Exámenes'!$G$5:$G$154, MATCH(A47, 'Base Exámenes'!$C$5:$C$154, 0)), "")</f>
        <v>100</v>
      </c>
      <c r="K47" s="6" t="str">
        <f>IFERROR(INDEX('Base Exámenes'!$H$5:$H$154, MATCH(A47, 'Base Exámenes'!$C$5:$C$154, 0)), "anonymous")</f>
        <v>anonymous</v>
      </c>
    </row>
    <row r="48">
      <c r="A48" s="4" t="str">
        <f>'Base Oficial'!A48</f>
        <v>973</v>
      </c>
      <c r="B48" s="6" t="str">
        <f>'Base Oficial'!B48</f>
        <v>HUGO ROLANDO VELASCO RIVERA </v>
      </c>
      <c r="C48" s="6" t="str">
        <f>'Base Oficial'!F48</f>
        <v>DEPARTAMENTO DE CUSTODIA DE GARANTÍA Y VALORES</v>
      </c>
      <c r="D48" s="6" t="str">
        <f>'Base Oficial'!G48</f>
        <v>Gerencia Administrativa</v>
      </c>
      <c r="E48" s="6" t="str">
        <f>'Base Oficial'!D48</f>
        <v>AUXILIAR DE CUSTODIA  DE VALORES</v>
      </c>
      <c r="F48" s="4" t="str">
        <f>IF(COUNTIFS('Base Exámenes'!$C$5:$C$154, A48, 'Base Exámenes'!$E$5:$E$154, "&lt;&gt;")&gt;0, "Completado", "Pendiente")</f>
        <v>Completado</v>
      </c>
      <c r="G48" s="23">
        <f>IFERROR(INDEX('Base Exámenes'!$D$5:$D$154, MATCH(A48, 'Base Exámenes'!$C$5:$C$154, 0)), "")</f>
        <v>46298.500914351855</v>
      </c>
      <c r="H48" s="23">
        <f>IFERROR(INDEX('Base Exámenes'!$E$5:$E$154, MATCH(A48, 'Base Exámenes'!$C$5:$C$154, 0)), "")</f>
        <v>46298.51430555555</v>
      </c>
      <c r="I48" s="24">
        <f>IFERROR(INDEX('Base Exámenes'!$F$5:$F$154, MATCH(A48, 'Base Exámenes'!$C$5:$C$154, 0)), "")</f>
        <v>19.2833333333333</v>
      </c>
      <c r="J48" s="6">
        <f>IFERROR(INDEX('Base Exámenes'!$G$5:$G$154, MATCH(A48, 'Base Exámenes'!$C$5:$C$154, 0)), "")</f>
        <v>100</v>
      </c>
      <c r="K48" s="6" t="str">
        <f>IFERROR(INDEX('Base Exámenes'!$H$5:$H$154, MATCH(A48, 'Base Exámenes'!$C$5:$C$154, 0)), "anonymous")</f>
        <v>anonymous</v>
      </c>
    </row>
    <row r="49">
      <c r="A49" s="4" t="str">
        <f>'Base Oficial'!A49</f>
        <v>65</v>
      </c>
      <c r="B49" s="6" t="str">
        <f>'Base Oficial'!B49</f>
        <v>DORA ALICIA CASTILLO </v>
      </c>
      <c r="C49" s="6" t="str">
        <f>'Base Oficial'!F49</f>
        <v>DEPARTAMENTO DE TALENTO HUMANO</v>
      </c>
      <c r="D49" s="6" t="str">
        <f>'Base Oficial'!G49</f>
        <v>Gerencia Administrativa</v>
      </c>
      <c r="E49" s="6" t="str">
        <f>'Base Oficial'!D49</f>
        <v>JEFE DE TALENTO HUMANO</v>
      </c>
      <c r="F49" s="4" t="str">
        <f>IF(COUNTIFS('Base Exámenes'!$C$5:$C$154, A49, 'Base Exámenes'!$E$5:$E$154, "&lt;&gt;")&gt;0, "Completado", "Pendiente")</f>
        <v>Pendiente</v>
      </c>
      <c r="G49" s="23" t="str">
        <f>IFERROR(INDEX('Base Exámenes'!$D$5:$D$154, MATCH(A49, 'Base Exámenes'!$C$5:$C$154, 0)), "")</f>
        <v/>
      </c>
      <c r="H49" s="23" t="str">
        <f>IFERROR(INDEX('Base Exámenes'!$E$5:$E$154, MATCH(A49, 'Base Exámenes'!$C$5:$C$154, 0)), "")</f>
        <v/>
      </c>
      <c r="I49" s="24" t="str">
        <f>IFERROR(INDEX('Base Exámenes'!$F$5:$F$154, MATCH(A49, 'Base Exámenes'!$C$5:$C$154, 0)), "")</f>
        <v/>
      </c>
      <c r="J49" s="6" t="str">
        <f>IFERROR(INDEX('Base Exámenes'!$G$5:$G$154, MATCH(A49, 'Base Exámenes'!$C$5:$C$154, 0)), "")</f>
        <v/>
      </c>
      <c r="K49" s="6" t="str">
        <f>IFERROR(INDEX('Base Exámenes'!$H$5:$H$154, MATCH(A49, 'Base Exámenes'!$C$5:$C$154, 0)), "anonymous")</f>
        <v>anonymous</v>
      </c>
    </row>
    <row r="50">
      <c r="A50" s="4" t="str">
        <f>'Base Oficial'!A50</f>
        <v>948</v>
      </c>
      <c r="B50" s="6" t="str">
        <f>'Base Oficial'!B50</f>
        <v>NELSON KILDER  QUIJADA ECHEVERRIA  </v>
      </c>
      <c r="C50" s="6" t="str">
        <f>'Base Oficial'!F50</f>
        <v>DEPARTAMENTO DE TALENTO HUMANO</v>
      </c>
      <c r="D50" s="6" t="str">
        <f>'Base Oficial'!G50</f>
        <v>Gerencia Administrativa</v>
      </c>
      <c r="E50" s="6" t="str">
        <f>'Base Oficial'!D50</f>
        <v>ASISTENTE TECNICO DE TALENTO HUMANO</v>
      </c>
      <c r="F50" s="4" t="str">
        <f>IF(COUNTIFS('Base Exámenes'!$C$5:$C$154, A50, 'Base Exámenes'!$E$5:$E$154, "&lt;&gt;")&gt;0, "Completado", "Pendiente")</f>
        <v>Completado</v>
      </c>
      <c r="G50" s="23">
        <f>IFERROR(INDEX('Base Exámenes'!$D$5:$D$154, MATCH(A50, 'Base Exámenes'!$C$5:$C$154, 0)), "")</f>
        <v>46304.40207175926</v>
      </c>
      <c r="H50" s="23">
        <f>IFERROR(INDEX('Base Exámenes'!$E$5:$E$154, MATCH(A50, 'Base Exámenes'!$C$5:$C$154, 0)), "")</f>
        <v>46304.406006944446</v>
      </c>
      <c r="I50" s="24">
        <f>IFERROR(INDEX('Base Exámenes'!$F$5:$F$154, MATCH(A50, 'Base Exámenes'!$C$5:$C$154, 0)), "")</f>
        <v>5.66666666666667</v>
      </c>
      <c r="J50" s="6">
        <f>IFERROR(INDEX('Base Exámenes'!$G$5:$G$154, MATCH(A50, 'Base Exámenes'!$C$5:$C$154, 0)), "")</f>
        <v>100</v>
      </c>
      <c r="K50" s="6" t="str">
        <f>IFERROR(INDEX('Base Exámenes'!$H$5:$H$154, MATCH(A50, 'Base Exámenes'!$C$5:$C$154, 0)), "anonymous")</f>
        <v>anonymous</v>
      </c>
    </row>
    <row r="51">
      <c r="A51" s="4" t="str">
        <f>'Base Oficial'!A51</f>
        <v>962</v>
      </c>
      <c r="B51" s="6" t="str">
        <f>'Base Oficial'!B51</f>
        <v>HELEN GLORIBEL PLATERO SANCHEZ </v>
      </c>
      <c r="C51" s="6" t="str">
        <f>'Base Oficial'!F51</f>
        <v>DEPARTAMENTO DE TALENTO HUMANO</v>
      </c>
      <c r="D51" s="6" t="str">
        <f>'Base Oficial'!G51</f>
        <v>Gerencia Administrativa</v>
      </c>
      <c r="E51" s="6" t="str">
        <f>'Base Oficial'!D51</f>
        <v>ANALISTA DE DESARROLLO ORGANIZACIONAL</v>
      </c>
      <c r="F51" s="4" t="str">
        <f>IF(COUNTIFS('Base Exámenes'!$C$5:$C$154, A51, 'Base Exámenes'!$E$5:$E$154, "&lt;&gt;")&gt;0, "Completado", "Pendiente")</f>
        <v>Completado</v>
      </c>
      <c r="G51" s="23">
        <f>IFERROR(INDEX('Base Exámenes'!$D$5:$D$154, MATCH(A51, 'Base Exámenes'!$C$5:$C$154, 0)), "")</f>
        <v>46304.510462962964</v>
      </c>
      <c r="H51" s="23">
        <f>IFERROR(INDEX('Base Exámenes'!$E$5:$E$154, MATCH(A51, 'Base Exámenes'!$C$5:$C$154, 0)), "")</f>
        <v>46304.52142361111</v>
      </c>
      <c r="I51" s="24">
        <f>IFERROR(INDEX('Base Exámenes'!$F$5:$F$154, MATCH(A51, 'Base Exámenes'!$C$5:$C$154, 0)), "")</f>
        <v>15.7833333333333</v>
      </c>
      <c r="J51" s="6">
        <f>IFERROR(INDEX('Base Exámenes'!$G$5:$G$154, MATCH(A51, 'Base Exámenes'!$C$5:$C$154, 0)), "")</f>
        <v>90</v>
      </c>
      <c r="K51" s="6" t="str">
        <f>IFERROR(INDEX('Base Exámenes'!$H$5:$H$154, MATCH(A51, 'Base Exámenes'!$C$5:$C$154, 0)), "anonymous")</f>
        <v>anonymous</v>
      </c>
    </row>
    <row r="52">
      <c r="A52" s="4" t="str">
        <f>'Base Oficial'!A52</f>
        <v>452</v>
      </c>
      <c r="B52" s="6" t="str">
        <f>'Base Oficial'!B52</f>
        <v>SERGIO ARTURO CALDERON SALAZAR </v>
      </c>
      <c r="C52" s="6" t="str">
        <f>'Base Oficial'!F52</f>
        <v>DEPARTAMENTO DE SEGURIDAD</v>
      </c>
      <c r="D52" s="6" t="str">
        <f>'Base Oficial'!G52</f>
        <v>Gerencia Administrativa</v>
      </c>
      <c r="E52" s="6" t="str">
        <f>'Base Oficial'!D52</f>
        <v>COORDINADOR DE SEGURIDAD</v>
      </c>
      <c r="F52" s="4" t="str">
        <f>IF(COUNTIFS('Base Exámenes'!$C$5:$C$154, A52, 'Base Exámenes'!$E$5:$E$154, "&lt;&gt;")&gt;0, "Completado", "Pendiente")</f>
        <v>Completado</v>
      </c>
      <c r="G52" s="23">
        <f>IFERROR(INDEX('Base Exámenes'!$D$5:$D$154, MATCH(A52, 'Base Exámenes'!$C$5:$C$154, 0)), "")</f>
        <v>46296.45732638889</v>
      </c>
      <c r="H52" s="23">
        <f>IFERROR(INDEX('Base Exámenes'!$E$5:$E$154, MATCH(A52, 'Base Exámenes'!$C$5:$C$154, 0)), "")</f>
        <v>46296.46072916667</v>
      </c>
      <c r="I52" s="24">
        <f>IFERROR(INDEX('Base Exámenes'!$F$5:$F$154, MATCH(A52, 'Base Exámenes'!$C$5:$C$154, 0)), "")</f>
        <v>4.9</v>
      </c>
      <c r="J52" s="6">
        <f>IFERROR(INDEX('Base Exámenes'!$G$5:$G$154, MATCH(A52, 'Base Exámenes'!$C$5:$C$154, 0)), "")</f>
        <v>90</v>
      </c>
      <c r="K52" s="6" t="str">
        <f>IFERROR(INDEX('Base Exámenes'!$H$5:$H$154, MATCH(A52, 'Base Exámenes'!$C$5:$C$154, 0)), "anonymous")</f>
        <v>anonymous</v>
      </c>
    </row>
    <row r="53">
      <c r="A53" s="4" t="str">
        <f>'Base Oficial'!A53</f>
        <v>901</v>
      </c>
      <c r="B53" s="6" t="str">
        <f>'Base Oficial'!B53</f>
        <v>CARLOS ALEJANDRO  MARAVILLA MENDEZ </v>
      </c>
      <c r="C53" s="6" t="str">
        <f>'Base Oficial'!F53</f>
        <v>DEPARTAMENTO DE SEGURIDAD</v>
      </c>
      <c r="D53" s="6" t="str">
        <f>'Base Oficial'!G53</f>
        <v>Gerencia Administrativa</v>
      </c>
      <c r="E53" s="6" t="str">
        <f>'Base Oficial'!D53</f>
        <v>OPERADOR DE MONITOREO DE LOS SISTEMAS DE SEGURIDAD</v>
      </c>
      <c r="F53" s="4" t="str">
        <f>IF(COUNTIFS('Base Exámenes'!$C$5:$C$154, A53, 'Base Exámenes'!$E$5:$E$154, "&lt;&gt;")&gt;0, "Completado", "Pendiente")</f>
        <v>Completado</v>
      </c>
      <c r="G53" s="23">
        <f>IFERROR(INDEX('Base Exámenes'!$D$5:$D$154, MATCH(A53, 'Base Exámenes'!$C$5:$C$154, 0)), "")</f>
        <v>46296.454039351855</v>
      </c>
      <c r="H53" s="23">
        <f>IFERROR(INDEX('Base Exámenes'!$E$5:$E$154, MATCH(A53, 'Base Exámenes'!$C$5:$C$154, 0)), "")</f>
        <v>46296.45633101852</v>
      </c>
      <c r="I53" s="24">
        <f>IFERROR(INDEX('Base Exámenes'!$F$5:$F$154, MATCH(A53, 'Base Exámenes'!$C$5:$C$154, 0)), "")</f>
        <v>3.3</v>
      </c>
      <c r="J53" s="6">
        <f>IFERROR(INDEX('Base Exámenes'!$G$5:$G$154, MATCH(A53, 'Base Exámenes'!$C$5:$C$154, 0)), "")</f>
        <v>100</v>
      </c>
      <c r="K53" s="6" t="str">
        <f>IFERROR(INDEX('Base Exámenes'!$H$5:$H$154, MATCH(A53, 'Base Exámenes'!$C$5:$C$154, 0)), "anonymous")</f>
        <v>anonymous</v>
      </c>
    </row>
    <row r="54">
      <c r="A54" s="4" t="str">
        <f>'Base Oficial'!A54</f>
        <v>590</v>
      </c>
      <c r="B54" s="6" t="str">
        <f>'Base Oficial'!B54</f>
        <v>LORENA ELIZABETH GALDAMEZ NUÑEZ </v>
      </c>
      <c r="C54" s="6" t="str">
        <f>'Base Oficial'!F54</f>
        <v>CLINICA EMPRESARIAL</v>
      </c>
      <c r="D54" s="6" t="str">
        <f>'Base Oficial'!G54</f>
        <v>Gerencia Administrativa</v>
      </c>
      <c r="E54" s="6" t="str">
        <f>'Base Oficial'!D54</f>
        <v>MEDICO</v>
      </c>
      <c r="F54" s="4" t="str">
        <f>IF(COUNTIFS('Base Exámenes'!$C$5:$C$154, A54, 'Base Exámenes'!$E$5:$E$154, "&lt;&gt;")&gt;0, "Completado", "Pendiente")</f>
        <v>Pendiente</v>
      </c>
      <c r="G54" s="23" t="str">
        <f>IFERROR(INDEX('Base Exámenes'!$D$5:$D$154, MATCH(A54, 'Base Exámenes'!$C$5:$C$154, 0)), "")</f>
        <v/>
      </c>
      <c r="H54" s="23" t="str">
        <f>IFERROR(INDEX('Base Exámenes'!$E$5:$E$154, MATCH(A54, 'Base Exámenes'!$C$5:$C$154, 0)), "")</f>
        <v/>
      </c>
      <c r="I54" s="24" t="str">
        <f>IFERROR(INDEX('Base Exámenes'!$F$5:$F$154, MATCH(A54, 'Base Exámenes'!$C$5:$C$154, 0)), "")</f>
        <v/>
      </c>
      <c r="J54" s="6" t="str">
        <f>IFERROR(INDEX('Base Exámenes'!$G$5:$G$154, MATCH(A54, 'Base Exámenes'!$C$5:$C$154, 0)), "")</f>
        <v/>
      </c>
      <c r="K54" s="6" t="str">
        <f>IFERROR(INDEX('Base Exámenes'!$H$5:$H$154, MATCH(A54, 'Base Exámenes'!$C$5:$C$154, 0)), "anonymous")</f>
        <v>anonymous</v>
      </c>
    </row>
    <row r="55">
      <c r="A55" s="4" t="str">
        <f>'Base Oficial'!A55</f>
        <v>609</v>
      </c>
      <c r="B55" s="6" t="str">
        <f>'Base Oficial'!B55</f>
        <v>GLADIS OSIRIS VALLE HERNANDEZ </v>
      </c>
      <c r="C55" s="6" t="str">
        <f>'Base Oficial'!F55</f>
        <v>CLINICA EMPRESARIAL</v>
      </c>
      <c r="D55" s="6" t="str">
        <f>'Base Oficial'!G55</f>
        <v>Gerencia Administrativa</v>
      </c>
      <c r="E55" s="6" t="str">
        <f>'Base Oficial'!D55</f>
        <v>ENFERMERA</v>
      </c>
      <c r="F55" s="4" t="str">
        <f>IF(COUNTIFS('Base Exámenes'!$C$5:$C$154, A55, 'Base Exámenes'!$E$5:$E$154, "&lt;&gt;")&gt;0, "Completado", "Pendiente")</f>
        <v>Pendiente</v>
      </c>
      <c r="G55" s="23" t="str">
        <f>IFERROR(INDEX('Base Exámenes'!$D$5:$D$154, MATCH(A55, 'Base Exámenes'!$C$5:$C$154, 0)), "")</f>
        <v/>
      </c>
      <c r="H55" s="23" t="str">
        <f>IFERROR(INDEX('Base Exámenes'!$E$5:$E$154, MATCH(A55, 'Base Exámenes'!$C$5:$C$154, 0)), "")</f>
        <v/>
      </c>
      <c r="I55" s="24" t="str">
        <f>IFERROR(INDEX('Base Exámenes'!$F$5:$F$154, MATCH(A55, 'Base Exámenes'!$C$5:$C$154, 0)), "")</f>
        <v/>
      </c>
      <c r="J55" s="6" t="str">
        <f>IFERROR(INDEX('Base Exámenes'!$G$5:$G$154, MATCH(A55, 'Base Exámenes'!$C$5:$C$154, 0)), "")</f>
        <v/>
      </c>
      <c r="K55" s="6" t="str">
        <f>IFERROR(INDEX('Base Exámenes'!$H$5:$H$154, MATCH(A55, 'Base Exámenes'!$C$5:$C$154, 0)), "anonymous")</f>
        <v>anonymous</v>
      </c>
    </row>
    <row r="56">
      <c r="A56" s="4" t="str">
        <f>'Base Oficial'!A56</f>
        <v>847</v>
      </c>
      <c r="B56" s="6" t="str">
        <f>'Base Oficial'!B56</f>
        <v>ZULEYMA ALEJANDRA VASQUEZ  MARIN</v>
      </c>
      <c r="C56" s="6" t="str">
        <f>'Base Oficial'!F56</f>
        <v>DEPARTAMENTO DE EDUCACION Y RESPONSABILIDAD SOCIAL</v>
      </c>
      <c r="D56" s="6" t="str">
        <f>'Base Oficial'!G56</f>
        <v>Gerencia de Negocios</v>
      </c>
      <c r="E56" s="6" t="str">
        <f>'Base Oficial'!D56</f>
        <v>JEFE DE EDUCACION Y RESPONSABILIDAD SOCIAL</v>
      </c>
      <c r="F56" s="4" t="str">
        <f>IF(COUNTIFS('Base Exámenes'!$C$5:$C$154, A56, 'Base Exámenes'!$E$5:$E$154, "&lt;&gt;")&gt;0, "Completado", "Pendiente")</f>
        <v>Pendiente</v>
      </c>
      <c r="G56" s="23" t="str">
        <f>IFERROR(INDEX('Base Exámenes'!$D$5:$D$154, MATCH(A56, 'Base Exámenes'!$C$5:$C$154, 0)), "")</f>
        <v/>
      </c>
      <c r="H56" s="23" t="str">
        <f>IFERROR(INDEX('Base Exámenes'!$E$5:$E$154, MATCH(A56, 'Base Exámenes'!$C$5:$C$154, 0)), "")</f>
        <v/>
      </c>
      <c r="I56" s="24" t="str">
        <f>IFERROR(INDEX('Base Exámenes'!$F$5:$F$154, MATCH(A56, 'Base Exámenes'!$C$5:$C$154, 0)), "")</f>
        <v/>
      </c>
      <c r="J56" s="6" t="str">
        <f>IFERROR(INDEX('Base Exámenes'!$G$5:$G$154, MATCH(A56, 'Base Exámenes'!$C$5:$C$154, 0)), "")</f>
        <v/>
      </c>
      <c r="K56" s="6" t="str">
        <f>IFERROR(INDEX('Base Exámenes'!$H$5:$H$154, MATCH(A56, 'Base Exámenes'!$C$5:$C$154, 0)), "anonymous")</f>
        <v>anonymous</v>
      </c>
    </row>
    <row r="57">
      <c r="A57" s="4" t="str">
        <f>'Base Oficial'!A57</f>
        <v>853</v>
      </c>
      <c r="B57" s="6" t="str">
        <f>'Base Oficial'!B57</f>
        <v>STEPHANIE CAROLINA MALDONADO FLORES </v>
      </c>
      <c r="C57" s="6" t="str">
        <f>'Base Oficial'!F57</f>
        <v>DEPARTAMENTO DE EDUCACION Y RESPONSABILIDAD SOCIAL</v>
      </c>
      <c r="D57" s="6" t="str">
        <f>'Base Oficial'!G57</f>
        <v>Gerencia de Negocios</v>
      </c>
      <c r="E57" s="6" t="str">
        <f>'Base Oficial'!D57</f>
        <v>ASISTENTE TECNICO DEPARTAMENTO DE EDUCACION Y RESPONSABILIDA</v>
      </c>
      <c r="F57" s="4" t="str">
        <f>IF(COUNTIFS('Base Exámenes'!$C$5:$C$154, A57, 'Base Exámenes'!$E$5:$E$154, "&lt;&gt;")&gt;0, "Completado", "Pendiente")</f>
        <v>Completado</v>
      </c>
      <c r="G57" s="23">
        <f>IFERROR(INDEX('Base Exámenes'!$D$5:$D$154, MATCH(A57, 'Base Exámenes'!$C$5:$C$154, 0)), "")</f>
        <v>46301.62170138889</v>
      </c>
      <c r="H57" s="23">
        <f>IFERROR(INDEX('Base Exámenes'!$E$5:$E$154, MATCH(A57, 'Base Exámenes'!$C$5:$C$154, 0)), "")</f>
        <v>46301.64635416667</v>
      </c>
      <c r="I57" s="24">
        <f>IFERROR(INDEX('Base Exámenes'!$F$5:$F$154, MATCH(A57, 'Base Exámenes'!$C$5:$C$154, 0)), "")</f>
        <v>35.5</v>
      </c>
      <c r="J57" s="6">
        <f>IFERROR(INDEX('Base Exámenes'!$G$5:$G$154, MATCH(A57, 'Base Exámenes'!$C$5:$C$154, 0)), "")</f>
        <v>100</v>
      </c>
      <c r="K57" s="6" t="str">
        <f>IFERROR(INDEX('Base Exámenes'!$H$5:$H$154, MATCH(A57, 'Base Exámenes'!$C$5:$C$154, 0)), "anonymous")</f>
        <v>anonymous</v>
      </c>
    </row>
    <row r="58">
      <c r="A58" s="4" t="str">
        <f>'Base Oficial'!A58</f>
        <v>919</v>
      </c>
      <c r="B58" s="6" t="str">
        <f>'Base Oficial'!B58</f>
        <v>CARLOS EDUARDO SERVELLON PEREZ </v>
      </c>
      <c r="C58" s="6" t="str">
        <f>'Base Oficial'!F58</f>
        <v>DEPARTAMENTO DE EDUCACION Y RESPONSABILIDAD SOCIAL</v>
      </c>
      <c r="D58" s="6" t="str">
        <f>'Base Oficial'!G58</f>
        <v>Gerencia de Negocios</v>
      </c>
      <c r="E58" s="6" t="str">
        <f>'Base Oficial'!D58</f>
        <v>AUXILIAR DE EDUCACION Y RESPONSABILIDAD SOCIAL</v>
      </c>
      <c r="F58" s="4" t="str">
        <f>IF(COUNTIFS('Base Exámenes'!$C$5:$C$154, A58, 'Base Exámenes'!$E$5:$E$154, "&lt;&gt;")&gt;0, "Completado", "Pendiente")</f>
        <v>Pendiente</v>
      </c>
      <c r="G58" s="23" t="str">
        <f>IFERROR(INDEX('Base Exámenes'!$D$5:$D$154, MATCH(A58, 'Base Exámenes'!$C$5:$C$154, 0)), "")</f>
        <v/>
      </c>
      <c r="H58" s="23" t="str">
        <f>IFERROR(INDEX('Base Exámenes'!$E$5:$E$154, MATCH(A58, 'Base Exámenes'!$C$5:$C$154, 0)), "")</f>
        <v/>
      </c>
      <c r="I58" s="24" t="str">
        <f>IFERROR(INDEX('Base Exámenes'!$F$5:$F$154, MATCH(A58, 'Base Exámenes'!$C$5:$C$154, 0)), "")</f>
        <v/>
      </c>
      <c r="J58" s="6" t="str">
        <f>IFERROR(INDEX('Base Exámenes'!$G$5:$G$154, MATCH(A58, 'Base Exámenes'!$C$5:$C$154, 0)), "")</f>
        <v/>
      </c>
      <c r="K58" s="6" t="str">
        <f>IFERROR(INDEX('Base Exámenes'!$H$5:$H$154, MATCH(A58, 'Base Exámenes'!$C$5:$C$154, 0)), "anonymous")</f>
        <v>anonymous</v>
      </c>
    </row>
    <row r="59">
      <c r="A59" s="4" t="str">
        <f>'Base Oficial'!A59</f>
        <v>34</v>
      </c>
      <c r="B59" s="6" t="str">
        <f>'Base Oficial'!B59</f>
        <v>YENIS MARILU ESCOBAR SORTO </v>
      </c>
      <c r="C59" s="6" t="str">
        <f>'Base Oficial'!F59</f>
        <v>DEPARTAMENTO DE SOLUCIONES FINANCIERAS</v>
      </c>
      <c r="D59" s="6" t="str">
        <f>'Base Oficial'!G59</f>
        <v>Gerencia de Negocios</v>
      </c>
      <c r="E59" s="6" t="str">
        <f>'Base Oficial'!D59</f>
        <v>EJECUTIVO DE SOLUCIONES FINANCIERAS</v>
      </c>
      <c r="F59" s="4" t="str">
        <f>IF(COUNTIFS('Base Exámenes'!$C$5:$C$154, A59, 'Base Exámenes'!$E$5:$E$154, "&lt;&gt;")&gt;0, "Completado", "Pendiente")</f>
        <v>Pendiente</v>
      </c>
      <c r="G59" s="23" t="str">
        <f>IFERROR(INDEX('Base Exámenes'!$D$5:$D$154, MATCH(A59, 'Base Exámenes'!$C$5:$C$154, 0)), "")</f>
        <v/>
      </c>
      <c r="H59" s="23" t="str">
        <f>IFERROR(INDEX('Base Exámenes'!$E$5:$E$154, MATCH(A59, 'Base Exámenes'!$C$5:$C$154, 0)), "")</f>
        <v/>
      </c>
      <c r="I59" s="24" t="str">
        <f>IFERROR(INDEX('Base Exámenes'!$F$5:$F$154, MATCH(A59, 'Base Exámenes'!$C$5:$C$154, 0)), "")</f>
        <v/>
      </c>
      <c r="J59" s="6" t="str">
        <f>IFERROR(INDEX('Base Exámenes'!$G$5:$G$154, MATCH(A59, 'Base Exámenes'!$C$5:$C$154, 0)), "")</f>
        <v/>
      </c>
      <c r="K59" s="6" t="str">
        <f>IFERROR(INDEX('Base Exámenes'!$H$5:$H$154, MATCH(A59, 'Base Exámenes'!$C$5:$C$154, 0)), "anonymous")</f>
        <v>anonymous</v>
      </c>
    </row>
    <row r="60">
      <c r="A60" s="4" t="str">
        <f>'Base Oficial'!A60</f>
        <v>182</v>
      </c>
      <c r="B60" s="6" t="str">
        <f>'Base Oficial'!B60</f>
        <v>ROSA ELIZABETH RIVAS AGUILUZ</v>
      </c>
      <c r="C60" s="6" t="str">
        <f>'Base Oficial'!F60</f>
        <v>DEPARTAMENTO DE SOLUCIONES FINANCIERAS</v>
      </c>
      <c r="D60" s="6" t="str">
        <f>'Base Oficial'!G60</f>
        <v>Gerencia de Negocios</v>
      </c>
      <c r="E60" s="6" t="str">
        <f>'Base Oficial'!D60</f>
        <v>EJECUTIVO DE SOLUCIONES FINANCIERAS</v>
      </c>
      <c r="F60" s="4" t="str">
        <f>IF(COUNTIFS('Base Exámenes'!$C$5:$C$154, A60, 'Base Exámenes'!$E$5:$E$154, "&lt;&gt;")&gt;0, "Completado", "Pendiente")</f>
        <v>Pendiente</v>
      </c>
      <c r="G60" s="23" t="str">
        <f>IFERROR(INDEX('Base Exámenes'!$D$5:$D$154, MATCH(A60, 'Base Exámenes'!$C$5:$C$154, 0)), "")</f>
        <v/>
      </c>
      <c r="H60" s="23" t="str">
        <f>IFERROR(INDEX('Base Exámenes'!$E$5:$E$154, MATCH(A60, 'Base Exámenes'!$C$5:$C$154, 0)), "")</f>
        <v/>
      </c>
      <c r="I60" s="24" t="str">
        <f>IFERROR(INDEX('Base Exámenes'!$F$5:$F$154, MATCH(A60, 'Base Exámenes'!$C$5:$C$154, 0)), "")</f>
        <v/>
      </c>
      <c r="J60" s="6" t="str">
        <f>IFERROR(INDEX('Base Exámenes'!$G$5:$G$154, MATCH(A60, 'Base Exámenes'!$C$5:$C$154, 0)), "")</f>
        <v/>
      </c>
      <c r="K60" s="6" t="str">
        <f>IFERROR(INDEX('Base Exámenes'!$H$5:$H$154, MATCH(A60, 'Base Exámenes'!$C$5:$C$154, 0)), "anonymous")</f>
        <v>anonymous</v>
      </c>
    </row>
    <row r="61">
      <c r="A61" s="4" t="str">
        <f>'Base Oficial'!A61</f>
        <v>263</v>
      </c>
      <c r="B61" s="6" t="str">
        <f>'Base Oficial'!B61</f>
        <v>XOCHILT VERONICA NOUBLEAU </v>
      </c>
      <c r="C61" s="6" t="str">
        <f>'Base Oficial'!F61</f>
        <v>DEPARTAMENTO DE SOLUCIONES FINANCIERAS</v>
      </c>
      <c r="D61" s="6" t="str">
        <f>'Base Oficial'!G61</f>
        <v>Gerencia de Negocios</v>
      </c>
      <c r="E61" s="6" t="str">
        <f>'Base Oficial'!D61</f>
        <v>EJECUTIVO DE SOLUCIONES FINANCIERAS</v>
      </c>
      <c r="F61" s="4" t="str">
        <f>IF(COUNTIFS('Base Exámenes'!$C$5:$C$154, A61, 'Base Exámenes'!$E$5:$E$154, "&lt;&gt;")&gt;0, "Completado", "Pendiente")</f>
        <v>Pendiente</v>
      </c>
      <c r="G61" s="23" t="str">
        <f>IFERROR(INDEX('Base Exámenes'!$D$5:$D$154, MATCH(A61, 'Base Exámenes'!$C$5:$C$154, 0)), "")</f>
        <v/>
      </c>
      <c r="H61" s="23" t="str">
        <f>IFERROR(INDEX('Base Exámenes'!$E$5:$E$154, MATCH(A61, 'Base Exámenes'!$C$5:$C$154, 0)), "")</f>
        <v/>
      </c>
      <c r="I61" s="24" t="str">
        <f>IFERROR(INDEX('Base Exámenes'!$F$5:$F$154, MATCH(A61, 'Base Exámenes'!$C$5:$C$154, 0)), "")</f>
        <v/>
      </c>
      <c r="J61" s="6" t="str">
        <f>IFERROR(INDEX('Base Exámenes'!$G$5:$G$154, MATCH(A61, 'Base Exámenes'!$C$5:$C$154, 0)), "")</f>
        <v/>
      </c>
      <c r="K61" s="6" t="str">
        <f>IFERROR(INDEX('Base Exámenes'!$H$5:$H$154, MATCH(A61, 'Base Exámenes'!$C$5:$C$154, 0)), "anonymous")</f>
        <v>anonymous</v>
      </c>
    </row>
    <row r="62">
      <c r="A62" s="4" t="str">
        <f>'Base Oficial'!A62</f>
        <v>289</v>
      </c>
      <c r="B62" s="6" t="str">
        <f>'Base Oficial'!B62</f>
        <v>ANA SILVIA MARTINEZ  RODRIGUEZ</v>
      </c>
      <c r="C62" s="6" t="str">
        <f>'Base Oficial'!F62</f>
        <v>DEPARTAMENTO DE SOLUCIONES FINANCIERAS</v>
      </c>
      <c r="D62" s="6" t="str">
        <f>'Base Oficial'!G62</f>
        <v>Gerencia de Negocios</v>
      </c>
      <c r="E62" s="6" t="str">
        <f>'Base Oficial'!D62</f>
        <v>EJECUTIVO DE SOLUCIONES FINANCIERAS</v>
      </c>
      <c r="F62" s="4" t="str">
        <f>IF(COUNTIFS('Base Exámenes'!$C$5:$C$154, A62, 'Base Exámenes'!$E$5:$E$154, "&lt;&gt;")&gt;0, "Completado", "Pendiente")</f>
        <v>Pendiente</v>
      </c>
      <c r="G62" s="23" t="str">
        <f>IFERROR(INDEX('Base Exámenes'!$D$5:$D$154, MATCH(A62, 'Base Exámenes'!$C$5:$C$154, 0)), "")</f>
        <v/>
      </c>
      <c r="H62" s="23" t="str">
        <f>IFERROR(INDEX('Base Exámenes'!$E$5:$E$154, MATCH(A62, 'Base Exámenes'!$C$5:$C$154, 0)), "")</f>
        <v/>
      </c>
      <c r="I62" s="24" t="str">
        <f>IFERROR(INDEX('Base Exámenes'!$F$5:$F$154, MATCH(A62, 'Base Exámenes'!$C$5:$C$154, 0)), "")</f>
        <v/>
      </c>
      <c r="J62" s="6" t="str">
        <f>IFERROR(INDEX('Base Exámenes'!$G$5:$G$154, MATCH(A62, 'Base Exámenes'!$C$5:$C$154, 0)), "")</f>
        <v/>
      </c>
      <c r="K62" s="6" t="str">
        <f>IFERROR(INDEX('Base Exámenes'!$H$5:$H$154, MATCH(A62, 'Base Exámenes'!$C$5:$C$154, 0)), "anonymous")</f>
        <v>anonymous</v>
      </c>
    </row>
    <row r="63">
      <c r="A63" s="4" t="str">
        <f>'Base Oficial'!A63</f>
        <v>298</v>
      </c>
      <c r="B63" s="6" t="str">
        <f>'Base Oficial'!B63</f>
        <v>SANDRA GUADALUPE ROQUE SANCHEZ </v>
      </c>
      <c r="C63" s="6" t="str">
        <f>'Base Oficial'!F63</f>
        <v>DEPARTAMENTO DE SOLUCIONES FINANCIERAS</v>
      </c>
      <c r="D63" s="6" t="str">
        <f>'Base Oficial'!G63</f>
        <v>Gerencia de Negocios</v>
      </c>
      <c r="E63" s="6" t="str">
        <f>'Base Oficial'!D63</f>
        <v>EJECUTIVO DE SOLUCIONES FINANCIERAS</v>
      </c>
      <c r="F63" s="4" t="str">
        <f>IF(COUNTIFS('Base Exámenes'!$C$5:$C$154, A63, 'Base Exámenes'!$E$5:$E$154, "&lt;&gt;")&gt;0, "Completado", "Pendiente")</f>
        <v>Pendiente</v>
      </c>
      <c r="G63" s="23" t="str">
        <f>IFERROR(INDEX('Base Exámenes'!$D$5:$D$154, MATCH(A63, 'Base Exámenes'!$C$5:$C$154, 0)), "")</f>
        <v/>
      </c>
      <c r="H63" s="23" t="str">
        <f>IFERROR(INDEX('Base Exámenes'!$E$5:$E$154, MATCH(A63, 'Base Exámenes'!$C$5:$C$154, 0)), "")</f>
        <v/>
      </c>
      <c r="I63" s="24" t="str">
        <f>IFERROR(INDEX('Base Exámenes'!$F$5:$F$154, MATCH(A63, 'Base Exámenes'!$C$5:$C$154, 0)), "")</f>
        <v/>
      </c>
      <c r="J63" s="6" t="str">
        <f>IFERROR(INDEX('Base Exámenes'!$G$5:$G$154, MATCH(A63, 'Base Exámenes'!$C$5:$C$154, 0)), "")</f>
        <v/>
      </c>
      <c r="K63" s="6" t="str">
        <f>IFERROR(INDEX('Base Exámenes'!$H$5:$H$154, MATCH(A63, 'Base Exámenes'!$C$5:$C$154, 0)), "anonymous")</f>
        <v>anonymous</v>
      </c>
    </row>
    <row r="64">
      <c r="A64" s="4" t="str">
        <f>'Base Oficial'!A64</f>
        <v>439</v>
      </c>
      <c r="B64" s="6" t="str">
        <f>'Base Oficial'!B64</f>
        <v>ILIANA DESIREE ALFARO </v>
      </c>
      <c r="C64" s="6" t="str">
        <f>'Base Oficial'!F64</f>
        <v>DEPARTAMENTO DE SOLUCIONES FINANCIERAS</v>
      </c>
      <c r="D64" s="6" t="str">
        <f>'Base Oficial'!G64</f>
        <v>Gerencia de Negocios</v>
      </c>
      <c r="E64" s="6" t="str">
        <f>'Base Oficial'!D64</f>
        <v>EJECUTIVO DE SOLUCIONES FINANCIERAS</v>
      </c>
      <c r="F64" s="4" t="str">
        <f>IF(COUNTIFS('Base Exámenes'!$C$5:$C$154, A64, 'Base Exámenes'!$E$5:$E$154, "&lt;&gt;")&gt;0, "Completado", "Pendiente")</f>
        <v>Completado</v>
      </c>
      <c r="G64" s="23">
        <f>IFERROR(INDEX('Base Exámenes'!$D$5:$D$154, MATCH(A64, 'Base Exámenes'!$C$5:$C$154, 0)), "")</f>
        <v>46304.3803587963</v>
      </c>
      <c r="H64" s="23">
        <f>IFERROR(INDEX('Base Exámenes'!$E$5:$E$154, MATCH(A64, 'Base Exámenes'!$C$5:$C$154, 0)), "")</f>
        <v>46304.38547453703</v>
      </c>
      <c r="I64" s="24">
        <f>IFERROR(INDEX('Base Exámenes'!$F$5:$F$154, MATCH(A64, 'Base Exámenes'!$C$5:$C$154, 0)), "")</f>
        <v>7.36666666666667</v>
      </c>
      <c r="J64" s="6">
        <f>IFERROR(INDEX('Base Exámenes'!$G$5:$G$154, MATCH(A64, 'Base Exámenes'!$C$5:$C$154, 0)), "")</f>
        <v>80</v>
      </c>
      <c r="K64" s="6" t="str">
        <f>IFERROR(INDEX('Base Exámenes'!$H$5:$H$154, MATCH(A64, 'Base Exámenes'!$C$5:$C$154, 0)), "anonymous")</f>
        <v>anonymous</v>
      </c>
    </row>
    <row r="65">
      <c r="A65" s="4" t="str">
        <f>'Base Oficial'!A65</f>
        <v>472</v>
      </c>
      <c r="B65" s="6" t="str">
        <f>'Base Oficial'!B65</f>
        <v>CARLOS ROBERTO AGUILAR SANTOS </v>
      </c>
      <c r="C65" s="6" t="str">
        <f>'Base Oficial'!F65</f>
        <v>DEPARTAMENTO DE SOLUCIONES FINANCIERAS</v>
      </c>
      <c r="D65" s="6" t="str">
        <f>'Base Oficial'!G65</f>
        <v>Gerencia de Negocios</v>
      </c>
      <c r="E65" s="6" t="str">
        <f>'Base Oficial'!D65</f>
        <v>JEFE DE SOLUCIONES FINANCIERAS</v>
      </c>
      <c r="F65" s="4" t="str">
        <f>IF(COUNTIFS('Base Exámenes'!$C$5:$C$154, A65, 'Base Exámenes'!$E$5:$E$154, "&lt;&gt;")&gt;0, "Completado", "Pendiente")</f>
        <v>Completado</v>
      </c>
      <c r="G65" s="23">
        <f>IFERROR(INDEX('Base Exámenes'!$D$5:$D$154, MATCH(A65, 'Base Exámenes'!$C$5:$C$154, 0)), "")</f>
        <v>46304.373240740744</v>
      </c>
      <c r="H65" s="23">
        <f>IFERROR(INDEX('Base Exámenes'!$E$5:$E$154, MATCH(A65, 'Base Exámenes'!$C$5:$C$154, 0)), "")</f>
        <v>46304.37534722222</v>
      </c>
      <c r="I65" s="24">
        <f>IFERROR(INDEX('Base Exámenes'!$F$5:$F$154, MATCH(A65, 'Base Exámenes'!$C$5:$C$154, 0)), "")</f>
        <v>3.03333333333333</v>
      </c>
      <c r="J65" s="6">
        <f>IFERROR(INDEX('Base Exámenes'!$G$5:$G$154, MATCH(A65, 'Base Exámenes'!$C$5:$C$154, 0)), "")</f>
        <v>100</v>
      </c>
      <c r="K65" s="6" t="str">
        <f>IFERROR(INDEX('Base Exámenes'!$H$5:$H$154, MATCH(A65, 'Base Exámenes'!$C$5:$C$154, 0)), "anonymous")</f>
        <v>anonymous</v>
      </c>
    </row>
    <row r="66">
      <c r="A66" s="4" t="str">
        <f>'Base Oficial'!A66</f>
        <v>528</v>
      </c>
      <c r="B66" s="6" t="str">
        <f>'Base Oficial'!B66</f>
        <v>ANA GRISELDA SIGÜENZA MARTINEZ </v>
      </c>
      <c r="C66" s="6" t="str">
        <f>'Base Oficial'!F66</f>
        <v>DEPARTAMENTO DE SOLUCIONES FINANCIERAS</v>
      </c>
      <c r="D66" s="6" t="str">
        <f>'Base Oficial'!G66</f>
        <v>Gerencia de Negocios</v>
      </c>
      <c r="E66" s="6" t="str">
        <f>'Base Oficial'!D66</f>
        <v>AUXILIAR DE DEPARTAMENTO DE SOLUCIONES FINANCIERAS</v>
      </c>
      <c r="F66" s="4" t="str">
        <f>IF(COUNTIFS('Base Exámenes'!$C$5:$C$154, A66, 'Base Exámenes'!$E$5:$E$154, "&lt;&gt;")&gt;0, "Completado", "Pendiente")</f>
        <v>Pendiente</v>
      </c>
      <c r="G66" s="23" t="str">
        <f>IFERROR(INDEX('Base Exámenes'!$D$5:$D$154, MATCH(A66, 'Base Exámenes'!$C$5:$C$154, 0)), "")</f>
        <v/>
      </c>
      <c r="H66" s="23" t="str">
        <f>IFERROR(INDEX('Base Exámenes'!$E$5:$E$154, MATCH(A66, 'Base Exámenes'!$C$5:$C$154, 0)), "")</f>
        <v/>
      </c>
      <c r="I66" s="24" t="str">
        <f>IFERROR(INDEX('Base Exámenes'!$F$5:$F$154, MATCH(A66, 'Base Exámenes'!$C$5:$C$154, 0)), "")</f>
        <v/>
      </c>
      <c r="J66" s="6" t="str">
        <f>IFERROR(INDEX('Base Exámenes'!$G$5:$G$154, MATCH(A66, 'Base Exámenes'!$C$5:$C$154, 0)), "")</f>
        <v/>
      </c>
      <c r="K66" s="6" t="str">
        <f>IFERROR(INDEX('Base Exámenes'!$H$5:$H$154, MATCH(A66, 'Base Exámenes'!$C$5:$C$154, 0)), "anonymous")</f>
        <v>anonymous</v>
      </c>
    </row>
    <row r="67">
      <c r="A67" s="4" t="str">
        <f>'Base Oficial'!A67</f>
        <v>573</v>
      </c>
      <c r="B67" s="6" t="str">
        <f>'Base Oficial'!B67</f>
        <v>JUAN PABLO HENRIQUEZ RAMIREZ </v>
      </c>
      <c r="C67" s="6" t="str">
        <f>'Base Oficial'!F67</f>
        <v>DEPARTAMENTO DE SOLUCIONES FINANCIERAS</v>
      </c>
      <c r="D67" s="6" t="str">
        <f>'Base Oficial'!G67</f>
        <v>Gerencia de Negocios</v>
      </c>
      <c r="E67" s="6" t="str">
        <f>'Base Oficial'!D67</f>
        <v>EJECUTIVO DE SOLUCIONES FINANCIERAS</v>
      </c>
      <c r="F67" s="4" t="str">
        <f>IF(COUNTIFS('Base Exámenes'!$C$5:$C$154, A67, 'Base Exámenes'!$E$5:$E$154, "&lt;&gt;")&gt;0, "Completado", "Pendiente")</f>
        <v>Pendiente</v>
      </c>
      <c r="G67" s="23" t="str">
        <f>IFERROR(INDEX('Base Exámenes'!$D$5:$D$154, MATCH(A67, 'Base Exámenes'!$C$5:$C$154, 0)), "")</f>
        <v/>
      </c>
      <c r="H67" s="23" t="str">
        <f>IFERROR(INDEX('Base Exámenes'!$E$5:$E$154, MATCH(A67, 'Base Exámenes'!$C$5:$C$154, 0)), "")</f>
        <v/>
      </c>
      <c r="I67" s="24" t="str">
        <f>IFERROR(INDEX('Base Exámenes'!$F$5:$F$154, MATCH(A67, 'Base Exámenes'!$C$5:$C$154, 0)), "")</f>
        <v/>
      </c>
      <c r="J67" s="6" t="str">
        <f>IFERROR(INDEX('Base Exámenes'!$G$5:$G$154, MATCH(A67, 'Base Exámenes'!$C$5:$C$154, 0)), "")</f>
        <v/>
      </c>
      <c r="K67" s="6" t="str">
        <f>IFERROR(INDEX('Base Exámenes'!$H$5:$H$154, MATCH(A67, 'Base Exámenes'!$C$5:$C$154, 0)), "anonymous")</f>
        <v>anonymous</v>
      </c>
    </row>
    <row r="68">
      <c r="A68" s="4" t="str">
        <f>'Base Oficial'!A68</f>
        <v>885</v>
      </c>
      <c r="B68" s="6" t="str">
        <f>'Base Oficial'!B68</f>
        <v>ALBA BEATRIZ MELENDEZ PRUDENCIO </v>
      </c>
      <c r="C68" s="6" t="str">
        <f>'Base Oficial'!F68</f>
        <v>DEPARTAMENTO DE SOLUCIONES FINANCIERAS</v>
      </c>
      <c r="D68" s="6" t="str">
        <f>'Base Oficial'!G68</f>
        <v>Gerencia de Negocios</v>
      </c>
      <c r="E68" s="6" t="str">
        <f>'Base Oficial'!D68</f>
        <v>ASISTENTE DE RECUPERACION JUDICIAL Y CARTERA CASTIGADA</v>
      </c>
      <c r="F68" s="4" t="str">
        <f>IF(COUNTIFS('Base Exámenes'!$C$5:$C$154, A68, 'Base Exámenes'!$E$5:$E$154, "&lt;&gt;")&gt;0, "Completado", "Pendiente")</f>
        <v>Pendiente</v>
      </c>
      <c r="G68" s="23" t="str">
        <f>IFERROR(INDEX('Base Exámenes'!$D$5:$D$154, MATCH(A68, 'Base Exámenes'!$C$5:$C$154, 0)), "")</f>
        <v/>
      </c>
      <c r="H68" s="23" t="str">
        <f>IFERROR(INDEX('Base Exámenes'!$E$5:$E$154, MATCH(A68, 'Base Exámenes'!$C$5:$C$154, 0)), "")</f>
        <v/>
      </c>
      <c r="I68" s="24" t="str">
        <f>IFERROR(INDEX('Base Exámenes'!$F$5:$F$154, MATCH(A68, 'Base Exámenes'!$C$5:$C$154, 0)), "")</f>
        <v/>
      </c>
      <c r="J68" s="6" t="str">
        <f>IFERROR(INDEX('Base Exámenes'!$G$5:$G$154, MATCH(A68, 'Base Exámenes'!$C$5:$C$154, 0)), "")</f>
        <v/>
      </c>
      <c r="K68" s="6" t="str">
        <f>IFERROR(INDEX('Base Exámenes'!$H$5:$H$154, MATCH(A68, 'Base Exámenes'!$C$5:$C$154, 0)), "anonymous")</f>
        <v>anonymous</v>
      </c>
    </row>
    <row r="69">
      <c r="A69" s="4" t="str">
        <f>'Base Oficial'!A69</f>
        <v>389</v>
      </c>
      <c r="B69" s="6" t="str">
        <f>'Base Oficial'!B69</f>
        <v>CLAUDIA CAROLINA HERNANDEZ DE PAZ </v>
      </c>
      <c r="C69" s="6" t="str">
        <f>'Base Oficial'!F69</f>
        <v>DEPARTAMENTO DE TARJETA DE CREDITO Y DEBITO</v>
      </c>
      <c r="D69" s="6" t="str">
        <f>'Base Oficial'!G69</f>
        <v>Gerencia de Operaciones</v>
      </c>
      <c r="E69" s="6" t="str">
        <f>'Base Oficial'!D69</f>
        <v>ASISTENTE TECNICO DE INTERCAMBIO DE TARJETAS</v>
      </c>
      <c r="F69" s="4" t="str">
        <f>IF(COUNTIFS('Base Exámenes'!$C$5:$C$154, A69, 'Base Exámenes'!$E$5:$E$154, "&lt;&gt;")&gt;0, "Completado", "Pendiente")</f>
        <v>Pendiente</v>
      </c>
      <c r="G69" s="23" t="str">
        <f>IFERROR(INDEX('Base Exámenes'!$D$5:$D$154, MATCH(A69, 'Base Exámenes'!$C$5:$C$154, 0)), "")</f>
        <v/>
      </c>
      <c r="H69" s="23" t="str">
        <f>IFERROR(INDEX('Base Exámenes'!$E$5:$E$154, MATCH(A69, 'Base Exámenes'!$C$5:$C$154, 0)), "")</f>
        <v/>
      </c>
      <c r="I69" s="24" t="str">
        <f>IFERROR(INDEX('Base Exámenes'!$F$5:$F$154, MATCH(A69, 'Base Exámenes'!$C$5:$C$154, 0)), "")</f>
        <v/>
      </c>
      <c r="J69" s="6" t="str">
        <f>IFERROR(INDEX('Base Exámenes'!$G$5:$G$154, MATCH(A69, 'Base Exámenes'!$C$5:$C$154, 0)), "")</f>
        <v/>
      </c>
      <c r="K69" s="6" t="str">
        <f>IFERROR(INDEX('Base Exámenes'!$H$5:$H$154, MATCH(A69, 'Base Exámenes'!$C$5:$C$154, 0)), "anonymous")</f>
        <v>anonymous</v>
      </c>
    </row>
    <row r="70">
      <c r="A70" s="4" t="str">
        <f>'Base Oficial'!A70</f>
        <v>399</v>
      </c>
      <c r="B70" s="6" t="str">
        <f>'Base Oficial'!B70</f>
        <v>GEOVANNI LIZAMA PORTILLO </v>
      </c>
      <c r="C70" s="6" t="str">
        <f>'Base Oficial'!F70</f>
        <v>DEPARTAMENTO DE TARJETA DE CREDITO Y DEBITO</v>
      </c>
      <c r="D70" s="6" t="str">
        <f>'Base Oficial'!G70</f>
        <v>Gerencia de Operaciones</v>
      </c>
      <c r="E70" s="6" t="str">
        <f>'Base Oficial'!D70</f>
        <v>JEFE DE TARJETA  DE CREDITO Y DEBITO</v>
      </c>
      <c r="F70" s="4" t="str">
        <f>IF(COUNTIFS('Base Exámenes'!$C$5:$C$154, A70, 'Base Exámenes'!$E$5:$E$154, "&lt;&gt;")&gt;0, "Completado", "Pendiente")</f>
        <v>Pendiente</v>
      </c>
      <c r="G70" s="23" t="str">
        <f>IFERROR(INDEX('Base Exámenes'!$D$5:$D$154, MATCH(A70, 'Base Exámenes'!$C$5:$C$154, 0)), "")</f>
        <v/>
      </c>
      <c r="H70" s="23" t="str">
        <f>IFERROR(INDEX('Base Exámenes'!$E$5:$E$154, MATCH(A70, 'Base Exámenes'!$C$5:$C$154, 0)), "")</f>
        <v/>
      </c>
      <c r="I70" s="24" t="str">
        <f>IFERROR(INDEX('Base Exámenes'!$F$5:$F$154, MATCH(A70, 'Base Exámenes'!$C$5:$C$154, 0)), "")</f>
        <v/>
      </c>
      <c r="J70" s="6" t="str">
        <f>IFERROR(INDEX('Base Exámenes'!$G$5:$G$154, MATCH(A70, 'Base Exámenes'!$C$5:$C$154, 0)), "")</f>
        <v/>
      </c>
      <c r="K70" s="6" t="str">
        <f>IFERROR(INDEX('Base Exámenes'!$H$5:$H$154, MATCH(A70, 'Base Exámenes'!$C$5:$C$154, 0)), "anonymous")</f>
        <v>anonymous</v>
      </c>
    </row>
    <row r="71">
      <c r="A71" s="4" t="str">
        <f>'Base Oficial'!A71</f>
        <v>459</v>
      </c>
      <c r="B71" s="6" t="str">
        <f>'Base Oficial'!B71</f>
        <v>LUIS ALEXANDER RAMIREZ MONTALVO </v>
      </c>
      <c r="C71" s="6" t="str">
        <f>'Base Oficial'!F71</f>
        <v>DEPARTAMENTO DE TARJETA DE CREDITO Y DEBITO</v>
      </c>
      <c r="D71" s="6" t="str">
        <f>'Base Oficial'!G71</f>
        <v>Gerencia de Operaciones</v>
      </c>
      <c r="E71" s="6" t="str">
        <f>'Base Oficial'!D71</f>
        <v>ASISTENTE TECNICO DE EMISION DE TARJETA</v>
      </c>
      <c r="F71" s="4" t="str">
        <f>IF(COUNTIFS('Base Exámenes'!$C$5:$C$154, A71, 'Base Exámenes'!$E$5:$E$154, "&lt;&gt;")&gt;0, "Completado", "Pendiente")</f>
        <v>Completado</v>
      </c>
      <c r="G71" s="23">
        <f>IFERROR(INDEX('Base Exámenes'!$D$5:$D$154, MATCH(A71, 'Base Exámenes'!$C$5:$C$154, 0)), "")</f>
        <v>46304.57431712963</v>
      </c>
      <c r="H71" s="23">
        <f>IFERROR(INDEX('Base Exámenes'!$E$5:$E$154, MATCH(A71, 'Base Exámenes'!$C$5:$C$154, 0)), "")</f>
        <v>46304.57939814815</v>
      </c>
      <c r="I71" s="24">
        <f>IFERROR(INDEX('Base Exámenes'!$F$5:$F$154, MATCH(A71, 'Base Exámenes'!$C$5:$C$154, 0)), "")</f>
        <v>7.31666666666667</v>
      </c>
      <c r="J71" s="6">
        <f>IFERROR(INDEX('Base Exámenes'!$G$5:$G$154, MATCH(A71, 'Base Exámenes'!$C$5:$C$154, 0)), "")</f>
        <v>95</v>
      </c>
      <c r="K71" s="6" t="str">
        <f>IFERROR(INDEX('Base Exámenes'!$H$5:$H$154, MATCH(A71, 'Base Exámenes'!$C$5:$C$154, 0)), "anonymous")</f>
        <v>anonymous</v>
      </c>
    </row>
    <row r="72">
      <c r="A72" s="4" t="str">
        <f>'Base Oficial'!A72</f>
        <v>725</v>
      </c>
      <c r="B72" s="6" t="str">
        <f>'Base Oficial'!B72</f>
        <v>ANA BEATRIZ QUINTEROS AVELAR </v>
      </c>
      <c r="C72" s="6" t="str">
        <f>'Base Oficial'!F72</f>
        <v>DEPARTAMENTO DE TARJETA DE CREDITO Y DEBITO</v>
      </c>
      <c r="D72" s="6" t="str">
        <f>'Base Oficial'!G72</f>
        <v>Gerencia de Operaciones</v>
      </c>
      <c r="E72" s="6" t="str">
        <f>'Base Oficial'!D72</f>
        <v>ASISTENTE TECNICO DE OPERACIONES DE TARJETAS</v>
      </c>
      <c r="F72" s="4" t="str">
        <f>IF(COUNTIFS('Base Exámenes'!$C$5:$C$154, A72, 'Base Exámenes'!$E$5:$E$154, "&lt;&gt;")&gt;0, "Completado", "Pendiente")</f>
        <v>Pendiente</v>
      </c>
      <c r="G72" s="23" t="str">
        <f>IFERROR(INDEX('Base Exámenes'!$D$5:$D$154, MATCH(A72, 'Base Exámenes'!$C$5:$C$154, 0)), "")</f>
        <v/>
      </c>
      <c r="H72" s="23" t="str">
        <f>IFERROR(INDEX('Base Exámenes'!$E$5:$E$154, MATCH(A72, 'Base Exámenes'!$C$5:$C$154, 0)), "")</f>
        <v/>
      </c>
      <c r="I72" s="24" t="str">
        <f>IFERROR(INDEX('Base Exámenes'!$F$5:$F$154, MATCH(A72, 'Base Exámenes'!$C$5:$C$154, 0)), "")</f>
        <v/>
      </c>
      <c r="J72" s="6" t="str">
        <f>IFERROR(INDEX('Base Exámenes'!$G$5:$G$154, MATCH(A72, 'Base Exámenes'!$C$5:$C$154, 0)), "")</f>
        <v/>
      </c>
      <c r="K72" s="6" t="str">
        <f>IFERROR(INDEX('Base Exámenes'!$H$5:$H$154, MATCH(A72, 'Base Exámenes'!$C$5:$C$154, 0)), "anonymous")</f>
        <v>anonymous</v>
      </c>
    </row>
    <row r="73">
      <c r="A73" s="4" t="str">
        <f>'Base Oficial'!A73</f>
        <v>952</v>
      </c>
      <c r="B73" s="6" t="str">
        <f>'Base Oficial'!B73</f>
        <v>ANDREA CAROLINA RUMUALDO MARTINEZ </v>
      </c>
      <c r="C73" s="6" t="str">
        <f>'Base Oficial'!F73</f>
        <v>DEPARTAMENTO DE TARJETA DE CREDITO Y DEBITO</v>
      </c>
      <c r="D73" s="6" t="str">
        <f>'Base Oficial'!G73</f>
        <v>Gerencia de Operaciones</v>
      </c>
      <c r="E73" s="6" t="str">
        <f>'Base Oficial'!D73</f>
        <v>AUXILIAR DE CONTROL DE CALIDAD</v>
      </c>
      <c r="F73" s="4" t="str">
        <f>IF(COUNTIFS('Base Exámenes'!$C$5:$C$154, A73, 'Base Exámenes'!$E$5:$E$154, "&lt;&gt;")&gt;0, "Completado", "Pendiente")</f>
        <v>Completado</v>
      </c>
      <c r="G73" s="23">
        <f>IFERROR(INDEX('Base Exámenes'!$D$5:$D$154, MATCH(A73, 'Base Exámenes'!$C$5:$C$154, 0)), "")</f>
        <v>46296.646261574075</v>
      </c>
      <c r="H73" s="23">
        <f>IFERROR(INDEX('Base Exámenes'!$E$5:$E$154, MATCH(A73, 'Base Exámenes'!$C$5:$C$154, 0)), "")</f>
        <v>46296.65724537037</v>
      </c>
      <c r="I73" s="24">
        <f>IFERROR(INDEX('Base Exámenes'!$F$5:$F$154, MATCH(A73, 'Base Exámenes'!$C$5:$C$154, 0)), "")</f>
        <v>15.8166666666667</v>
      </c>
      <c r="J73" s="6">
        <f>IFERROR(INDEX('Base Exámenes'!$G$5:$G$154, MATCH(A73, 'Base Exámenes'!$C$5:$C$154, 0)), "")</f>
        <v>100</v>
      </c>
      <c r="K73" s="6" t="str">
        <f>IFERROR(INDEX('Base Exámenes'!$H$5:$H$154, MATCH(A73, 'Base Exámenes'!$C$5:$C$154, 0)), "anonymous")</f>
        <v>anonymous</v>
      </c>
    </row>
    <row r="74">
      <c r="A74" s="4" t="str">
        <f>'Base Oficial'!A74</f>
        <v>980</v>
      </c>
      <c r="B74" s="6" t="str">
        <f>'Base Oficial'!B74</f>
        <v>FATIMA ELIZABETH LEMUS RODRIGUEZ </v>
      </c>
      <c r="C74" s="6" t="str">
        <f>'Base Oficial'!F74</f>
        <v>DEPARTAMENTO DE TARJETA DE CREDITO Y DEBITO</v>
      </c>
      <c r="D74" s="6" t="str">
        <f>'Base Oficial'!G74</f>
        <v>Gerencia de Operaciones</v>
      </c>
      <c r="E74" s="6" t="str">
        <f>'Base Oficial'!D74</f>
        <v>AUXILIAR DE EMISION DE  TARJETA</v>
      </c>
      <c r="F74" s="4" t="str">
        <f>IF(COUNTIFS('Base Exámenes'!$C$5:$C$154, A74, 'Base Exámenes'!$E$5:$E$154, "&lt;&gt;")&gt;0, "Completado", "Pendiente")</f>
        <v>Completado</v>
      </c>
      <c r="G74" s="23">
        <f>IFERROR(INDEX('Base Exámenes'!$D$5:$D$154, MATCH(A74, 'Base Exámenes'!$C$5:$C$154, 0)), "")</f>
        <v>46296.71229166666</v>
      </c>
      <c r="H74" s="23">
        <f>IFERROR(INDEX('Base Exámenes'!$E$5:$E$154, MATCH(A74, 'Base Exámenes'!$C$5:$C$154, 0)), "")</f>
        <v>46296.71346064815</v>
      </c>
      <c r="I74" s="24">
        <f>IFERROR(INDEX('Base Exámenes'!$F$5:$F$154, MATCH(A74, 'Base Exámenes'!$C$5:$C$154, 0)), "")</f>
        <v>1.68333333333333</v>
      </c>
      <c r="J74" s="6">
        <f>IFERROR(INDEX('Base Exámenes'!$G$5:$G$154, MATCH(A74, 'Base Exámenes'!$C$5:$C$154, 0)), "")</f>
        <v>100</v>
      </c>
      <c r="K74" s="6" t="str">
        <f>IFERROR(INDEX('Base Exámenes'!$H$5:$H$154, MATCH(A74, 'Base Exámenes'!$C$5:$C$154, 0)), "anonymous")</f>
        <v>anonymous</v>
      </c>
    </row>
    <row r="75">
      <c r="A75" s="4" t="str">
        <f>'Base Oficial'!A75</f>
        <v>284</v>
      </c>
      <c r="B75" s="6" t="str">
        <f>'Base Oficial'!B75</f>
        <v>MARIO ANTONIO NAVARRO PINEDA </v>
      </c>
      <c r="C75" s="6" t="str">
        <f>'Base Oficial'!F75</f>
        <v>DEPARTAMENTO DE DEPOSITOS</v>
      </c>
      <c r="D75" s="6" t="str">
        <f>'Base Oficial'!G75</f>
        <v>Gerencia de Operaciones</v>
      </c>
      <c r="E75" s="6" t="str">
        <f>'Base Oficial'!D75</f>
        <v>JEFE DE DEPOSITOS</v>
      </c>
      <c r="F75" s="4" t="str">
        <f>IF(COUNTIFS('Base Exámenes'!$C$5:$C$154, A75, 'Base Exámenes'!$E$5:$E$154, "&lt;&gt;")&gt;0, "Completado", "Pendiente")</f>
        <v>Pendiente</v>
      </c>
      <c r="G75" s="23" t="str">
        <f>IFERROR(INDEX('Base Exámenes'!$D$5:$D$154, MATCH(A75, 'Base Exámenes'!$C$5:$C$154, 0)), "")</f>
        <v/>
      </c>
      <c r="H75" s="23" t="str">
        <f>IFERROR(INDEX('Base Exámenes'!$E$5:$E$154, MATCH(A75, 'Base Exámenes'!$C$5:$C$154, 0)), "")</f>
        <v/>
      </c>
      <c r="I75" s="24" t="str">
        <f>IFERROR(INDEX('Base Exámenes'!$F$5:$F$154, MATCH(A75, 'Base Exámenes'!$C$5:$C$154, 0)), "")</f>
        <v/>
      </c>
      <c r="J75" s="6" t="str">
        <f>IFERROR(INDEX('Base Exámenes'!$G$5:$G$154, MATCH(A75, 'Base Exámenes'!$C$5:$C$154, 0)), "")</f>
        <v/>
      </c>
      <c r="K75" s="6" t="str">
        <f>IFERROR(INDEX('Base Exámenes'!$H$5:$H$154, MATCH(A75, 'Base Exámenes'!$C$5:$C$154, 0)), "anonymous")</f>
        <v>anonymous</v>
      </c>
    </row>
    <row r="76">
      <c r="A76" s="4" t="str">
        <f>'Base Oficial'!A76</f>
        <v>632</v>
      </c>
      <c r="B76" s="6" t="str">
        <f>'Base Oficial'!B76</f>
        <v>LUCILA MARGARITA CORCIO QUINTANILLA</v>
      </c>
      <c r="C76" s="6" t="str">
        <f>'Base Oficial'!F76</f>
        <v>DEPARTAMENTO DE DEPOSITOS</v>
      </c>
      <c r="D76" s="6" t="str">
        <f>'Base Oficial'!G76</f>
        <v>Gerencia de Operaciones</v>
      </c>
      <c r="E76" s="6" t="str">
        <f>'Base Oficial'!D76</f>
        <v>ASISTENTE COMPENSADOR DE CHEQUES</v>
      </c>
      <c r="F76" s="4" t="str">
        <f>IF(COUNTIFS('Base Exámenes'!$C$5:$C$154, A76, 'Base Exámenes'!$E$5:$E$154, "&lt;&gt;")&gt;0, "Completado", "Pendiente")</f>
        <v>Completado</v>
      </c>
      <c r="G76" s="23">
        <f>IFERROR(INDEX('Base Exámenes'!$D$5:$D$154, MATCH(A76, 'Base Exámenes'!$C$5:$C$154, 0)), "")</f>
        <v>46296.56951388889</v>
      </c>
      <c r="H76" s="23">
        <f>IFERROR(INDEX('Base Exámenes'!$E$5:$E$154, MATCH(A76, 'Base Exámenes'!$C$5:$C$154, 0)), "")</f>
        <v>46296.57800925926</v>
      </c>
      <c r="I76" s="24">
        <f>IFERROR(INDEX('Base Exámenes'!$F$5:$F$154, MATCH(A76, 'Base Exámenes'!$C$5:$C$154, 0)), "")</f>
        <v>12.2333333333333</v>
      </c>
      <c r="J76" s="6">
        <f>IFERROR(INDEX('Base Exámenes'!$G$5:$G$154, MATCH(A76, 'Base Exámenes'!$C$5:$C$154, 0)), "")</f>
        <v>100</v>
      </c>
      <c r="K76" s="6" t="str">
        <f>IFERROR(INDEX('Base Exámenes'!$H$5:$H$154, MATCH(A76, 'Base Exámenes'!$C$5:$C$154, 0)), "anonymous")</f>
        <v>anonymous</v>
      </c>
    </row>
    <row r="77">
      <c r="A77" s="4" t="str">
        <f>'Base Oficial'!A77</f>
        <v>773</v>
      </c>
      <c r="B77" s="6" t="str">
        <f>'Base Oficial'!B77</f>
        <v>HELLEN ESTEFANI RODRIGUEZ GARCIA </v>
      </c>
      <c r="C77" s="6" t="str">
        <f>'Base Oficial'!F77</f>
        <v>DEPARTAMENTO DE DEPOSITOS</v>
      </c>
      <c r="D77" s="6" t="str">
        <f>'Base Oficial'!G77</f>
        <v>Gerencia de Operaciones</v>
      </c>
      <c r="E77" s="6" t="str">
        <f>'Base Oficial'!D77</f>
        <v>ASISTENTE COMPENSADOR DE CHEQUES</v>
      </c>
      <c r="F77" s="4" t="str">
        <f>IF(COUNTIFS('Base Exámenes'!$C$5:$C$154, A77, 'Base Exámenes'!$E$5:$E$154, "&lt;&gt;")&gt;0, "Completado", "Pendiente")</f>
        <v>Completado</v>
      </c>
      <c r="G77" s="23">
        <f>IFERROR(INDEX('Base Exámenes'!$D$5:$D$154, MATCH(A77, 'Base Exámenes'!$C$5:$C$154, 0)), "")</f>
        <v>46297.46885416667</v>
      </c>
      <c r="H77" s="23">
        <f>IFERROR(INDEX('Base Exámenes'!$E$5:$E$154, MATCH(A77, 'Base Exámenes'!$C$5:$C$154, 0)), "")</f>
        <v>46297.47550925926</v>
      </c>
      <c r="I77" s="24">
        <f>IFERROR(INDEX('Base Exámenes'!$F$5:$F$154, MATCH(A77, 'Base Exámenes'!$C$5:$C$154, 0)), "")</f>
        <v>9.58333333333333</v>
      </c>
      <c r="J77" s="6">
        <f>IFERROR(INDEX('Base Exámenes'!$G$5:$G$154, MATCH(A77, 'Base Exámenes'!$C$5:$C$154, 0)), "")</f>
        <v>95</v>
      </c>
      <c r="K77" s="6" t="str">
        <f>IFERROR(INDEX('Base Exámenes'!$H$5:$H$154, MATCH(A77, 'Base Exámenes'!$C$5:$C$154, 0)), "anonymous")</f>
        <v>anonymous</v>
      </c>
    </row>
    <row r="78">
      <c r="A78" s="4" t="str">
        <f>'Base Oficial'!A78</f>
        <v>787</v>
      </c>
      <c r="B78" s="6" t="str">
        <f>'Base Oficial'!B78</f>
        <v>WALTER OSWALDO SANCHEZ RIVAS </v>
      </c>
      <c r="C78" s="6" t="str">
        <f>'Base Oficial'!F78</f>
        <v>DEPARTAMENTO DE DEPOSITOS</v>
      </c>
      <c r="D78" s="6" t="str">
        <f>'Base Oficial'!G78</f>
        <v>Gerencia de Operaciones</v>
      </c>
      <c r="E78" s="6" t="str">
        <f>'Base Oficial'!D78</f>
        <v>ASISTENTE COMPENSADOR DE CHEQUES</v>
      </c>
      <c r="F78" s="4" t="str">
        <f>IF(COUNTIFS('Base Exámenes'!$C$5:$C$154, A78, 'Base Exámenes'!$E$5:$E$154, "&lt;&gt;")&gt;0, "Completado", "Pendiente")</f>
        <v>Completado</v>
      </c>
      <c r="G78" s="23">
        <f>IFERROR(INDEX('Base Exámenes'!$D$5:$D$154, MATCH(A78, 'Base Exámenes'!$C$5:$C$154, 0)), "")</f>
        <v>46304.69060185185</v>
      </c>
      <c r="H78" s="23">
        <f>IFERROR(INDEX('Base Exámenes'!$E$5:$E$154, MATCH(A78, 'Base Exámenes'!$C$5:$C$154, 0)), "")</f>
        <v>46304.692928240744</v>
      </c>
      <c r="I78" s="24">
        <f>IFERROR(INDEX('Base Exámenes'!$F$5:$F$154, MATCH(A78, 'Base Exámenes'!$C$5:$C$154, 0)), "")</f>
        <v>3.35</v>
      </c>
      <c r="J78" s="6">
        <f>IFERROR(INDEX('Base Exámenes'!$G$5:$G$154, MATCH(A78, 'Base Exámenes'!$C$5:$C$154, 0)), "")</f>
        <v>100</v>
      </c>
      <c r="K78" s="6" t="str">
        <f>IFERROR(INDEX('Base Exámenes'!$H$5:$H$154, MATCH(A78, 'Base Exámenes'!$C$5:$C$154, 0)), "anonymous")</f>
        <v>anonymous</v>
      </c>
    </row>
    <row r="79">
      <c r="A79" s="4" t="str">
        <f>'Base Oficial'!A79</f>
        <v>16</v>
      </c>
      <c r="B79" s="6" t="str">
        <f>'Base Oficial'!B79</f>
        <v>YANETH MARLENY LANDAVERDE MORALES</v>
      </c>
      <c r="C79" s="6" t="str">
        <f>'Base Oficial'!F79</f>
        <v>ADMINISTRACIÓN DE CARTERAS</v>
      </c>
      <c r="D79" s="6" t="str">
        <f>'Base Oficial'!G79</f>
        <v>Gerencia de Operaciones</v>
      </c>
      <c r="E79" s="6" t="str">
        <f>'Base Oficial'!D79</f>
        <v>JEFE DE ADMINISTRACION DE CARTERA</v>
      </c>
      <c r="F79" s="4" t="str">
        <f>IF(COUNTIFS('Base Exámenes'!$C$5:$C$154, A79, 'Base Exámenes'!$E$5:$E$154, "&lt;&gt;")&gt;0, "Completado", "Pendiente")</f>
        <v>Pendiente</v>
      </c>
      <c r="G79" s="23" t="str">
        <f>IFERROR(INDEX('Base Exámenes'!$D$5:$D$154, MATCH(A79, 'Base Exámenes'!$C$5:$C$154, 0)), "")</f>
        <v/>
      </c>
      <c r="H79" s="23" t="str">
        <f>IFERROR(INDEX('Base Exámenes'!$E$5:$E$154, MATCH(A79, 'Base Exámenes'!$C$5:$C$154, 0)), "")</f>
        <v/>
      </c>
      <c r="I79" s="24" t="str">
        <f>IFERROR(INDEX('Base Exámenes'!$F$5:$F$154, MATCH(A79, 'Base Exámenes'!$C$5:$C$154, 0)), "")</f>
        <v/>
      </c>
      <c r="J79" s="6" t="str">
        <f>IFERROR(INDEX('Base Exámenes'!$G$5:$G$154, MATCH(A79, 'Base Exámenes'!$C$5:$C$154, 0)), "")</f>
        <v/>
      </c>
      <c r="K79" s="6" t="str">
        <f>IFERROR(INDEX('Base Exámenes'!$H$5:$H$154, MATCH(A79, 'Base Exámenes'!$C$5:$C$154, 0)), "anonymous")</f>
        <v>anonymous</v>
      </c>
    </row>
    <row r="80">
      <c r="A80" s="4" t="str">
        <f>'Base Oficial'!A80</f>
        <v>477</v>
      </c>
      <c r="B80" s="6" t="str">
        <f>'Base Oficial'!B80</f>
        <v>GEMA YESENIA VILLALOBOS HERNANDEZ </v>
      </c>
      <c r="C80" s="6" t="str">
        <f>'Base Oficial'!F80</f>
        <v>ADMINISTRACIÓN DE CARTERAS</v>
      </c>
      <c r="D80" s="6" t="str">
        <f>'Base Oficial'!G80</f>
        <v>Gerencia de Operaciones</v>
      </c>
      <c r="E80" s="6" t="str">
        <f>'Base Oficial'!D80</f>
        <v>ANALISTA DE CARTERAS</v>
      </c>
      <c r="F80" s="4" t="str">
        <f>IF(COUNTIFS('Base Exámenes'!$C$5:$C$154, A80, 'Base Exámenes'!$E$5:$E$154, "&lt;&gt;")&gt;0, "Completado", "Pendiente")</f>
        <v>Pendiente</v>
      </c>
      <c r="G80" s="23" t="str">
        <f>IFERROR(INDEX('Base Exámenes'!$D$5:$D$154, MATCH(A80, 'Base Exámenes'!$C$5:$C$154, 0)), "")</f>
        <v/>
      </c>
      <c r="H80" s="23" t="str">
        <f>IFERROR(INDEX('Base Exámenes'!$E$5:$E$154, MATCH(A80, 'Base Exámenes'!$C$5:$C$154, 0)), "")</f>
        <v/>
      </c>
      <c r="I80" s="24" t="str">
        <f>IFERROR(INDEX('Base Exámenes'!$F$5:$F$154, MATCH(A80, 'Base Exámenes'!$C$5:$C$154, 0)), "")</f>
        <v/>
      </c>
      <c r="J80" s="6" t="str">
        <f>IFERROR(INDEX('Base Exámenes'!$G$5:$G$154, MATCH(A80, 'Base Exámenes'!$C$5:$C$154, 0)), "")</f>
        <v/>
      </c>
      <c r="K80" s="6" t="str">
        <f>IFERROR(INDEX('Base Exámenes'!$H$5:$H$154, MATCH(A80, 'Base Exámenes'!$C$5:$C$154, 0)), "anonymous")</f>
        <v>anonymous</v>
      </c>
    </row>
    <row r="81">
      <c r="A81" s="4" t="str">
        <f>'Base Oficial'!A81</f>
        <v>572</v>
      </c>
      <c r="B81" s="6" t="str">
        <f>'Base Oficial'!B81</f>
        <v>PAMELA GIOVANNA AGUILAR SERBELLON </v>
      </c>
      <c r="C81" s="6" t="str">
        <f>'Base Oficial'!F81</f>
        <v>ADMINISTRACIÓN DE CARTERAS</v>
      </c>
      <c r="D81" s="6" t="str">
        <f>'Base Oficial'!G81</f>
        <v>Gerencia de Operaciones</v>
      </c>
      <c r="E81" s="6" t="str">
        <f>'Base Oficial'!D81</f>
        <v>GESTOR DE COBROS Y PAGOS DE SEGUROS</v>
      </c>
      <c r="F81" s="4" t="str">
        <f>IF(COUNTIFS('Base Exámenes'!$C$5:$C$154, A81, 'Base Exámenes'!$E$5:$E$154, "&lt;&gt;")&gt;0, "Completado", "Pendiente")</f>
        <v>Completado</v>
      </c>
      <c r="G81" s="23">
        <f>IFERROR(INDEX('Base Exámenes'!$D$5:$D$154, MATCH(A81, 'Base Exámenes'!$C$5:$C$154, 0)), "")</f>
        <v>46304.494108796294</v>
      </c>
      <c r="H81" s="23">
        <f>IFERROR(INDEX('Base Exámenes'!$E$5:$E$154, MATCH(A81, 'Base Exámenes'!$C$5:$C$154, 0)), "")</f>
        <v>46304.51201388889</v>
      </c>
      <c r="I81" s="24">
        <f>IFERROR(INDEX('Base Exámenes'!$F$5:$F$154, MATCH(A81, 'Base Exámenes'!$C$5:$C$154, 0)), "")</f>
        <v>25.7833333333333</v>
      </c>
      <c r="J81" s="6">
        <f>IFERROR(INDEX('Base Exámenes'!$G$5:$G$154, MATCH(A81, 'Base Exámenes'!$C$5:$C$154, 0)), "")</f>
        <v>100</v>
      </c>
      <c r="K81" s="6" t="str">
        <f>IFERROR(INDEX('Base Exámenes'!$H$5:$H$154, MATCH(A81, 'Base Exámenes'!$C$5:$C$154, 0)), "anonymous")</f>
        <v>anonymous</v>
      </c>
    </row>
    <row r="82">
      <c r="A82" s="4" t="str">
        <f>'Base Oficial'!A82</f>
        <v>732</v>
      </c>
      <c r="B82" s="6" t="str">
        <f>'Base Oficial'!B82</f>
        <v>RICARDO JOSUE CACAO ROVELO </v>
      </c>
      <c r="C82" s="6" t="str">
        <f>'Base Oficial'!F82</f>
        <v>ADMINISTRACIÓN DE CARTERAS</v>
      </c>
      <c r="D82" s="6" t="str">
        <f>'Base Oficial'!G82</f>
        <v>Gerencia de Operaciones</v>
      </c>
      <c r="E82" s="6" t="str">
        <f>'Base Oficial'!D82</f>
        <v>ANALISTA DE CARTERAS</v>
      </c>
      <c r="F82" s="4" t="str">
        <f>IF(COUNTIFS('Base Exámenes'!$C$5:$C$154, A82, 'Base Exámenes'!$E$5:$E$154, "&lt;&gt;")&gt;0, "Completado", "Pendiente")</f>
        <v>Pendiente</v>
      </c>
      <c r="G82" s="23" t="str">
        <f>IFERROR(INDEX('Base Exámenes'!$D$5:$D$154, MATCH(A82, 'Base Exámenes'!$C$5:$C$154, 0)), "")</f>
        <v/>
      </c>
      <c r="H82" s="23" t="str">
        <f>IFERROR(INDEX('Base Exámenes'!$E$5:$E$154, MATCH(A82, 'Base Exámenes'!$C$5:$C$154, 0)), "")</f>
        <v/>
      </c>
      <c r="I82" s="24" t="str">
        <f>IFERROR(INDEX('Base Exámenes'!$F$5:$F$154, MATCH(A82, 'Base Exámenes'!$C$5:$C$154, 0)), "")</f>
        <v/>
      </c>
      <c r="J82" s="6" t="str">
        <f>IFERROR(INDEX('Base Exámenes'!$G$5:$G$154, MATCH(A82, 'Base Exámenes'!$C$5:$C$154, 0)), "")</f>
        <v/>
      </c>
      <c r="K82" s="6" t="str">
        <f>IFERROR(INDEX('Base Exámenes'!$H$5:$H$154, MATCH(A82, 'Base Exámenes'!$C$5:$C$154, 0)), "anonymous")</f>
        <v>anonymous</v>
      </c>
    </row>
    <row r="83">
      <c r="A83" s="4" t="str">
        <f>'Base Oficial'!A83</f>
        <v>931</v>
      </c>
      <c r="B83" s="6" t="str">
        <f>'Base Oficial'!B83</f>
        <v>LOYDA ARACELY RAMOS CAÑENGUEZ </v>
      </c>
      <c r="C83" s="6" t="str">
        <f>'Base Oficial'!F83</f>
        <v>ADMINISTRACIÓN DE CARTERAS</v>
      </c>
      <c r="D83" s="6" t="str">
        <f>'Base Oficial'!G83</f>
        <v>Gerencia de Operaciones</v>
      </c>
      <c r="E83" s="6" t="str">
        <f>'Base Oficial'!D83</f>
        <v>ANALISTA DE PRESTAMOS</v>
      </c>
      <c r="F83" s="4" t="str">
        <f>IF(COUNTIFS('Base Exámenes'!$C$5:$C$154, A83, 'Base Exámenes'!$E$5:$E$154, "&lt;&gt;")&gt;0, "Completado", "Pendiente")</f>
        <v>Completado</v>
      </c>
      <c r="G83" s="23">
        <f>IFERROR(INDEX('Base Exámenes'!$D$5:$D$154, MATCH(A83, 'Base Exámenes'!$C$5:$C$154, 0)), "")</f>
        <v>46304.56408564815</v>
      </c>
      <c r="H83" s="23">
        <f>IFERROR(INDEX('Base Exámenes'!$E$5:$E$154, MATCH(A83, 'Base Exámenes'!$C$5:$C$154, 0)), "")</f>
        <v>46304.56716435185</v>
      </c>
      <c r="I83" s="24">
        <f>IFERROR(INDEX('Base Exámenes'!$F$5:$F$154, MATCH(A83, 'Base Exámenes'!$C$5:$C$154, 0)), "")</f>
        <v>4.43333333333333</v>
      </c>
      <c r="J83" s="6">
        <f>IFERROR(INDEX('Base Exámenes'!$G$5:$G$154, MATCH(A83, 'Base Exámenes'!$C$5:$C$154, 0)), "")</f>
        <v>100</v>
      </c>
      <c r="K83" s="6" t="str">
        <f>IFERROR(INDEX('Base Exámenes'!$H$5:$H$154, MATCH(A83, 'Base Exámenes'!$C$5:$C$154, 0)), "anonymous")</f>
        <v>anonymous</v>
      </c>
    </row>
    <row r="84">
      <c r="A84" s="4" t="str">
        <f>'Base Oficial'!A84</f>
        <v>942</v>
      </c>
      <c r="B84" s="6" t="str">
        <f>'Base Oficial'!B84</f>
        <v>PAULA MARIA CALDERON PEREZ </v>
      </c>
      <c r="C84" s="6" t="str">
        <f>'Base Oficial'!F84</f>
        <v>GERENCIA DE FINANZAS Y PLANIFICACIÓN</v>
      </c>
      <c r="D84" s="6" t="str">
        <f>'Base Oficial'!G84</f>
        <v>Gerencia de Finanzas y Planificación</v>
      </c>
      <c r="E84" s="6" t="str">
        <f>'Base Oficial'!D84</f>
        <v>ASISTENTE DE GERENCIA DE FINANZAS</v>
      </c>
      <c r="F84" s="4" t="str">
        <f>IF(COUNTIFS('Base Exámenes'!$C$5:$C$154, A84, 'Base Exámenes'!$E$5:$E$154, "&lt;&gt;")&gt;0, "Completado", "Pendiente")</f>
        <v>Pendiente</v>
      </c>
      <c r="G84" s="23" t="str">
        <f>IFERROR(INDEX('Base Exámenes'!$D$5:$D$154, MATCH(A84, 'Base Exámenes'!$C$5:$C$154, 0)), "")</f>
        <v/>
      </c>
      <c r="H84" s="23" t="str">
        <f>IFERROR(INDEX('Base Exámenes'!$E$5:$E$154, MATCH(A84, 'Base Exámenes'!$C$5:$C$154, 0)), "")</f>
        <v/>
      </c>
      <c r="I84" s="24" t="str">
        <f>IFERROR(INDEX('Base Exámenes'!$F$5:$F$154, MATCH(A84, 'Base Exámenes'!$C$5:$C$154, 0)), "")</f>
        <v/>
      </c>
      <c r="J84" s="6" t="str">
        <f>IFERROR(INDEX('Base Exámenes'!$G$5:$G$154, MATCH(A84, 'Base Exámenes'!$C$5:$C$154, 0)), "")</f>
        <v/>
      </c>
      <c r="K84" s="6" t="str">
        <f>IFERROR(INDEX('Base Exámenes'!$H$5:$H$154, MATCH(A84, 'Base Exámenes'!$C$5:$C$154, 0)), "anonymous")</f>
        <v>anonymous</v>
      </c>
    </row>
    <row r="85">
      <c r="A85" s="4" t="str">
        <f>'Base Oficial'!A85</f>
        <v>70</v>
      </c>
      <c r="B85" s="6" t="str">
        <f>'Base Oficial'!B85</f>
        <v>RUBIA ESTELA LEIVA SIBRIAN </v>
      </c>
      <c r="C85" s="6" t="str">
        <f>'Base Oficial'!F85</f>
        <v>DEPARTAMENTO DE CONTABILIDAD</v>
      </c>
      <c r="D85" s="6" t="str">
        <f>'Base Oficial'!G85</f>
        <v>Gerencia de Finanzas y Planificación</v>
      </c>
      <c r="E85" s="6" t="str">
        <f>'Base Oficial'!D85</f>
        <v>ASISTENTE TECNICO DE PAGOS</v>
      </c>
      <c r="F85" s="4" t="str">
        <f>IF(COUNTIFS('Base Exámenes'!$C$5:$C$154, A85, 'Base Exámenes'!$E$5:$E$154, "&lt;&gt;")&gt;0, "Completado", "Pendiente")</f>
        <v>Pendiente</v>
      </c>
      <c r="G85" s="23" t="str">
        <f>IFERROR(INDEX('Base Exámenes'!$D$5:$D$154, MATCH(A85, 'Base Exámenes'!$C$5:$C$154, 0)), "")</f>
        <v/>
      </c>
      <c r="H85" s="23" t="str">
        <f>IFERROR(INDEX('Base Exámenes'!$E$5:$E$154, MATCH(A85, 'Base Exámenes'!$C$5:$C$154, 0)), "")</f>
        <v/>
      </c>
      <c r="I85" s="24" t="str">
        <f>IFERROR(INDEX('Base Exámenes'!$F$5:$F$154, MATCH(A85, 'Base Exámenes'!$C$5:$C$154, 0)), "")</f>
        <v/>
      </c>
      <c r="J85" s="6" t="str">
        <f>IFERROR(INDEX('Base Exámenes'!$G$5:$G$154, MATCH(A85, 'Base Exámenes'!$C$5:$C$154, 0)), "")</f>
        <v/>
      </c>
      <c r="K85" s="6" t="str">
        <f>IFERROR(INDEX('Base Exámenes'!$H$5:$H$154, MATCH(A85, 'Base Exámenes'!$C$5:$C$154, 0)), "anonymous")</f>
        <v>anonymous</v>
      </c>
    </row>
    <row r="86">
      <c r="A86" s="4" t="str">
        <f>'Base Oficial'!A86</f>
        <v>235</v>
      </c>
      <c r="B86" s="6" t="str">
        <f>'Base Oficial'!B86</f>
        <v>CLAUDIA MARLENE CABRERA SANCHEZ </v>
      </c>
      <c r="C86" s="6" t="str">
        <f>'Base Oficial'!F86</f>
        <v>DEPARTAMENTO DE CONTABILIDAD</v>
      </c>
      <c r="D86" s="6" t="str">
        <f>'Base Oficial'!G86</f>
        <v>Gerencia de Finanzas y Planificación</v>
      </c>
      <c r="E86" s="6" t="str">
        <f>'Base Oficial'!D86</f>
        <v>SUPERVISOR DE CONTABILIDAD</v>
      </c>
      <c r="F86" s="4" t="str">
        <f>IF(COUNTIFS('Base Exámenes'!$C$5:$C$154, A86, 'Base Exámenes'!$E$5:$E$154, "&lt;&gt;")&gt;0, "Completado", "Pendiente")</f>
        <v>Pendiente</v>
      </c>
      <c r="G86" s="23" t="str">
        <f>IFERROR(INDEX('Base Exámenes'!$D$5:$D$154, MATCH(A86, 'Base Exámenes'!$C$5:$C$154, 0)), "")</f>
        <v/>
      </c>
      <c r="H86" s="23" t="str">
        <f>IFERROR(INDEX('Base Exámenes'!$E$5:$E$154, MATCH(A86, 'Base Exámenes'!$C$5:$C$154, 0)), "")</f>
        <v/>
      </c>
      <c r="I86" s="24" t="str">
        <f>IFERROR(INDEX('Base Exámenes'!$F$5:$F$154, MATCH(A86, 'Base Exámenes'!$C$5:$C$154, 0)), "")</f>
        <v/>
      </c>
      <c r="J86" s="6" t="str">
        <f>IFERROR(INDEX('Base Exámenes'!$G$5:$G$154, MATCH(A86, 'Base Exámenes'!$C$5:$C$154, 0)), "")</f>
        <v/>
      </c>
      <c r="K86" s="6" t="str">
        <f>IFERROR(INDEX('Base Exámenes'!$H$5:$H$154, MATCH(A86, 'Base Exámenes'!$C$5:$C$154, 0)), "anonymous")</f>
        <v>anonymous</v>
      </c>
    </row>
    <row r="87">
      <c r="A87" s="4" t="str">
        <f>'Base Oficial'!A87</f>
        <v>373</v>
      </c>
      <c r="B87" s="6" t="str">
        <f>'Base Oficial'!B87</f>
        <v>MARTA ELIZABETH RODRIGUEZ INESTROZA</v>
      </c>
      <c r="C87" s="6" t="str">
        <f>'Base Oficial'!F87</f>
        <v>DEPARTAMENTO DE CONTABILIDAD</v>
      </c>
      <c r="D87" s="6" t="str">
        <f>'Base Oficial'!G87</f>
        <v>Gerencia de Finanzas y Planificación</v>
      </c>
      <c r="E87" s="6" t="str">
        <f>'Base Oficial'!D87</f>
        <v>CONTADOR GENERAL</v>
      </c>
      <c r="F87" s="4" t="str">
        <f>IF(COUNTIFS('Base Exámenes'!$C$5:$C$154, A87, 'Base Exámenes'!$E$5:$E$154, "&lt;&gt;")&gt;0, "Completado", "Pendiente")</f>
        <v>Completado</v>
      </c>
      <c r="G87" s="23">
        <f>IFERROR(INDEX('Base Exámenes'!$D$5:$D$154, MATCH(A87, 'Base Exámenes'!$C$5:$C$154, 0)), "")</f>
        <v>46296.826469907406</v>
      </c>
      <c r="H87" s="23">
        <f>IFERROR(INDEX('Base Exámenes'!$E$5:$E$154, MATCH(A87, 'Base Exámenes'!$C$5:$C$154, 0)), "")</f>
        <v>46296.82847222222</v>
      </c>
      <c r="I87" s="24">
        <f>IFERROR(INDEX('Base Exámenes'!$F$5:$F$154, MATCH(A87, 'Base Exámenes'!$C$5:$C$154, 0)), "")</f>
        <v>2.88333333333333</v>
      </c>
      <c r="J87" s="6">
        <f>IFERROR(INDEX('Base Exámenes'!$G$5:$G$154, MATCH(A87, 'Base Exámenes'!$C$5:$C$154, 0)), "")</f>
        <v>100</v>
      </c>
      <c r="K87" s="6" t="str">
        <f>IFERROR(INDEX('Base Exámenes'!$H$5:$H$154, MATCH(A87, 'Base Exámenes'!$C$5:$C$154, 0)), "anonymous")</f>
        <v>anonymous</v>
      </c>
    </row>
    <row r="88">
      <c r="A88" s="4" t="str">
        <f>'Base Oficial'!A88</f>
        <v>374</v>
      </c>
      <c r="B88" s="6" t="str">
        <f>'Base Oficial'!B88</f>
        <v>THELMA JUDITH QUINTANILLA VALLE </v>
      </c>
      <c r="C88" s="6" t="str">
        <f>'Base Oficial'!F88</f>
        <v>DEPARTAMENTO DE CONTABILIDAD</v>
      </c>
      <c r="D88" s="6" t="str">
        <f>'Base Oficial'!G88</f>
        <v>Gerencia de Finanzas y Planificación</v>
      </c>
      <c r="E88" s="6" t="str">
        <f>'Base Oficial'!D88</f>
        <v>AUXILIAR CONTABLE DE DIGITALIZACION</v>
      </c>
      <c r="F88" s="4" t="str">
        <f>IF(COUNTIFS('Base Exámenes'!$C$5:$C$154, A88, 'Base Exámenes'!$E$5:$E$154, "&lt;&gt;")&gt;0, "Completado", "Pendiente")</f>
        <v>Pendiente</v>
      </c>
      <c r="G88" s="23" t="str">
        <f>IFERROR(INDEX('Base Exámenes'!$D$5:$D$154, MATCH(A88, 'Base Exámenes'!$C$5:$C$154, 0)), "")</f>
        <v/>
      </c>
      <c r="H88" s="23" t="str">
        <f>IFERROR(INDEX('Base Exámenes'!$E$5:$E$154, MATCH(A88, 'Base Exámenes'!$C$5:$C$154, 0)), "")</f>
        <v/>
      </c>
      <c r="I88" s="24" t="str">
        <f>IFERROR(INDEX('Base Exámenes'!$F$5:$F$154, MATCH(A88, 'Base Exámenes'!$C$5:$C$154, 0)), "")</f>
        <v/>
      </c>
      <c r="J88" s="6" t="str">
        <f>IFERROR(INDEX('Base Exámenes'!$G$5:$G$154, MATCH(A88, 'Base Exámenes'!$C$5:$C$154, 0)), "")</f>
        <v/>
      </c>
      <c r="K88" s="6" t="str">
        <f>IFERROR(INDEX('Base Exámenes'!$H$5:$H$154, MATCH(A88, 'Base Exámenes'!$C$5:$C$154, 0)), "anonymous")</f>
        <v>anonymous</v>
      </c>
    </row>
    <row r="89">
      <c r="A89" s="4" t="str">
        <f>'Base Oficial'!A89</f>
        <v>571</v>
      </c>
      <c r="B89" s="6" t="str">
        <f>'Base Oficial'!B89</f>
        <v>MILAGRO TRINIDAD ROMERO MONTERROSA </v>
      </c>
      <c r="C89" s="6" t="str">
        <f>'Base Oficial'!F89</f>
        <v>DEPARTAMENTO DE CONTABILIDAD</v>
      </c>
      <c r="D89" s="6" t="str">
        <f>'Base Oficial'!G89</f>
        <v>Gerencia de Finanzas y Planificación</v>
      </c>
      <c r="E89" s="6" t="str">
        <f>'Base Oficial'!D89</f>
        <v>ASISTENTE TECNICO DE IMPUESTOS</v>
      </c>
      <c r="F89" s="4" t="str">
        <f>IF(COUNTIFS('Base Exámenes'!$C$5:$C$154, A89, 'Base Exámenes'!$E$5:$E$154, "&lt;&gt;")&gt;0, "Completado", "Pendiente")</f>
        <v>Pendiente</v>
      </c>
      <c r="G89" s="23" t="str">
        <f>IFERROR(INDEX('Base Exámenes'!$D$5:$D$154, MATCH(A89, 'Base Exámenes'!$C$5:$C$154, 0)), "")</f>
        <v/>
      </c>
      <c r="H89" s="23" t="str">
        <f>IFERROR(INDEX('Base Exámenes'!$E$5:$E$154, MATCH(A89, 'Base Exámenes'!$C$5:$C$154, 0)), "")</f>
        <v/>
      </c>
      <c r="I89" s="24" t="str">
        <f>IFERROR(INDEX('Base Exámenes'!$F$5:$F$154, MATCH(A89, 'Base Exámenes'!$C$5:$C$154, 0)), "")</f>
        <v/>
      </c>
      <c r="J89" s="6" t="str">
        <f>IFERROR(INDEX('Base Exámenes'!$G$5:$G$154, MATCH(A89, 'Base Exámenes'!$C$5:$C$154, 0)), "")</f>
        <v/>
      </c>
      <c r="K89" s="6" t="str">
        <f>IFERROR(INDEX('Base Exámenes'!$H$5:$H$154, MATCH(A89, 'Base Exámenes'!$C$5:$C$154, 0)), "anonymous")</f>
        <v>anonymous</v>
      </c>
    </row>
    <row r="90">
      <c r="A90" s="4" t="str">
        <f>'Base Oficial'!A90</f>
        <v>676</v>
      </c>
      <c r="B90" s="6" t="str">
        <f>'Base Oficial'!B90</f>
        <v>DANIEL ENRIQUE FLORES RAMIREZ </v>
      </c>
      <c r="C90" s="6" t="str">
        <f>'Base Oficial'!F90</f>
        <v>DEPARTAMENTO DE CONTABILIDAD</v>
      </c>
      <c r="D90" s="6" t="str">
        <f>'Base Oficial'!G90</f>
        <v>Gerencia de Finanzas y Planificación</v>
      </c>
      <c r="E90" s="6" t="str">
        <f>'Base Oficial'!D90</f>
        <v>ASISTENTE TECNICO DE TARJETA DE CREDITO Y DEBITO</v>
      </c>
      <c r="F90" s="4" t="str">
        <f>IF(COUNTIFS('Base Exámenes'!$C$5:$C$154, A90, 'Base Exámenes'!$E$5:$E$154, "&lt;&gt;")&gt;0, "Completado", "Pendiente")</f>
        <v>Completado</v>
      </c>
      <c r="G90" s="23">
        <f>IFERROR(INDEX('Base Exámenes'!$D$5:$D$154, MATCH(A90, 'Base Exámenes'!$C$5:$C$154, 0)), "")</f>
        <v>46304.35847222222</v>
      </c>
      <c r="H90" s="23">
        <f>IFERROR(INDEX('Base Exámenes'!$E$5:$E$154, MATCH(A90, 'Base Exámenes'!$C$5:$C$154, 0)), "")</f>
        <v>46304.36083333333</v>
      </c>
      <c r="I90" s="24">
        <f>IFERROR(INDEX('Base Exámenes'!$F$5:$F$154, MATCH(A90, 'Base Exámenes'!$C$5:$C$154, 0)), "")</f>
        <v>3.4</v>
      </c>
      <c r="J90" s="6">
        <f>IFERROR(INDEX('Base Exámenes'!$G$5:$G$154, MATCH(A90, 'Base Exámenes'!$C$5:$C$154, 0)), "")</f>
        <v>100</v>
      </c>
      <c r="K90" s="6" t="str">
        <f>IFERROR(INDEX('Base Exámenes'!$H$5:$H$154, MATCH(A90, 'Base Exámenes'!$C$5:$C$154, 0)), "anonymous")</f>
        <v>anonymous</v>
      </c>
    </row>
    <row r="91">
      <c r="A91" s="4" t="str">
        <f>'Base Oficial'!A91</f>
        <v>733</v>
      </c>
      <c r="B91" s="6" t="str">
        <f>'Base Oficial'!B91</f>
        <v>ROSSEMARY YAMILETH LOBATO MARTINEZ </v>
      </c>
      <c r="C91" s="6" t="str">
        <f>'Base Oficial'!F91</f>
        <v>DEPARTAMENTO DE CONTABILIDAD</v>
      </c>
      <c r="D91" s="6" t="str">
        <f>'Base Oficial'!G91</f>
        <v>Gerencia de Finanzas y Planificación</v>
      </c>
      <c r="E91" s="6" t="str">
        <f>'Base Oficial'!D91</f>
        <v>ASISTENTE TECNICO DE PAGOS</v>
      </c>
      <c r="F91" s="4" t="str">
        <f>IF(COUNTIFS('Base Exámenes'!$C$5:$C$154, A91, 'Base Exámenes'!$E$5:$E$154, "&lt;&gt;")&gt;0, "Completado", "Pendiente")</f>
        <v>Completado</v>
      </c>
      <c r="G91" s="23">
        <f>IFERROR(INDEX('Base Exámenes'!$D$5:$D$154, MATCH(A91, 'Base Exámenes'!$C$5:$C$154, 0)), "")</f>
        <v>46300.30724537037</v>
      </c>
      <c r="H91" s="23">
        <f>IFERROR(INDEX('Base Exámenes'!$E$5:$E$154, MATCH(A91, 'Base Exámenes'!$C$5:$C$154, 0)), "")</f>
        <v>46300.31707175926</v>
      </c>
      <c r="I91" s="24">
        <f>IFERROR(INDEX('Base Exámenes'!$F$5:$F$154, MATCH(A91, 'Base Exámenes'!$C$5:$C$154, 0)), "")</f>
        <v>14.15</v>
      </c>
      <c r="J91" s="6">
        <f>IFERROR(INDEX('Base Exámenes'!$G$5:$G$154, MATCH(A91, 'Base Exámenes'!$C$5:$C$154, 0)), "")</f>
        <v>100</v>
      </c>
      <c r="K91" s="6" t="str">
        <f>IFERROR(INDEX('Base Exámenes'!$H$5:$H$154, MATCH(A91, 'Base Exámenes'!$C$5:$C$154, 0)), "anonymous")</f>
        <v>anonymous</v>
      </c>
    </row>
    <row r="92">
      <c r="A92" s="4" t="str">
        <f>'Base Oficial'!A92</f>
        <v>749</v>
      </c>
      <c r="B92" s="6" t="str">
        <f>'Base Oficial'!B92</f>
        <v>JENNIFER MARCELA MORALES  TORRES</v>
      </c>
      <c r="C92" s="6" t="str">
        <f>'Base Oficial'!F92</f>
        <v>DEPARTAMENTO DE CONTABILIDAD</v>
      </c>
      <c r="D92" s="6" t="str">
        <f>'Base Oficial'!G92</f>
        <v>Gerencia de Finanzas y Planificación</v>
      </c>
      <c r="E92" s="6" t="str">
        <f>'Base Oficial'!D92</f>
        <v>CONTADOR BANCARIO</v>
      </c>
      <c r="F92" s="4" t="str">
        <f>IF(COUNTIFS('Base Exámenes'!$C$5:$C$154, A92, 'Base Exámenes'!$E$5:$E$154, "&lt;&gt;")&gt;0, "Completado", "Pendiente")</f>
        <v>Pendiente</v>
      </c>
      <c r="G92" s="23" t="str">
        <f>IFERROR(INDEX('Base Exámenes'!$D$5:$D$154, MATCH(A92, 'Base Exámenes'!$C$5:$C$154, 0)), "")</f>
        <v/>
      </c>
      <c r="H92" s="23" t="str">
        <f>IFERROR(INDEX('Base Exámenes'!$E$5:$E$154, MATCH(A92, 'Base Exámenes'!$C$5:$C$154, 0)), "")</f>
        <v/>
      </c>
      <c r="I92" s="24" t="str">
        <f>IFERROR(INDEX('Base Exámenes'!$F$5:$F$154, MATCH(A92, 'Base Exámenes'!$C$5:$C$154, 0)), "")</f>
        <v/>
      </c>
      <c r="J92" s="6" t="str">
        <f>IFERROR(INDEX('Base Exámenes'!$G$5:$G$154, MATCH(A92, 'Base Exámenes'!$C$5:$C$154, 0)), "")</f>
        <v/>
      </c>
      <c r="K92" s="6" t="str">
        <f>IFERROR(INDEX('Base Exámenes'!$H$5:$H$154, MATCH(A92, 'Base Exámenes'!$C$5:$C$154, 0)), "anonymous")</f>
        <v>anonymous</v>
      </c>
    </row>
    <row r="93">
      <c r="A93" s="4" t="str">
        <f>'Base Oficial'!A93</f>
        <v>778</v>
      </c>
      <c r="B93" s="6" t="str">
        <f>'Base Oficial'!B93</f>
        <v>ERICK RODRIGO ORTIZ TURCIOS </v>
      </c>
      <c r="C93" s="6" t="str">
        <f>'Base Oficial'!F93</f>
        <v>DEPARTAMENTO DE CONTABILIDAD</v>
      </c>
      <c r="D93" s="6" t="str">
        <f>'Base Oficial'!G93</f>
        <v>Gerencia de Finanzas y Planificación</v>
      </c>
      <c r="E93" s="6" t="str">
        <f>'Base Oficial'!D93</f>
        <v>ASISTENTE TECNICO DE AGENCIA CENTRAL</v>
      </c>
      <c r="F93" s="4" t="str">
        <f>IF(COUNTIFS('Base Exámenes'!$C$5:$C$154, A93, 'Base Exámenes'!$E$5:$E$154, "&lt;&gt;")&gt;0, "Completado", "Pendiente")</f>
        <v>Completado</v>
      </c>
      <c r="G93" s="23">
        <f>IFERROR(INDEX('Base Exámenes'!$D$5:$D$154, MATCH(A93, 'Base Exámenes'!$C$5:$C$154, 0)), "")</f>
        <v>46304.33164351852</v>
      </c>
      <c r="H93" s="23">
        <f>IFERROR(INDEX('Base Exámenes'!$E$5:$E$154, MATCH(A93, 'Base Exámenes'!$C$5:$C$154, 0)), "")</f>
        <v>46304.33385416667</v>
      </c>
      <c r="I93" s="24">
        <f>IFERROR(INDEX('Base Exámenes'!$F$5:$F$154, MATCH(A93, 'Base Exámenes'!$C$5:$C$154, 0)), "")</f>
        <v>3.18333333333333</v>
      </c>
      <c r="J93" s="6">
        <f>IFERROR(INDEX('Base Exámenes'!$G$5:$G$154, MATCH(A93, 'Base Exámenes'!$C$5:$C$154, 0)), "")</f>
        <v>100</v>
      </c>
      <c r="K93" s="6" t="str">
        <f>IFERROR(INDEX('Base Exámenes'!$H$5:$H$154, MATCH(A93, 'Base Exámenes'!$C$5:$C$154, 0)), "anonymous")</f>
        <v>anonymous</v>
      </c>
    </row>
    <row r="94">
      <c r="A94" s="4" t="str">
        <f>'Base Oficial'!A94</f>
        <v>784</v>
      </c>
      <c r="B94" s="6" t="str">
        <f>'Base Oficial'!B94</f>
        <v>BRIAN ADONAY BARRERA ALVARADO </v>
      </c>
      <c r="C94" s="6" t="str">
        <f>'Base Oficial'!F94</f>
        <v>DEPARTAMENTO DE CONTABILIDAD</v>
      </c>
      <c r="D94" s="6" t="str">
        <f>'Base Oficial'!G94</f>
        <v>Gerencia de Finanzas y Planificación</v>
      </c>
      <c r="E94" s="6" t="str">
        <f>'Base Oficial'!D94</f>
        <v>CONTADOR DE AGENCIAS</v>
      </c>
      <c r="F94" s="4" t="str">
        <f>IF(COUNTIFS('Base Exámenes'!$C$5:$C$154, A94, 'Base Exámenes'!$E$5:$E$154, "&lt;&gt;")&gt;0, "Completado", "Pendiente")</f>
        <v>Completado</v>
      </c>
      <c r="G94" s="23">
        <f>IFERROR(INDEX('Base Exámenes'!$D$5:$D$154, MATCH(A94, 'Base Exámenes'!$C$5:$C$154, 0)), "")</f>
        <v>46296.61537037037</v>
      </c>
      <c r="H94" s="23">
        <f>IFERROR(INDEX('Base Exámenes'!$E$5:$E$154, MATCH(A94, 'Base Exámenes'!$C$5:$C$154, 0)), "")</f>
        <v>46296.62540509259</v>
      </c>
      <c r="I94" s="24">
        <f>IFERROR(INDEX('Base Exámenes'!$F$5:$F$154, MATCH(A94, 'Base Exámenes'!$C$5:$C$154, 0)), "")</f>
        <v>14.45</v>
      </c>
      <c r="J94" s="6">
        <f>IFERROR(INDEX('Base Exámenes'!$G$5:$G$154, MATCH(A94, 'Base Exámenes'!$C$5:$C$154, 0)), "")</f>
        <v>100</v>
      </c>
      <c r="K94" s="6" t="str">
        <f>IFERROR(INDEX('Base Exámenes'!$H$5:$H$154, MATCH(A94, 'Base Exámenes'!$C$5:$C$154, 0)), "anonymous")</f>
        <v>anonymous</v>
      </c>
    </row>
    <row r="95">
      <c r="A95" s="4" t="str">
        <f>'Base Oficial'!A95</f>
        <v>850</v>
      </c>
      <c r="B95" s="6" t="str">
        <f>'Base Oficial'!B95</f>
        <v>ALMA BEATRIZ  RAMIREZ SANDOVAL  </v>
      </c>
      <c r="C95" s="6" t="str">
        <f>'Base Oficial'!F95</f>
        <v>DEPARTAMENTO DE CONTABILIDAD</v>
      </c>
      <c r="D95" s="6" t="str">
        <f>'Base Oficial'!G95</f>
        <v>Gerencia de Finanzas y Planificación</v>
      </c>
      <c r="E95" s="6" t="str">
        <f>'Base Oficial'!D95</f>
        <v>CONTADOR DE AGENCIA NO MONETARIA</v>
      </c>
      <c r="F95" s="4" t="str">
        <f>IF(COUNTIFS('Base Exámenes'!$C$5:$C$154, A95, 'Base Exámenes'!$E$5:$E$154, "&lt;&gt;")&gt;0, "Completado", "Pendiente")</f>
        <v>Completado</v>
      </c>
      <c r="G95" s="23">
        <f>IFERROR(INDEX('Base Exámenes'!$D$5:$D$154, MATCH(A95, 'Base Exámenes'!$C$5:$C$154, 0)), "")</f>
        <v>46304.38685185185</v>
      </c>
      <c r="H95" s="23">
        <f>IFERROR(INDEX('Base Exámenes'!$E$5:$E$154, MATCH(A95, 'Base Exámenes'!$C$5:$C$154, 0)), "")</f>
        <v>46304.4002662037</v>
      </c>
      <c r="I95" s="24">
        <f>IFERROR(INDEX('Base Exámenes'!$F$5:$F$154, MATCH(A95, 'Base Exámenes'!$C$5:$C$154, 0)), "")</f>
        <v>19.3166666666667</v>
      </c>
      <c r="J95" s="6">
        <f>IFERROR(INDEX('Base Exámenes'!$G$5:$G$154, MATCH(A95, 'Base Exámenes'!$C$5:$C$154, 0)), "")</f>
        <v>90</v>
      </c>
      <c r="K95" s="6" t="str">
        <f>IFERROR(INDEX('Base Exámenes'!$H$5:$H$154, MATCH(A95, 'Base Exámenes'!$C$5:$C$154, 0)), "anonymous")</f>
        <v>anonymous</v>
      </c>
    </row>
    <row r="96">
      <c r="A96" s="4" t="str">
        <f>'Base Oficial'!A96</f>
        <v>872</v>
      </c>
      <c r="B96" s="6" t="str">
        <f>'Base Oficial'!B96</f>
        <v>JOSUE ELIAZAR MARTINEZ RECINOS </v>
      </c>
      <c r="C96" s="6" t="str">
        <f>'Base Oficial'!F96</f>
        <v>DEPARTAMENTO DE CONTABILIDAD</v>
      </c>
      <c r="D96" s="6" t="str">
        <f>'Base Oficial'!G96</f>
        <v>Gerencia de Finanzas y Planificación</v>
      </c>
      <c r="E96" s="6" t="str">
        <f>'Base Oficial'!D96</f>
        <v>CONTADOR DE AGENCIAS</v>
      </c>
      <c r="F96" s="4" t="str">
        <f>IF(COUNTIFS('Base Exámenes'!$C$5:$C$154, A96, 'Base Exámenes'!$E$5:$E$154, "&lt;&gt;")&gt;0, "Completado", "Pendiente")</f>
        <v>Completado</v>
      </c>
      <c r="G96" s="23">
        <f>IFERROR(INDEX('Base Exámenes'!$D$5:$D$154, MATCH(A96, 'Base Exámenes'!$C$5:$C$154, 0)), "")</f>
        <v>46301.43630787037</v>
      </c>
      <c r="H96" s="23">
        <f>IFERROR(INDEX('Base Exámenes'!$E$5:$E$154, MATCH(A96, 'Base Exámenes'!$C$5:$C$154, 0)), "")</f>
        <v>46301.438738425924</v>
      </c>
      <c r="I96" s="24">
        <f>IFERROR(INDEX('Base Exámenes'!$F$5:$F$154, MATCH(A96, 'Base Exámenes'!$C$5:$C$154, 0)), "")</f>
        <v>3.5</v>
      </c>
      <c r="J96" s="6">
        <f>IFERROR(INDEX('Base Exámenes'!$G$5:$G$154, MATCH(A96, 'Base Exámenes'!$C$5:$C$154, 0)), "")</f>
        <v>100</v>
      </c>
      <c r="K96" s="6" t="str">
        <f>IFERROR(INDEX('Base Exámenes'!$H$5:$H$154, MATCH(A96, 'Base Exámenes'!$C$5:$C$154, 0)), "anonymous")</f>
        <v>anonymous</v>
      </c>
    </row>
    <row r="97">
      <c r="A97" s="4" t="str">
        <f>'Base Oficial'!A97</f>
        <v>916</v>
      </c>
      <c r="B97" s="6" t="str">
        <f>'Base Oficial'!B97</f>
        <v>JORDAN ALEXANDER FLORES HERRERA </v>
      </c>
      <c r="C97" s="6" t="str">
        <f>'Base Oficial'!F97</f>
        <v>DEPARTAMENTO DE CONTABILIDAD</v>
      </c>
      <c r="D97" s="6" t="str">
        <f>'Base Oficial'!G97</f>
        <v>Gerencia de Finanzas y Planificación</v>
      </c>
      <c r="E97" s="6" t="str">
        <f>'Base Oficial'!D97</f>
        <v>AUXILIAR CONTABLE DE DIGITALIZACION</v>
      </c>
      <c r="F97" s="4" t="str">
        <f>IF(COUNTIFS('Base Exámenes'!$C$5:$C$154, A97, 'Base Exámenes'!$E$5:$E$154, "&lt;&gt;")&gt;0, "Completado", "Pendiente")</f>
        <v>Pendiente</v>
      </c>
      <c r="G97" s="23" t="str">
        <f>IFERROR(INDEX('Base Exámenes'!$D$5:$D$154, MATCH(A97, 'Base Exámenes'!$C$5:$C$154, 0)), "")</f>
        <v/>
      </c>
      <c r="H97" s="23" t="str">
        <f>IFERROR(INDEX('Base Exámenes'!$E$5:$E$154, MATCH(A97, 'Base Exámenes'!$C$5:$C$154, 0)), "")</f>
        <v/>
      </c>
      <c r="I97" s="24" t="str">
        <f>IFERROR(INDEX('Base Exámenes'!$F$5:$F$154, MATCH(A97, 'Base Exámenes'!$C$5:$C$154, 0)), "")</f>
        <v/>
      </c>
      <c r="J97" s="6" t="str">
        <f>IFERROR(INDEX('Base Exámenes'!$G$5:$G$154, MATCH(A97, 'Base Exámenes'!$C$5:$C$154, 0)), "")</f>
        <v/>
      </c>
      <c r="K97" s="6" t="str">
        <f>IFERROR(INDEX('Base Exámenes'!$H$5:$H$154, MATCH(A97, 'Base Exámenes'!$C$5:$C$154, 0)), "anonymous")</f>
        <v>anonymous</v>
      </c>
    </row>
    <row r="98">
      <c r="A98" s="4" t="str">
        <f>'Base Oficial'!A98</f>
        <v>191</v>
      </c>
      <c r="B98" s="6" t="str">
        <f>'Base Oficial'!B98</f>
        <v>ESTER ALEYDA GODOY CAMPOS </v>
      </c>
      <c r="C98" s="6" t="str">
        <f>'Base Oficial'!F98</f>
        <v>DEPARTAMENTO DE PLANIFICACIÓN Y ANALISIS</v>
      </c>
      <c r="D98" s="6" t="str">
        <f>'Base Oficial'!G98</f>
        <v>Gerencia de Finanzas y Planificación</v>
      </c>
      <c r="E98" s="6" t="str">
        <f>'Base Oficial'!D98</f>
        <v>ASISTENTE TECNICO DE PLANIFICACION</v>
      </c>
      <c r="F98" s="4" t="str">
        <f>IF(COUNTIFS('Base Exámenes'!$C$5:$C$154, A98, 'Base Exámenes'!$E$5:$E$154, "&lt;&gt;")&gt;0, "Completado", "Pendiente")</f>
        <v>Pendiente</v>
      </c>
      <c r="G98" s="23" t="str">
        <f>IFERROR(INDEX('Base Exámenes'!$D$5:$D$154, MATCH(A98, 'Base Exámenes'!$C$5:$C$154, 0)), "")</f>
        <v/>
      </c>
      <c r="H98" s="23" t="str">
        <f>IFERROR(INDEX('Base Exámenes'!$E$5:$E$154, MATCH(A98, 'Base Exámenes'!$C$5:$C$154, 0)), "")</f>
        <v/>
      </c>
      <c r="I98" s="24" t="str">
        <f>IFERROR(INDEX('Base Exámenes'!$F$5:$F$154, MATCH(A98, 'Base Exámenes'!$C$5:$C$154, 0)), "")</f>
        <v/>
      </c>
      <c r="J98" s="6" t="str">
        <f>IFERROR(INDEX('Base Exámenes'!$G$5:$G$154, MATCH(A98, 'Base Exámenes'!$C$5:$C$154, 0)), "")</f>
        <v/>
      </c>
      <c r="K98" s="6" t="str">
        <f>IFERROR(INDEX('Base Exámenes'!$H$5:$H$154, MATCH(A98, 'Base Exámenes'!$C$5:$C$154, 0)), "anonymous")</f>
        <v>anonymous</v>
      </c>
    </row>
    <row r="99">
      <c r="A99" s="4" t="str">
        <f>'Base Oficial'!A99</f>
        <v>839</v>
      </c>
      <c r="B99" s="6" t="str">
        <f>'Base Oficial'!B99</f>
        <v>RAFAEL ANDRES MARAVILLA GUERRA </v>
      </c>
      <c r="C99" s="6" t="str">
        <f>'Base Oficial'!F99</f>
        <v>DEPARTAMENTO DE PLANIFICACIÓN Y ANALISIS</v>
      </c>
      <c r="D99" s="6" t="str">
        <f>'Base Oficial'!G99</f>
        <v>Gerencia de Finanzas y Planificación</v>
      </c>
      <c r="E99" s="6" t="str">
        <f>'Base Oficial'!D99</f>
        <v>ASISTENTE DE ANALISIS Y NORMATIVAS</v>
      </c>
      <c r="F99" s="4" t="str">
        <f>IF(COUNTIFS('Base Exámenes'!$C$5:$C$154, A99, 'Base Exámenes'!$E$5:$E$154, "&lt;&gt;")&gt;0, "Completado", "Pendiente")</f>
        <v>Pendiente</v>
      </c>
      <c r="G99" s="23" t="str">
        <f>IFERROR(INDEX('Base Exámenes'!$D$5:$D$154, MATCH(A99, 'Base Exámenes'!$C$5:$C$154, 0)), "")</f>
        <v/>
      </c>
      <c r="H99" s="23" t="str">
        <f>IFERROR(INDEX('Base Exámenes'!$E$5:$E$154, MATCH(A99, 'Base Exámenes'!$C$5:$C$154, 0)), "")</f>
        <v/>
      </c>
      <c r="I99" s="24" t="str">
        <f>IFERROR(INDEX('Base Exámenes'!$F$5:$F$154, MATCH(A99, 'Base Exámenes'!$C$5:$C$154, 0)), "")</f>
        <v/>
      </c>
      <c r="J99" s="6" t="str">
        <f>IFERROR(INDEX('Base Exámenes'!$G$5:$G$154, MATCH(A99, 'Base Exámenes'!$C$5:$C$154, 0)), "")</f>
        <v/>
      </c>
      <c r="K99" s="6" t="str">
        <f>IFERROR(INDEX('Base Exámenes'!$H$5:$H$154, MATCH(A99, 'Base Exámenes'!$C$5:$C$154, 0)), "anonymous")</f>
        <v>anonymous</v>
      </c>
    </row>
    <row r="100">
      <c r="A100" s="4" t="str">
        <f>'Base Oficial'!A100</f>
        <v>946</v>
      </c>
      <c r="B100" s="6" t="str">
        <f>'Base Oficial'!B100</f>
        <v>EFRAIN ANTONIO  AYALA LOPEZ  </v>
      </c>
      <c r="C100" s="6" t="str">
        <f>'Base Oficial'!F100</f>
        <v>DEPARTAMENTO DE PLANIFICACIÓN Y ANALISIS</v>
      </c>
      <c r="D100" s="6" t="str">
        <f>'Base Oficial'!G100</f>
        <v>Gerencia de Finanzas y Planificación</v>
      </c>
      <c r="E100" s="6" t="str">
        <f>'Base Oficial'!D100</f>
        <v>JEFE DE PLANIFICACION Y ANALISIS</v>
      </c>
      <c r="F100" s="4" t="str">
        <f>IF(COUNTIFS('Base Exámenes'!$C$5:$C$154, A100, 'Base Exámenes'!$E$5:$E$154, "&lt;&gt;")&gt;0, "Completado", "Pendiente")</f>
        <v>Pendiente</v>
      </c>
      <c r="G100" s="23" t="str">
        <f>IFERROR(INDEX('Base Exámenes'!$D$5:$D$154, MATCH(A100, 'Base Exámenes'!$C$5:$C$154, 0)), "")</f>
        <v/>
      </c>
      <c r="H100" s="23" t="str">
        <f>IFERROR(INDEX('Base Exámenes'!$E$5:$E$154, MATCH(A100, 'Base Exámenes'!$C$5:$C$154, 0)), "")</f>
        <v/>
      </c>
      <c r="I100" s="24" t="str">
        <f>IFERROR(INDEX('Base Exámenes'!$F$5:$F$154, MATCH(A100, 'Base Exámenes'!$C$5:$C$154, 0)), "")</f>
        <v/>
      </c>
      <c r="J100" s="6" t="str">
        <f>IFERROR(INDEX('Base Exámenes'!$G$5:$G$154, MATCH(A100, 'Base Exámenes'!$C$5:$C$154, 0)), "")</f>
        <v/>
      </c>
      <c r="K100" s="6" t="str">
        <f>IFERROR(INDEX('Base Exámenes'!$H$5:$H$154, MATCH(A100, 'Base Exámenes'!$C$5:$C$154, 0)), "anonymous")</f>
        <v>anonymous</v>
      </c>
    </row>
    <row r="101">
      <c r="A101" s="4" t="str">
        <f>'Base Oficial'!A101</f>
        <v>393</v>
      </c>
      <c r="B101" s="6" t="str">
        <f>'Base Oficial'!B101</f>
        <v>FLOR MARISELA TORRES VELASQUEZ </v>
      </c>
      <c r="C101" s="6" t="str">
        <f>'Base Oficial'!F101</f>
        <v>GERENCIA DE SISTEMAS</v>
      </c>
      <c r="D101" s="6" t="str">
        <f>'Base Oficial'!G101</f>
        <v>Gerencia de Sistemas</v>
      </c>
      <c r="E101" s="6" t="str">
        <f>'Base Oficial'!D101</f>
        <v>LIDER DE PROYECTOS TECNOLOGICOS</v>
      </c>
      <c r="F101" s="4" t="str">
        <f>IF(COUNTIFS('Base Exámenes'!$C$5:$C$154, A101, 'Base Exámenes'!$E$5:$E$154, "&lt;&gt;")&gt;0, "Completado", "Pendiente")</f>
        <v>Pendiente</v>
      </c>
      <c r="G101" s="23" t="str">
        <f>IFERROR(INDEX('Base Exámenes'!$D$5:$D$154, MATCH(A101, 'Base Exámenes'!$C$5:$C$154, 0)), "")</f>
        <v/>
      </c>
      <c r="H101" s="23" t="str">
        <f>IFERROR(INDEX('Base Exámenes'!$E$5:$E$154, MATCH(A101, 'Base Exámenes'!$C$5:$C$154, 0)), "")</f>
        <v/>
      </c>
      <c r="I101" s="24" t="str">
        <f>IFERROR(INDEX('Base Exámenes'!$F$5:$F$154, MATCH(A101, 'Base Exámenes'!$C$5:$C$154, 0)), "")</f>
        <v/>
      </c>
      <c r="J101" s="6" t="str">
        <f>IFERROR(INDEX('Base Exámenes'!$G$5:$G$154, MATCH(A101, 'Base Exámenes'!$C$5:$C$154, 0)), "")</f>
        <v/>
      </c>
      <c r="K101" s="6" t="str">
        <f>IFERROR(INDEX('Base Exámenes'!$H$5:$H$154, MATCH(A101, 'Base Exámenes'!$C$5:$C$154, 0)), "anonymous")</f>
        <v>anonymous</v>
      </c>
    </row>
    <row r="102">
      <c r="A102" s="4" t="str">
        <f>'Base Oficial'!A102</f>
        <v>804</v>
      </c>
      <c r="B102" s="6" t="str">
        <f>'Base Oficial'!B102</f>
        <v>FERMIN ABIEL VIERA LINARES </v>
      </c>
      <c r="C102" s="6" t="str">
        <f>'Base Oficial'!F102</f>
        <v>GERENCIA DE SISTEMAS</v>
      </c>
      <c r="D102" s="6" t="str">
        <f>'Base Oficial'!G102</f>
        <v>Gerencia de Sistemas</v>
      </c>
      <c r="E102" s="6" t="str">
        <f>'Base Oficial'!D102</f>
        <v>ANALISTA DE CAMBIOS Y SEGURIDAD</v>
      </c>
      <c r="F102" s="4" t="str">
        <f>IF(COUNTIFS('Base Exámenes'!$C$5:$C$154, A102, 'Base Exámenes'!$E$5:$E$154, "&lt;&gt;")&gt;0, "Completado", "Pendiente")</f>
        <v>Completado</v>
      </c>
      <c r="G102" s="23">
        <f>IFERROR(INDEX('Base Exámenes'!$D$5:$D$154, MATCH(A102, 'Base Exámenes'!$C$5:$C$154, 0)), "")</f>
        <v>46304.4034837963</v>
      </c>
      <c r="H102" s="23">
        <f>IFERROR(INDEX('Base Exámenes'!$E$5:$E$154, MATCH(A102, 'Base Exámenes'!$C$5:$C$154, 0)), "")</f>
        <v>46304.407905092594</v>
      </c>
      <c r="I102" s="24">
        <f>IFERROR(INDEX('Base Exámenes'!$F$5:$F$154, MATCH(A102, 'Base Exámenes'!$C$5:$C$154, 0)), "")</f>
        <v>6.36666666666667</v>
      </c>
      <c r="J102" s="6">
        <f>IFERROR(INDEX('Base Exámenes'!$G$5:$G$154, MATCH(A102, 'Base Exámenes'!$C$5:$C$154, 0)), "")</f>
        <v>100</v>
      </c>
      <c r="K102" s="6" t="str">
        <f>IFERROR(INDEX('Base Exámenes'!$H$5:$H$154, MATCH(A102, 'Base Exámenes'!$C$5:$C$154, 0)), "anonymous")</f>
        <v>anonymous</v>
      </c>
    </row>
    <row r="103">
      <c r="A103" s="4" t="str">
        <f>'Base Oficial'!A103</f>
        <v>883</v>
      </c>
      <c r="B103" s="6" t="str">
        <f>'Base Oficial'!B103</f>
        <v>ISMAEL HUMBERTO  GUERRERO FLORES </v>
      </c>
      <c r="C103" s="6" t="str">
        <f>'Base Oficial'!F103</f>
        <v>GERENCIA DE SISTEMAS</v>
      </c>
      <c r="D103" s="6" t="str">
        <f>'Base Oficial'!G103</f>
        <v>Gerencia de Sistemas</v>
      </c>
      <c r="E103" s="6" t="str">
        <f>'Base Oficial'!D103</f>
        <v>ADMINISTRADOR DE SEGURIDAD INFORMATICA</v>
      </c>
      <c r="F103" s="4" t="str">
        <f>IF(COUNTIFS('Base Exámenes'!$C$5:$C$154, A103, 'Base Exámenes'!$E$5:$E$154, "&lt;&gt;")&gt;0, "Completado", "Pendiente")</f>
        <v>Completado</v>
      </c>
      <c r="G103" s="23">
        <f>IFERROR(INDEX('Base Exámenes'!$D$5:$D$154, MATCH(A103, 'Base Exámenes'!$C$5:$C$154, 0)), "")</f>
        <v>46300.582349537035</v>
      </c>
      <c r="H103" s="23">
        <f>IFERROR(INDEX('Base Exámenes'!$E$5:$E$154, MATCH(A103, 'Base Exámenes'!$C$5:$C$154, 0)), "")</f>
        <v>46300.58474537037</v>
      </c>
      <c r="I103" s="24">
        <f>IFERROR(INDEX('Base Exámenes'!$F$5:$F$154, MATCH(A103, 'Base Exámenes'!$C$5:$C$154, 0)), "")</f>
        <v>3.45</v>
      </c>
      <c r="J103" s="6">
        <f>IFERROR(INDEX('Base Exámenes'!$G$5:$G$154, MATCH(A103, 'Base Exámenes'!$C$5:$C$154, 0)), "")</f>
        <v>95</v>
      </c>
      <c r="K103" s="6" t="str">
        <f>IFERROR(INDEX('Base Exámenes'!$H$5:$H$154, MATCH(A103, 'Base Exámenes'!$C$5:$C$154, 0)), "anonymous")</f>
        <v>anonymous</v>
      </c>
    </row>
    <row r="104">
      <c r="A104" s="4" t="str">
        <f>'Base Oficial'!A104</f>
        <v>90</v>
      </c>
      <c r="B104" s="6" t="str">
        <f>'Base Oficial'!B104</f>
        <v>HUGO MARVIN SERRANO SARAVIA </v>
      </c>
      <c r="C104" s="6" t="str">
        <f>'Base Oficial'!F104</f>
        <v>DEPARTAMENTO DE OPERACIONES Y SOPORTE TECNICO</v>
      </c>
      <c r="D104" s="6" t="str">
        <f>'Base Oficial'!G104</f>
        <v>Gerencia de Sistemas</v>
      </c>
      <c r="E104" s="6" t="str">
        <f>'Base Oficial'!D104</f>
        <v>OPERADOR DE SISTEMAS</v>
      </c>
      <c r="F104" s="4" t="str">
        <f>IF(COUNTIFS('Base Exámenes'!$C$5:$C$154, A104, 'Base Exámenes'!$E$5:$E$154, "&lt;&gt;")&gt;0, "Completado", "Pendiente")</f>
        <v>Pendiente</v>
      </c>
      <c r="G104" s="23" t="str">
        <f>IFERROR(INDEX('Base Exámenes'!$D$5:$D$154, MATCH(A104, 'Base Exámenes'!$C$5:$C$154, 0)), "")</f>
        <v/>
      </c>
      <c r="H104" s="23" t="str">
        <f>IFERROR(INDEX('Base Exámenes'!$E$5:$E$154, MATCH(A104, 'Base Exámenes'!$C$5:$C$154, 0)), "")</f>
        <v/>
      </c>
      <c r="I104" s="24" t="str">
        <f>IFERROR(INDEX('Base Exámenes'!$F$5:$F$154, MATCH(A104, 'Base Exámenes'!$C$5:$C$154, 0)), "")</f>
        <v/>
      </c>
      <c r="J104" s="6" t="str">
        <f>IFERROR(INDEX('Base Exámenes'!$G$5:$G$154, MATCH(A104, 'Base Exámenes'!$C$5:$C$154, 0)), "")</f>
        <v/>
      </c>
      <c r="K104" s="6" t="str">
        <f>IFERROR(INDEX('Base Exámenes'!$H$5:$H$154, MATCH(A104, 'Base Exámenes'!$C$5:$C$154, 0)), "anonymous")</f>
        <v>anonymous</v>
      </c>
    </row>
    <row r="105">
      <c r="A105" s="4" t="str">
        <f>'Base Oficial'!A105</f>
        <v>119</v>
      </c>
      <c r="B105" s="6" t="str">
        <f>'Base Oficial'!B105</f>
        <v>JUAN JOSE LOPEZ ALFARO </v>
      </c>
      <c r="C105" s="6" t="str">
        <f>'Base Oficial'!F105</f>
        <v>DEPARTAMENTO DE OPERACIONES Y SOPORTE TECNICO</v>
      </c>
      <c r="D105" s="6" t="str">
        <f>'Base Oficial'!G105</f>
        <v>Gerencia de Sistemas</v>
      </c>
      <c r="E105" s="6" t="str">
        <f>'Base Oficial'!D105</f>
        <v>OPERADOR DE SISTEMAS</v>
      </c>
      <c r="F105" s="4" t="str">
        <f>IF(COUNTIFS('Base Exámenes'!$C$5:$C$154, A105, 'Base Exámenes'!$E$5:$E$154, "&lt;&gt;")&gt;0, "Completado", "Pendiente")</f>
        <v>Completado</v>
      </c>
      <c r="G105" s="23">
        <f>IFERROR(INDEX('Base Exámenes'!$D$5:$D$154, MATCH(A105, 'Base Exámenes'!$C$5:$C$154, 0)), "")</f>
        <v>46302.42083333333</v>
      </c>
      <c r="H105" s="23">
        <f>IFERROR(INDEX('Base Exámenes'!$E$5:$E$154, MATCH(A105, 'Base Exámenes'!$C$5:$C$154, 0)), "")</f>
        <v>46302.441828703704</v>
      </c>
      <c r="I105" s="24">
        <f>IFERROR(INDEX('Base Exámenes'!$F$5:$F$154, MATCH(A105, 'Base Exámenes'!$C$5:$C$154, 0)), "")</f>
        <v>30.2333333333333</v>
      </c>
      <c r="J105" s="6">
        <f>IFERROR(INDEX('Base Exámenes'!$G$5:$G$154, MATCH(A105, 'Base Exámenes'!$C$5:$C$154, 0)), "")</f>
        <v>100</v>
      </c>
      <c r="K105" s="6" t="str">
        <f>IFERROR(INDEX('Base Exámenes'!$H$5:$H$154, MATCH(A105, 'Base Exámenes'!$C$5:$C$154, 0)), "anonymous")</f>
        <v>anonymous</v>
      </c>
    </row>
    <row r="106">
      <c r="A106" s="4" t="str">
        <f>'Base Oficial'!A106</f>
        <v>221</v>
      </c>
      <c r="B106" s="6" t="str">
        <f>'Base Oficial'!B106</f>
        <v>CARLOS ORLANDO GARCIA VELASQUEZ </v>
      </c>
      <c r="C106" s="6" t="str">
        <f>'Base Oficial'!F106</f>
        <v>DEPARTAMENTO DE OPERACIONES Y SOPORTE TECNICO</v>
      </c>
      <c r="D106" s="6" t="str">
        <f>'Base Oficial'!G106</f>
        <v>Gerencia de Sistemas</v>
      </c>
      <c r="E106" s="6" t="str">
        <f>'Base Oficial'!D106</f>
        <v>TECNICO EN SOPORTE</v>
      </c>
      <c r="F106" s="4" t="str">
        <f>IF(COUNTIFS('Base Exámenes'!$C$5:$C$154, A106, 'Base Exámenes'!$E$5:$E$154, "&lt;&gt;")&gt;0, "Completado", "Pendiente")</f>
        <v>Completado</v>
      </c>
      <c r="G106" s="23">
        <f>IFERROR(INDEX('Base Exámenes'!$D$5:$D$154, MATCH(A106, 'Base Exámenes'!$C$5:$C$154, 0)), "")</f>
        <v>46300.58730324074</v>
      </c>
      <c r="H106" s="23">
        <f>IFERROR(INDEX('Base Exámenes'!$E$5:$E$154, MATCH(A106, 'Base Exámenes'!$C$5:$C$154, 0)), "")</f>
        <v>46300.58950231481</v>
      </c>
      <c r="I106" s="24">
        <f>IFERROR(INDEX('Base Exámenes'!$F$5:$F$154, MATCH(A106, 'Base Exámenes'!$C$5:$C$154, 0)), "")</f>
        <v>3.16666666666667</v>
      </c>
      <c r="J106" s="6">
        <f>IFERROR(INDEX('Base Exámenes'!$G$5:$G$154, MATCH(A106, 'Base Exámenes'!$C$5:$C$154, 0)), "")</f>
        <v>100</v>
      </c>
      <c r="K106" s="6" t="str">
        <f>IFERROR(INDEX('Base Exámenes'!$H$5:$H$154, MATCH(A106, 'Base Exámenes'!$C$5:$C$154, 0)), "anonymous")</f>
        <v>anonymous</v>
      </c>
    </row>
    <row r="107">
      <c r="A107" s="4" t="str">
        <f>'Base Oficial'!A107</f>
        <v>259</v>
      </c>
      <c r="B107" s="6" t="str">
        <f>'Base Oficial'!B107</f>
        <v>EDGAR MARGARITO POZO SHUPAN </v>
      </c>
      <c r="C107" s="6" t="str">
        <f>'Base Oficial'!F107</f>
        <v>DEPARTAMENTO DE OPERACIONES Y SOPORTE TECNICO</v>
      </c>
      <c r="D107" s="6" t="str">
        <f>'Base Oficial'!G107</f>
        <v>Gerencia de Sistemas</v>
      </c>
      <c r="E107" s="6" t="str">
        <f>'Base Oficial'!D107</f>
        <v>TECNICO EN SOPORTE</v>
      </c>
      <c r="F107" s="4" t="str">
        <f>IF(COUNTIFS('Base Exámenes'!$C$5:$C$154, A107, 'Base Exámenes'!$E$5:$E$154, "&lt;&gt;")&gt;0, "Completado", "Pendiente")</f>
        <v>Completado</v>
      </c>
      <c r="G107" s="23">
        <f>IFERROR(INDEX('Base Exámenes'!$D$5:$D$154, MATCH(A107, 'Base Exámenes'!$C$5:$C$154, 0)), "")</f>
        <v>46300.63085648148</v>
      </c>
      <c r="H107" s="23">
        <f>IFERROR(INDEX('Base Exámenes'!$E$5:$E$154, MATCH(A107, 'Base Exámenes'!$C$5:$C$154, 0)), "")</f>
        <v>46300.63810185185</v>
      </c>
      <c r="I107" s="24">
        <f>IFERROR(INDEX('Base Exámenes'!$F$5:$F$154, MATCH(A107, 'Base Exámenes'!$C$5:$C$154, 0)), "")</f>
        <v>10.4333333333333</v>
      </c>
      <c r="J107" s="6">
        <f>IFERROR(INDEX('Base Exámenes'!$G$5:$G$154, MATCH(A107, 'Base Exámenes'!$C$5:$C$154, 0)), "")</f>
        <v>100</v>
      </c>
      <c r="K107" s="6" t="str">
        <f>IFERROR(INDEX('Base Exámenes'!$H$5:$H$154, MATCH(A107, 'Base Exámenes'!$C$5:$C$154, 0)), "anonymous")</f>
        <v>anonymous</v>
      </c>
    </row>
    <row r="108">
      <c r="A108" s="4" t="str">
        <f>'Base Oficial'!A108</f>
        <v>281</v>
      </c>
      <c r="B108" s="6" t="str">
        <f>'Base Oficial'!B108</f>
        <v>CARLOS ALFONSO MOLINA CARDONA </v>
      </c>
      <c r="C108" s="6" t="str">
        <f>'Base Oficial'!F108</f>
        <v>DEPARTAMENTO DE OPERACIONES Y SOPORTE TECNICO</v>
      </c>
      <c r="D108" s="6" t="str">
        <f>'Base Oficial'!G108</f>
        <v>Gerencia de Sistemas</v>
      </c>
      <c r="E108" s="6" t="str">
        <f>'Base Oficial'!D108</f>
        <v>OPERADOR DE SISTEMAS</v>
      </c>
      <c r="F108" s="4" t="str">
        <f>IF(COUNTIFS('Base Exámenes'!$C$5:$C$154, A108, 'Base Exámenes'!$E$5:$E$154, "&lt;&gt;")&gt;0, "Completado", "Pendiente")</f>
        <v>Completado</v>
      </c>
      <c r="G108" s="23">
        <f>IFERROR(INDEX('Base Exámenes'!$D$5:$D$154, MATCH(A108, 'Base Exámenes'!$C$5:$C$154, 0)), "")</f>
        <v>46300.46083333333</v>
      </c>
      <c r="H108" s="23">
        <f>IFERROR(INDEX('Base Exámenes'!$E$5:$E$154, MATCH(A108, 'Base Exámenes'!$C$5:$C$154, 0)), "")</f>
        <v>46300.48065972222</v>
      </c>
      <c r="I108" s="24">
        <f>IFERROR(INDEX('Base Exámenes'!$F$5:$F$154, MATCH(A108, 'Base Exámenes'!$C$5:$C$154, 0)), "")</f>
        <v>28.55</v>
      </c>
      <c r="J108" s="6">
        <f>IFERROR(INDEX('Base Exámenes'!$G$5:$G$154, MATCH(A108, 'Base Exámenes'!$C$5:$C$154, 0)), "")</f>
        <v>100</v>
      </c>
      <c r="K108" s="6" t="str">
        <f>IFERROR(INDEX('Base Exámenes'!$H$5:$H$154, MATCH(A108, 'Base Exámenes'!$C$5:$C$154, 0)), "anonymous")</f>
        <v>anonymous</v>
      </c>
    </row>
    <row r="109">
      <c r="A109" s="4" t="str">
        <f>'Base Oficial'!A109</f>
        <v>490</v>
      </c>
      <c r="B109" s="6" t="str">
        <f>'Base Oficial'!B109</f>
        <v>JULIO ADOLFO MOLINA ARRIOLA </v>
      </c>
      <c r="C109" s="6" t="str">
        <f>'Base Oficial'!F109</f>
        <v>DEPARTAMENTO DE OPERACIONES Y SOPORTE TECNICO</v>
      </c>
      <c r="D109" s="6" t="str">
        <f>'Base Oficial'!G109</f>
        <v>Gerencia de Sistemas</v>
      </c>
      <c r="E109" s="6" t="str">
        <f>'Base Oficial'!D109</f>
        <v>OPERADOR DE SISTEMAS</v>
      </c>
      <c r="F109" s="4" t="str">
        <f>IF(COUNTIFS('Base Exámenes'!$C$5:$C$154, A109, 'Base Exámenes'!$E$5:$E$154, "&lt;&gt;")&gt;0, "Completado", "Pendiente")</f>
        <v>Completado</v>
      </c>
      <c r="G109" s="23">
        <f>IFERROR(INDEX('Base Exámenes'!$D$5:$D$154, MATCH(A109, 'Base Exámenes'!$C$5:$C$154, 0)), "")</f>
        <v>46301.424733796295</v>
      </c>
      <c r="H109" s="23">
        <f>IFERROR(INDEX('Base Exámenes'!$E$5:$E$154, MATCH(A109, 'Base Exámenes'!$C$5:$C$154, 0)), "")</f>
        <v>46301.436527777776</v>
      </c>
      <c r="I109" s="24">
        <f>IFERROR(INDEX('Base Exámenes'!$F$5:$F$154, MATCH(A109, 'Base Exámenes'!$C$5:$C$154, 0)), "")</f>
        <v>16.9833333333333</v>
      </c>
      <c r="J109" s="6">
        <f>IFERROR(INDEX('Base Exámenes'!$G$5:$G$154, MATCH(A109, 'Base Exámenes'!$C$5:$C$154, 0)), "")</f>
        <v>100</v>
      </c>
      <c r="K109" s="6" t="str">
        <f>IFERROR(INDEX('Base Exámenes'!$H$5:$H$154, MATCH(A109, 'Base Exámenes'!$C$5:$C$154, 0)), "anonymous")</f>
        <v>anonymous</v>
      </c>
    </row>
    <row r="110">
      <c r="A110" s="4" t="str">
        <f>'Base Oficial'!A110</f>
        <v>880</v>
      </c>
      <c r="B110" s="6" t="str">
        <f>'Base Oficial'!B110</f>
        <v>JORGE ALBERTO BARRERA </v>
      </c>
      <c r="C110" s="6" t="str">
        <f>'Base Oficial'!F110</f>
        <v>DEPARTAMENTO DE OPERACIONES Y SOPORTE TECNICO</v>
      </c>
      <c r="D110" s="6" t="str">
        <f>'Base Oficial'!G110</f>
        <v>Gerencia de Sistemas</v>
      </c>
      <c r="E110" s="6" t="str">
        <f>'Base Oficial'!D110</f>
        <v>JEFE DE OPERACIONES Y SOPORTE TECNICO</v>
      </c>
      <c r="F110" s="4" t="str">
        <f>IF(COUNTIFS('Base Exámenes'!$C$5:$C$154, A110, 'Base Exámenes'!$E$5:$E$154, "&lt;&gt;")&gt;0, "Completado", "Pendiente")</f>
        <v>Completado</v>
      </c>
      <c r="G110" s="23">
        <f>IFERROR(INDEX('Base Exámenes'!$D$5:$D$154, MATCH(A110, 'Base Exámenes'!$C$5:$C$154, 0)), "")</f>
        <v>46300.57717592592</v>
      </c>
      <c r="H110" s="23">
        <f>IFERROR(INDEX('Base Exámenes'!$E$5:$E$154, MATCH(A110, 'Base Exámenes'!$C$5:$C$154, 0)), "")</f>
        <v>46300.5841087963</v>
      </c>
      <c r="I110" s="24">
        <f>IFERROR(INDEX('Base Exámenes'!$F$5:$F$154, MATCH(A110, 'Base Exámenes'!$C$5:$C$154, 0)), "")</f>
        <v>9.98333333333333</v>
      </c>
      <c r="J110" s="6">
        <f>IFERROR(INDEX('Base Exámenes'!$G$5:$G$154, MATCH(A110, 'Base Exámenes'!$C$5:$C$154, 0)), "")</f>
        <v>100</v>
      </c>
      <c r="K110" s="6" t="str">
        <f>IFERROR(INDEX('Base Exámenes'!$H$5:$H$154, MATCH(A110, 'Base Exámenes'!$C$5:$C$154, 0)), "anonymous")</f>
        <v>anonymous</v>
      </c>
    </row>
    <row r="111">
      <c r="A111" s="4" t="str">
        <f>'Base Oficial'!A111</f>
        <v>239</v>
      </c>
      <c r="B111" s="6" t="str">
        <f>'Base Oficial'!B111</f>
        <v>CELINA MARGARITA GUTIERREZ  RODRIGUEZ</v>
      </c>
      <c r="C111" s="6" t="str">
        <f>'Base Oficial'!F111</f>
        <v>DEPARTAMENTO DE ANALISIS Y PROGRAMACIÓN</v>
      </c>
      <c r="D111" s="6" t="str">
        <f>'Base Oficial'!G111</f>
        <v>Gerencia de Sistemas</v>
      </c>
      <c r="E111" s="6" t="str">
        <f>'Base Oficial'!D111</f>
        <v>ANALISTA PROGRAMADOR SENIOR</v>
      </c>
      <c r="F111" s="4" t="str">
        <f>IF(COUNTIFS('Base Exámenes'!$C$5:$C$154, A111, 'Base Exámenes'!$E$5:$E$154, "&lt;&gt;")&gt;0, "Completado", "Pendiente")</f>
        <v>Completado</v>
      </c>
      <c r="G111" s="23">
        <f>IFERROR(INDEX('Base Exámenes'!$D$5:$D$154, MATCH(A111, 'Base Exámenes'!$C$5:$C$154, 0)), "")</f>
        <v>46296.641388888886</v>
      </c>
      <c r="H111" s="23">
        <f>IFERROR(INDEX('Base Exámenes'!$E$5:$E$154, MATCH(A111, 'Base Exámenes'!$C$5:$C$154, 0)), "")</f>
        <v>46296.65938657407</v>
      </c>
      <c r="I111" s="24">
        <f>IFERROR(INDEX('Base Exámenes'!$F$5:$F$154, MATCH(A111, 'Base Exámenes'!$C$5:$C$154, 0)), "")</f>
        <v>25.9166666666667</v>
      </c>
      <c r="J111" s="6">
        <f>IFERROR(INDEX('Base Exámenes'!$G$5:$G$154, MATCH(A111, 'Base Exámenes'!$C$5:$C$154, 0)), "")</f>
        <v>100</v>
      </c>
      <c r="K111" s="6" t="str">
        <f>IFERROR(INDEX('Base Exámenes'!$H$5:$H$154, MATCH(A111, 'Base Exámenes'!$C$5:$C$154, 0)), "anonymous")</f>
        <v>anonymous</v>
      </c>
    </row>
    <row r="112">
      <c r="A112" s="4" t="str">
        <f>'Base Oficial'!A112</f>
        <v>320</v>
      </c>
      <c r="B112" s="6" t="str">
        <f>'Base Oficial'!B112</f>
        <v>HILDA MARGARITA ABREGO BRAN </v>
      </c>
      <c r="C112" s="6" t="str">
        <f>'Base Oficial'!F112</f>
        <v>DEPARTAMENTO DE ANALISIS Y PROGRAMACIÓN</v>
      </c>
      <c r="D112" s="6" t="str">
        <f>'Base Oficial'!G112</f>
        <v>Gerencia de Sistemas</v>
      </c>
      <c r="E112" s="6" t="str">
        <f>'Base Oficial'!D112</f>
        <v>ANALISTA QA</v>
      </c>
      <c r="F112" s="4" t="str">
        <f>IF(COUNTIFS('Base Exámenes'!$C$5:$C$154, A112, 'Base Exámenes'!$E$5:$E$154, "&lt;&gt;")&gt;0, "Completado", "Pendiente")</f>
        <v>Completado</v>
      </c>
      <c r="G112" s="23">
        <f>IFERROR(INDEX('Base Exámenes'!$D$5:$D$154, MATCH(A112, 'Base Exámenes'!$C$5:$C$154, 0)), "")</f>
        <v>46296.56962962963</v>
      </c>
      <c r="H112" s="23">
        <f>IFERROR(INDEX('Base Exámenes'!$E$5:$E$154, MATCH(A112, 'Base Exámenes'!$C$5:$C$154, 0)), "")</f>
        <v>46296.59023148148</v>
      </c>
      <c r="I112" s="24">
        <f>IFERROR(INDEX('Base Exámenes'!$F$5:$F$154, MATCH(A112, 'Base Exámenes'!$C$5:$C$154, 0)), "")</f>
        <v>29.6666666666667</v>
      </c>
      <c r="J112" s="6">
        <f>IFERROR(INDEX('Base Exámenes'!$G$5:$G$154, MATCH(A112, 'Base Exámenes'!$C$5:$C$154, 0)), "")</f>
        <v>100</v>
      </c>
      <c r="K112" s="6" t="str">
        <f>IFERROR(INDEX('Base Exámenes'!$H$5:$H$154, MATCH(A112, 'Base Exámenes'!$C$5:$C$154, 0)), "anonymous")</f>
        <v>anonymous</v>
      </c>
    </row>
    <row r="113">
      <c r="A113" s="4" t="str">
        <f>'Base Oficial'!A113</f>
        <v>410</v>
      </c>
      <c r="B113" s="6" t="str">
        <f>'Base Oficial'!B113</f>
        <v>CLAUDIA MARGARITA CAMPOS GONZÁLEZ </v>
      </c>
      <c r="C113" s="6" t="str">
        <f>'Base Oficial'!F113</f>
        <v>DEPARTAMENTO DE ANALISIS Y PROGRAMACIÓN</v>
      </c>
      <c r="D113" s="6" t="str">
        <f>'Base Oficial'!G113</f>
        <v>Gerencia de Sistemas</v>
      </c>
      <c r="E113" s="6" t="str">
        <f>'Base Oficial'!D113</f>
        <v>JEFE DE ANALISIS Y PROGRAMACION</v>
      </c>
      <c r="F113" s="4" t="str">
        <f>IF(COUNTIFS('Base Exámenes'!$C$5:$C$154, A113, 'Base Exámenes'!$E$5:$E$154, "&lt;&gt;")&gt;0, "Completado", "Pendiente")</f>
        <v>Pendiente</v>
      </c>
      <c r="G113" s="23" t="str">
        <f>IFERROR(INDEX('Base Exámenes'!$D$5:$D$154, MATCH(A113, 'Base Exámenes'!$C$5:$C$154, 0)), "")</f>
        <v/>
      </c>
      <c r="H113" s="23" t="str">
        <f>IFERROR(INDEX('Base Exámenes'!$E$5:$E$154, MATCH(A113, 'Base Exámenes'!$C$5:$C$154, 0)), "")</f>
        <v/>
      </c>
      <c r="I113" s="24" t="str">
        <f>IFERROR(INDEX('Base Exámenes'!$F$5:$F$154, MATCH(A113, 'Base Exámenes'!$C$5:$C$154, 0)), "")</f>
        <v/>
      </c>
      <c r="J113" s="6" t="str">
        <f>IFERROR(INDEX('Base Exámenes'!$G$5:$G$154, MATCH(A113, 'Base Exámenes'!$C$5:$C$154, 0)), "")</f>
        <v/>
      </c>
      <c r="K113" s="6" t="str">
        <f>IFERROR(INDEX('Base Exámenes'!$H$5:$H$154, MATCH(A113, 'Base Exámenes'!$C$5:$C$154, 0)), "anonymous")</f>
        <v>anonymous</v>
      </c>
    </row>
    <row r="114">
      <c r="A114" s="4" t="str">
        <f>'Base Oficial'!A114</f>
        <v>474</v>
      </c>
      <c r="B114" s="6" t="str">
        <f>'Base Oficial'!B114</f>
        <v>GLADIS EVELIN CASTILLO TORRES </v>
      </c>
      <c r="C114" s="6" t="str">
        <f>'Base Oficial'!F114</f>
        <v>DEPARTAMENTO DE ANALISIS Y PROGRAMACIÓN</v>
      </c>
      <c r="D114" s="6" t="str">
        <f>'Base Oficial'!G114</f>
        <v>Gerencia de Sistemas</v>
      </c>
      <c r="E114" s="6" t="str">
        <f>'Base Oficial'!D114</f>
        <v>ANALISTA PROGRAMADOR SENIOR</v>
      </c>
      <c r="F114" s="4" t="str">
        <f>IF(COUNTIFS('Base Exámenes'!$C$5:$C$154, A114, 'Base Exámenes'!$E$5:$E$154, "&lt;&gt;")&gt;0, "Completado", "Pendiente")</f>
        <v>Completado</v>
      </c>
      <c r="G114" s="23">
        <f>IFERROR(INDEX('Base Exámenes'!$D$5:$D$154, MATCH(A114, 'Base Exámenes'!$C$5:$C$154, 0)), "")</f>
        <v>46297.48075231481</v>
      </c>
      <c r="H114" s="23">
        <f>IFERROR(INDEX('Base Exámenes'!$E$5:$E$154, MATCH(A114, 'Base Exámenes'!$C$5:$C$154, 0)), "")</f>
        <v>46297.48825231481</v>
      </c>
      <c r="I114" s="24">
        <f>IFERROR(INDEX('Base Exámenes'!$F$5:$F$154, MATCH(A114, 'Base Exámenes'!$C$5:$C$154, 0)), "")</f>
        <v>10.8</v>
      </c>
      <c r="J114" s="6">
        <f>IFERROR(INDEX('Base Exámenes'!$G$5:$G$154, MATCH(A114, 'Base Exámenes'!$C$5:$C$154, 0)), "")</f>
        <v>100</v>
      </c>
      <c r="K114" s="6" t="str">
        <f>IFERROR(INDEX('Base Exámenes'!$H$5:$H$154, MATCH(A114, 'Base Exámenes'!$C$5:$C$154, 0)), "anonymous")</f>
        <v>anonymous</v>
      </c>
    </row>
    <row r="115">
      <c r="A115" s="4" t="str">
        <f>'Base Oficial'!A115</f>
        <v>680</v>
      </c>
      <c r="B115" s="6" t="str">
        <f>'Base Oficial'!B115</f>
        <v>CARLOS FRANCISCO HERNANDEZ MUÑOZ </v>
      </c>
      <c r="C115" s="6" t="str">
        <f>'Base Oficial'!F115</f>
        <v>DEPARTAMENTO DE ANALISIS Y PROGRAMACIÓN</v>
      </c>
      <c r="D115" s="6" t="str">
        <f>'Base Oficial'!G115</f>
        <v>Gerencia de Sistemas</v>
      </c>
      <c r="E115" s="6" t="str">
        <f>'Base Oficial'!D115</f>
        <v>ANALISTA QA</v>
      </c>
      <c r="F115" s="4" t="str">
        <f>IF(COUNTIFS('Base Exámenes'!$C$5:$C$154, A115, 'Base Exámenes'!$E$5:$E$154, "&lt;&gt;")&gt;0, "Completado", "Pendiente")</f>
        <v>Completado</v>
      </c>
      <c r="G115" s="23">
        <f>IFERROR(INDEX('Base Exámenes'!$D$5:$D$154, MATCH(A115, 'Base Exámenes'!$C$5:$C$154, 0)), "")</f>
        <v>46300.386666666665</v>
      </c>
      <c r="H115" s="23">
        <f>IFERROR(INDEX('Base Exámenes'!$E$5:$E$154, MATCH(A115, 'Base Exámenes'!$C$5:$C$154, 0)), "")</f>
        <v>46300.39171296296</v>
      </c>
      <c r="I115" s="24">
        <f>IFERROR(INDEX('Base Exámenes'!$F$5:$F$154, MATCH(A115, 'Base Exámenes'!$C$5:$C$154, 0)), "")</f>
        <v>7.26666666666667</v>
      </c>
      <c r="J115" s="6">
        <f>IFERROR(INDEX('Base Exámenes'!$G$5:$G$154, MATCH(A115, 'Base Exámenes'!$C$5:$C$154, 0)), "")</f>
        <v>100</v>
      </c>
      <c r="K115" s="6" t="str">
        <f>IFERROR(INDEX('Base Exámenes'!$H$5:$H$154, MATCH(A115, 'Base Exámenes'!$C$5:$C$154, 0)), "anonymous")</f>
        <v>anonymous</v>
      </c>
    </row>
    <row r="116">
      <c r="A116" s="4" t="str">
        <f>'Base Oficial'!A116</f>
        <v>752</v>
      </c>
      <c r="B116" s="6" t="str">
        <f>'Base Oficial'!B116</f>
        <v>JEAN HARRY MIRANDA ARAUJO </v>
      </c>
      <c r="C116" s="6" t="str">
        <f>'Base Oficial'!F116</f>
        <v>DEPARTAMENTO DE ANALISIS Y PROGRAMACIÓN</v>
      </c>
      <c r="D116" s="6" t="str">
        <f>'Base Oficial'!G116</f>
        <v>Gerencia de Sistemas</v>
      </c>
      <c r="E116" s="6" t="str">
        <f>'Base Oficial'!D116</f>
        <v>ANALISTA PROGRAMADOR </v>
      </c>
      <c r="F116" s="4" t="str">
        <f>IF(COUNTIFS('Base Exámenes'!$C$5:$C$154, A116, 'Base Exámenes'!$E$5:$E$154, "&lt;&gt;")&gt;0, "Completado", "Pendiente")</f>
        <v>Pendiente</v>
      </c>
      <c r="G116" s="23" t="str">
        <f>IFERROR(INDEX('Base Exámenes'!$D$5:$D$154, MATCH(A116, 'Base Exámenes'!$C$5:$C$154, 0)), "")</f>
        <v/>
      </c>
      <c r="H116" s="23" t="str">
        <f>IFERROR(INDEX('Base Exámenes'!$E$5:$E$154, MATCH(A116, 'Base Exámenes'!$C$5:$C$154, 0)), "")</f>
        <v/>
      </c>
      <c r="I116" s="24" t="str">
        <f>IFERROR(INDEX('Base Exámenes'!$F$5:$F$154, MATCH(A116, 'Base Exámenes'!$C$5:$C$154, 0)), "")</f>
        <v/>
      </c>
      <c r="J116" s="6" t="str">
        <f>IFERROR(INDEX('Base Exámenes'!$G$5:$G$154, MATCH(A116, 'Base Exámenes'!$C$5:$C$154, 0)), "")</f>
        <v/>
      </c>
      <c r="K116" s="6" t="str">
        <f>IFERROR(INDEX('Base Exámenes'!$H$5:$H$154, MATCH(A116, 'Base Exámenes'!$C$5:$C$154, 0)), "anonymous")</f>
        <v>anonymous</v>
      </c>
    </row>
    <row r="117">
      <c r="A117" s="4" t="str">
        <f>'Base Oficial'!A117</f>
        <v>783</v>
      </c>
      <c r="B117" s="6" t="str">
        <f>'Base Oficial'!B117</f>
        <v>JONATHAN ALEXIS BERRIOS MENJIVAR </v>
      </c>
      <c r="C117" s="6" t="str">
        <f>'Base Oficial'!F117</f>
        <v>DEPARTAMENTO DE ANALISIS Y PROGRAMACIÓN</v>
      </c>
      <c r="D117" s="6" t="str">
        <f>'Base Oficial'!G117</f>
        <v>Gerencia de Sistemas</v>
      </c>
      <c r="E117" s="6" t="str">
        <f>'Base Oficial'!D117</f>
        <v>ANALISTA PROGRAMADOR </v>
      </c>
      <c r="F117" s="4" t="str">
        <f>IF(COUNTIFS('Base Exámenes'!$C$5:$C$154, A117, 'Base Exámenes'!$E$5:$E$154, "&lt;&gt;")&gt;0, "Completado", "Pendiente")</f>
        <v>Completado</v>
      </c>
      <c r="G117" s="23">
        <f>IFERROR(INDEX('Base Exámenes'!$D$5:$D$154, MATCH(A117, 'Base Exámenes'!$C$5:$C$154, 0)), "")</f>
        <v>46304.395833333336</v>
      </c>
      <c r="H117" s="23">
        <f>IFERROR(INDEX('Base Exámenes'!$E$5:$E$154, MATCH(A117, 'Base Exámenes'!$C$5:$C$154, 0)), "")</f>
        <v>46304.40027777778</v>
      </c>
      <c r="I117" s="24">
        <f>IFERROR(INDEX('Base Exámenes'!$F$5:$F$154, MATCH(A117, 'Base Exámenes'!$C$5:$C$154, 0)), "")</f>
        <v>6.4</v>
      </c>
      <c r="J117" s="6">
        <f>IFERROR(INDEX('Base Exámenes'!$G$5:$G$154, MATCH(A117, 'Base Exámenes'!$C$5:$C$154, 0)), "")</f>
        <v>100</v>
      </c>
      <c r="K117" s="6" t="str">
        <f>IFERROR(INDEX('Base Exámenes'!$H$5:$H$154, MATCH(A117, 'Base Exámenes'!$C$5:$C$154, 0)), "anonymous")</f>
        <v>anonymous</v>
      </c>
    </row>
    <row r="118">
      <c r="A118" s="4" t="str">
        <f>'Base Oficial'!A118</f>
        <v>806</v>
      </c>
      <c r="B118" s="6" t="str">
        <f>'Base Oficial'!B118</f>
        <v>BYRON WILFREDO MENJIVAR MELENDEZ </v>
      </c>
      <c r="C118" s="6" t="str">
        <f>'Base Oficial'!F118</f>
        <v>DEPARTAMENTO DE ANALISIS Y PROGRAMACIÓN</v>
      </c>
      <c r="D118" s="6" t="str">
        <f>'Base Oficial'!G118</f>
        <v>Gerencia de Sistemas</v>
      </c>
      <c r="E118" s="6" t="str">
        <f>'Base Oficial'!D118</f>
        <v>ANALISTA PROGRAMADOR </v>
      </c>
      <c r="F118" s="4" t="str">
        <f>IF(COUNTIFS('Base Exámenes'!$C$5:$C$154, A118, 'Base Exámenes'!$E$5:$E$154, "&lt;&gt;")&gt;0, "Completado", "Pendiente")</f>
        <v>Completado</v>
      </c>
      <c r="G118" s="23">
        <f>IFERROR(INDEX('Base Exámenes'!$D$5:$D$154, MATCH(A118, 'Base Exámenes'!$C$5:$C$154, 0)), "")</f>
        <v>46304.369363425925</v>
      </c>
      <c r="H118" s="23">
        <f>IFERROR(INDEX('Base Exámenes'!$E$5:$E$154, MATCH(A118, 'Base Exámenes'!$C$5:$C$154, 0)), "")</f>
        <v>46304.384618055556</v>
      </c>
      <c r="I118" s="24">
        <f>IFERROR(INDEX('Base Exámenes'!$F$5:$F$154, MATCH(A118, 'Base Exámenes'!$C$5:$C$154, 0)), "")</f>
        <v>21.9666666666667</v>
      </c>
      <c r="J118" s="6">
        <f>IFERROR(INDEX('Base Exámenes'!$G$5:$G$154, MATCH(A118, 'Base Exámenes'!$C$5:$C$154, 0)), "")</f>
        <v>100</v>
      </c>
      <c r="K118" s="6" t="str">
        <f>IFERROR(INDEX('Base Exámenes'!$H$5:$H$154, MATCH(A118, 'Base Exámenes'!$C$5:$C$154, 0)), "anonymous")</f>
        <v>anonymous</v>
      </c>
    </row>
    <row r="119">
      <c r="A119" s="4" t="str">
        <f>'Base Oficial'!A119</f>
        <v>824</v>
      </c>
      <c r="B119" s="6" t="str">
        <f>'Base Oficial'!B119</f>
        <v>RODRIGO FERNANDO FIGUEROA RIVAS </v>
      </c>
      <c r="C119" s="6" t="str">
        <f>'Base Oficial'!F119</f>
        <v>DEPARTAMENTO DE ANALISIS Y PROGRAMACIÓN</v>
      </c>
      <c r="D119" s="6" t="str">
        <f>'Base Oficial'!G119</f>
        <v>Gerencia de Sistemas</v>
      </c>
      <c r="E119" s="6" t="str">
        <f>'Base Oficial'!D119</f>
        <v>ANALISTA PROGRAMADOR JUNIOR</v>
      </c>
      <c r="F119" s="4" t="str">
        <f>IF(COUNTIFS('Base Exámenes'!$C$5:$C$154, A119, 'Base Exámenes'!$E$5:$E$154, "&lt;&gt;")&gt;0, "Completado", "Pendiente")</f>
        <v>Completado</v>
      </c>
      <c r="G119" s="23">
        <f>IFERROR(INDEX('Base Exámenes'!$D$5:$D$154, MATCH(A119, 'Base Exámenes'!$C$5:$C$154, 0)), "")</f>
        <v>46304.37327546296</v>
      </c>
      <c r="H119" s="23">
        <f>IFERROR(INDEX('Base Exámenes'!$E$5:$E$154, MATCH(A119, 'Base Exámenes'!$C$5:$C$154, 0)), "")</f>
        <v>46304.38784722222</v>
      </c>
      <c r="I119" s="24">
        <f>IFERROR(INDEX('Base Exámenes'!$F$5:$F$154, MATCH(A119, 'Base Exámenes'!$C$5:$C$154, 0)), "")</f>
        <v>20.9833333333333</v>
      </c>
      <c r="J119" s="6">
        <f>IFERROR(INDEX('Base Exámenes'!$G$5:$G$154, MATCH(A119, 'Base Exámenes'!$C$5:$C$154, 0)), "")</f>
        <v>100</v>
      </c>
      <c r="K119" s="6" t="str">
        <f>IFERROR(INDEX('Base Exámenes'!$H$5:$H$154, MATCH(A119, 'Base Exámenes'!$C$5:$C$154, 0)), "anonymous")</f>
        <v>anonymous</v>
      </c>
    </row>
    <row r="120">
      <c r="A120" s="4" t="str">
        <f>'Base Oficial'!A120</f>
        <v>879</v>
      </c>
      <c r="B120" s="6" t="str">
        <f>'Base Oficial'!B120</f>
        <v>MILAGRO NATIVIDAD ESCOBAR MELENDEZ </v>
      </c>
      <c r="C120" s="6" t="str">
        <f>'Base Oficial'!F120</f>
        <v>DEPARTAMENTO DE ANALISIS Y PROGRAMACIÓN</v>
      </c>
      <c r="D120" s="6" t="str">
        <f>'Base Oficial'!G120</f>
        <v>Gerencia de Sistemas</v>
      </c>
      <c r="E120" s="6" t="str">
        <f>'Base Oficial'!D120</f>
        <v>ANALISTA PROGRAMADOR </v>
      </c>
      <c r="F120" s="4" t="str">
        <f>IF(COUNTIFS('Base Exámenes'!$C$5:$C$154, A120, 'Base Exámenes'!$E$5:$E$154, "&lt;&gt;")&gt;0, "Completado", "Pendiente")</f>
        <v>Completado</v>
      </c>
      <c r="G120" s="23">
        <f>IFERROR(INDEX('Base Exámenes'!$D$5:$D$154, MATCH(A120, 'Base Exámenes'!$C$5:$C$154, 0)), "")</f>
        <v>46304.39172453704</v>
      </c>
      <c r="H120" s="23">
        <f>IFERROR(INDEX('Base Exámenes'!$E$5:$E$154, MATCH(A120, 'Base Exámenes'!$C$5:$C$154, 0)), "")</f>
        <v>46304.394837962966</v>
      </c>
      <c r="I120" s="24">
        <f>IFERROR(INDEX('Base Exámenes'!$F$5:$F$154, MATCH(A120, 'Base Exámenes'!$C$5:$C$154, 0)), "")</f>
        <v>4.48333333333333</v>
      </c>
      <c r="J120" s="6">
        <f>IFERROR(INDEX('Base Exámenes'!$G$5:$G$154, MATCH(A120, 'Base Exámenes'!$C$5:$C$154, 0)), "")</f>
        <v>100</v>
      </c>
      <c r="K120" s="6" t="str">
        <f>IFERROR(INDEX('Base Exámenes'!$H$5:$H$154, MATCH(A120, 'Base Exámenes'!$C$5:$C$154, 0)), "anonymous")</f>
        <v>anonymous</v>
      </c>
    </row>
    <row r="121">
      <c r="A121" s="4" t="str">
        <f>'Base Oficial'!A121</f>
        <v>899</v>
      </c>
      <c r="B121" s="6" t="str">
        <f>'Base Oficial'!B121</f>
        <v>ALEJANDRA VERONICA CENTENO  LOPEZ</v>
      </c>
      <c r="C121" s="6" t="str">
        <f>'Base Oficial'!F121</f>
        <v>DEPARTAMENTO DE ANALISIS Y PROGRAMACIÓN</v>
      </c>
      <c r="D121" s="6" t="str">
        <f>'Base Oficial'!G121</f>
        <v>Gerencia de Sistemas</v>
      </c>
      <c r="E121" s="6" t="str">
        <f>'Base Oficial'!D121</f>
        <v>ANALISTA PROGRAMADOR </v>
      </c>
      <c r="F121" s="4" t="str">
        <f>IF(COUNTIFS('Base Exámenes'!$C$5:$C$154, A121, 'Base Exámenes'!$E$5:$E$154, "&lt;&gt;")&gt;0, "Completado", "Pendiente")</f>
        <v>Pendiente</v>
      </c>
      <c r="G121" s="23" t="str">
        <f>IFERROR(INDEX('Base Exámenes'!$D$5:$D$154, MATCH(A121, 'Base Exámenes'!$C$5:$C$154, 0)), "")</f>
        <v/>
      </c>
      <c r="H121" s="23" t="str">
        <f>IFERROR(INDEX('Base Exámenes'!$E$5:$E$154, MATCH(A121, 'Base Exámenes'!$C$5:$C$154, 0)), "")</f>
        <v/>
      </c>
      <c r="I121" s="24" t="str">
        <f>IFERROR(INDEX('Base Exámenes'!$F$5:$F$154, MATCH(A121, 'Base Exámenes'!$C$5:$C$154, 0)), "")</f>
        <v/>
      </c>
      <c r="J121" s="6" t="str">
        <f>IFERROR(INDEX('Base Exámenes'!$G$5:$G$154, MATCH(A121, 'Base Exámenes'!$C$5:$C$154, 0)), "")</f>
        <v/>
      </c>
      <c r="K121" s="6" t="str">
        <f>IFERROR(INDEX('Base Exámenes'!$H$5:$H$154, MATCH(A121, 'Base Exámenes'!$C$5:$C$154, 0)), "anonymous")</f>
        <v>anonymous</v>
      </c>
    </row>
    <row r="122">
      <c r="A122" s="4" t="str">
        <f>'Base Oficial'!A122</f>
        <v>409</v>
      </c>
      <c r="B122" s="6" t="str">
        <f>'Base Oficial'!B122</f>
        <v>PEDRO ERNESTO MORÁN RAMÍREZ </v>
      </c>
      <c r="C122" s="6" t="str">
        <f>'Base Oficial'!F122</f>
        <v>ADMINISTRACION DE BASE DE DATOS</v>
      </c>
      <c r="D122" s="6" t="str">
        <f>'Base Oficial'!G122</f>
        <v>Gerencia de Sistemas</v>
      </c>
      <c r="E122" s="6" t="str">
        <f>'Base Oficial'!D122</f>
        <v>ADMINISTRADOR DE BASE DE DATOS</v>
      </c>
      <c r="F122" s="4" t="str">
        <f>IF(COUNTIFS('Base Exámenes'!$C$5:$C$154, A122, 'Base Exámenes'!$E$5:$E$154, "&lt;&gt;")&gt;0, "Completado", "Pendiente")</f>
        <v>Completado</v>
      </c>
      <c r="G122" s="23">
        <f>IFERROR(INDEX('Base Exámenes'!$D$5:$D$154, MATCH(A122, 'Base Exámenes'!$C$5:$C$154, 0)), "")</f>
        <v>46300.68533564815</v>
      </c>
      <c r="H122" s="23">
        <f>IFERROR(INDEX('Base Exámenes'!$E$5:$E$154, MATCH(A122, 'Base Exámenes'!$C$5:$C$154, 0)), "")</f>
        <v>46300.696018518516</v>
      </c>
      <c r="I122" s="24">
        <f>IFERROR(INDEX('Base Exámenes'!$F$5:$F$154, MATCH(A122, 'Base Exámenes'!$C$5:$C$154, 0)), "")</f>
        <v>15.3833333333333</v>
      </c>
      <c r="J122" s="6">
        <f>IFERROR(INDEX('Base Exámenes'!$G$5:$G$154, MATCH(A122, 'Base Exámenes'!$C$5:$C$154, 0)), "")</f>
        <v>95</v>
      </c>
      <c r="K122" s="6" t="str">
        <f>IFERROR(INDEX('Base Exámenes'!$H$5:$H$154, MATCH(A122, 'Base Exámenes'!$C$5:$C$154, 0)), "anonymous")</f>
        <v>anonymous</v>
      </c>
    </row>
    <row r="123">
      <c r="A123" s="4" t="str">
        <f>'Base Oficial'!A123</f>
        <v>330</v>
      </c>
      <c r="B123" s="6" t="str">
        <f>'Base Oficial'!B123</f>
        <v>MERALYS CHAVEZ RODRIGUEZ </v>
      </c>
      <c r="C123" s="6" t="str">
        <f>'Base Oficial'!F123</f>
        <v>DEPARTAMENTO DE AUDITORIA INTERNA</v>
      </c>
      <c r="D123" s="6" t="str">
        <f>'Base Oficial'!G123</f>
        <v>Auditoría Interna</v>
      </c>
      <c r="E123" s="6" t="str">
        <f>'Base Oficial'!D123</f>
        <v>AUDITOR INTERNO</v>
      </c>
      <c r="F123" s="4" t="str">
        <f>IF(COUNTIFS('Base Exámenes'!$C$5:$C$154, A123, 'Base Exámenes'!$E$5:$E$154, "&lt;&gt;")&gt;0, "Completado", "Pendiente")</f>
        <v>Pendiente</v>
      </c>
      <c r="G123" s="23" t="str">
        <f>IFERROR(INDEX('Base Exámenes'!$D$5:$D$154, MATCH(A123, 'Base Exámenes'!$C$5:$C$154, 0)), "")</f>
        <v/>
      </c>
      <c r="H123" s="23" t="str">
        <f>IFERROR(INDEX('Base Exámenes'!$E$5:$E$154, MATCH(A123, 'Base Exámenes'!$C$5:$C$154, 0)), "")</f>
        <v/>
      </c>
      <c r="I123" s="24" t="str">
        <f>IFERROR(INDEX('Base Exámenes'!$F$5:$F$154, MATCH(A123, 'Base Exámenes'!$C$5:$C$154, 0)), "")</f>
        <v/>
      </c>
      <c r="J123" s="6" t="str">
        <f>IFERROR(INDEX('Base Exámenes'!$G$5:$G$154, MATCH(A123, 'Base Exámenes'!$C$5:$C$154, 0)), "")</f>
        <v/>
      </c>
      <c r="K123" s="6" t="str">
        <f>IFERROR(INDEX('Base Exámenes'!$H$5:$H$154, MATCH(A123, 'Base Exámenes'!$C$5:$C$154, 0)), "anonymous")</f>
        <v>anonymous</v>
      </c>
    </row>
    <row r="124">
      <c r="A124" s="4" t="str">
        <f>'Base Oficial'!A124</f>
        <v>424</v>
      </c>
      <c r="B124" s="6" t="str">
        <f>'Base Oficial'!B124</f>
        <v>MAYRA LISSETTE LOPEZ  SANCHEZ</v>
      </c>
      <c r="C124" s="6" t="str">
        <f>'Base Oficial'!F124</f>
        <v>DEPARTAMENTO DE AUDITORIA INTERNA</v>
      </c>
      <c r="D124" s="6" t="str">
        <f>'Base Oficial'!G124</f>
        <v>Auditoría Interna</v>
      </c>
      <c r="E124" s="6" t="str">
        <f>'Base Oficial'!D124</f>
        <v>SUPERVISOR DE AUDITORIA INTERNA</v>
      </c>
      <c r="F124" s="4" t="str">
        <f>IF(COUNTIFS('Base Exámenes'!$C$5:$C$154, A124, 'Base Exámenes'!$E$5:$E$154, "&lt;&gt;")&gt;0, "Completado", "Pendiente")</f>
        <v>Completado</v>
      </c>
      <c r="G124" s="23">
        <f>IFERROR(INDEX('Base Exámenes'!$D$5:$D$154, MATCH(A124, 'Base Exámenes'!$C$5:$C$154, 0)), "")</f>
        <v>46304.40168981482</v>
      </c>
      <c r="H124" s="23">
        <f>IFERROR(INDEX('Base Exámenes'!$E$5:$E$154, MATCH(A124, 'Base Exámenes'!$C$5:$C$154, 0)), "")</f>
        <v>46304.404328703706</v>
      </c>
      <c r="I124" s="24">
        <f>IFERROR(INDEX('Base Exámenes'!$F$5:$F$154, MATCH(A124, 'Base Exámenes'!$C$5:$C$154, 0)), "")</f>
        <v>3.8</v>
      </c>
      <c r="J124" s="6">
        <f>IFERROR(INDEX('Base Exámenes'!$G$5:$G$154, MATCH(A124, 'Base Exámenes'!$C$5:$C$154, 0)), "")</f>
        <v>90</v>
      </c>
      <c r="K124" s="6" t="str">
        <f>IFERROR(INDEX('Base Exámenes'!$H$5:$H$154, MATCH(A124, 'Base Exámenes'!$C$5:$C$154, 0)), "anonymous")</f>
        <v>anonymous</v>
      </c>
    </row>
    <row r="125">
      <c r="A125" s="4" t="str">
        <f>'Base Oficial'!A125</f>
        <v>534</v>
      </c>
      <c r="B125" s="6" t="str">
        <f>'Base Oficial'!B125</f>
        <v>NELSON DANILO BENITEZ MENDEZ </v>
      </c>
      <c r="C125" s="6" t="str">
        <f>'Base Oficial'!F125</f>
        <v>DEPARTAMENTO DE AUDITORIA INTERNA</v>
      </c>
      <c r="D125" s="6" t="str">
        <f>'Base Oficial'!G125</f>
        <v>Auditoría Interna</v>
      </c>
      <c r="E125" s="6" t="str">
        <f>'Base Oficial'!D125</f>
        <v>AUDITOR DE SISTEMAS</v>
      </c>
      <c r="F125" s="4" t="str">
        <f>IF(COUNTIFS('Base Exámenes'!$C$5:$C$154, A125, 'Base Exámenes'!$E$5:$E$154, "&lt;&gt;")&gt;0, "Completado", "Pendiente")</f>
        <v>Pendiente</v>
      </c>
      <c r="G125" s="23" t="str">
        <f>IFERROR(INDEX('Base Exámenes'!$D$5:$D$154, MATCH(A125, 'Base Exámenes'!$C$5:$C$154, 0)), "")</f>
        <v/>
      </c>
      <c r="H125" s="23" t="str">
        <f>IFERROR(INDEX('Base Exámenes'!$E$5:$E$154, MATCH(A125, 'Base Exámenes'!$C$5:$C$154, 0)), "")</f>
        <v/>
      </c>
      <c r="I125" s="24" t="str">
        <f>IFERROR(INDEX('Base Exámenes'!$F$5:$F$154, MATCH(A125, 'Base Exámenes'!$C$5:$C$154, 0)), "")</f>
        <v/>
      </c>
      <c r="J125" s="6" t="str">
        <f>IFERROR(INDEX('Base Exámenes'!$G$5:$G$154, MATCH(A125, 'Base Exámenes'!$C$5:$C$154, 0)), "")</f>
        <v/>
      </c>
      <c r="K125" s="6" t="str">
        <f>IFERROR(INDEX('Base Exámenes'!$H$5:$H$154, MATCH(A125, 'Base Exámenes'!$C$5:$C$154, 0)), "anonymous")</f>
        <v>anonymous</v>
      </c>
    </row>
    <row r="126">
      <c r="A126" s="4" t="str">
        <f>'Base Oficial'!A126</f>
        <v>548</v>
      </c>
      <c r="B126" s="6" t="str">
        <f>'Base Oficial'!B126</f>
        <v>ZORAIDA LORENA LOPEZ MEDINA </v>
      </c>
      <c r="C126" s="6" t="str">
        <f>'Base Oficial'!F126</f>
        <v>DEPARTAMENTO DE AUDITORIA INTERNA</v>
      </c>
      <c r="D126" s="6" t="str">
        <f>'Base Oficial'!G126</f>
        <v>Auditoría Interna</v>
      </c>
      <c r="E126" s="6" t="str">
        <f>'Base Oficial'!D126</f>
        <v>ASISTENTE DE AUDITORIA INTERNA</v>
      </c>
      <c r="F126" s="4" t="str">
        <f>IF(COUNTIFS('Base Exámenes'!$C$5:$C$154, A126, 'Base Exámenes'!$E$5:$E$154, "&lt;&gt;")&gt;0, "Completado", "Pendiente")</f>
        <v>Completado</v>
      </c>
      <c r="G126" s="23">
        <f>IFERROR(INDEX('Base Exámenes'!$D$5:$D$154, MATCH(A126, 'Base Exámenes'!$C$5:$C$154, 0)), "")</f>
        <v>46296.704247685186</v>
      </c>
      <c r="H126" s="23">
        <f>IFERROR(INDEX('Base Exámenes'!$E$5:$E$154, MATCH(A126, 'Base Exámenes'!$C$5:$C$154, 0)), "")</f>
        <v>46296.711550925924</v>
      </c>
      <c r="I126" s="24">
        <f>IFERROR(INDEX('Base Exámenes'!$F$5:$F$154, MATCH(A126, 'Base Exámenes'!$C$5:$C$154, 0)), "")</f>
        <v>10.5166666419167</v>
      </c>
      <c r="J126" s="6">
        <f>IFERROR(INDEX('Base Exámenes'!$G$5:$G$154, MATCH(A126, 'Base Exámenes'!$C$5:$C$154, 0)), "")</f>
        <v>100</v>
      </c>
      <c r="K126" s="6" t="str">
        <f>IFERROR(INDEX('Base Exámenes'!$H$5:$H$154, MATCH(A126, 'Base Exámenes'!$C$5:$C$154, 0)), "anonymous")</f>
        <v>anonymous</v>
      </c>
    </row>
    <row r="127">
      <c r="A127" s="4" t="str">
        <f>'Base Oficial'!A127</f>
        <v>742</v>
      </c>
      <c r="B127" s="6" t="str">
        <f>'Base Oficial'!B127</f>
        <v>PATRICIA GUADALUPE  SEGOVIA RAMIREZ </v>
      </c>
      <c r="C127" s="6" t="str">
        <f>'Base Oficial'!F127</f>
        <v>DEPARTAMENTO DE AUDITORIA INTERNA</v>
      </c>
      <c r="D127" s="6" t="str">
        <f>'Base Oficial'!G127</f>
        <v>Auditoría Interna</v>
      </c>
      <c r="E127" s="6" t="str">
        <f>'Base Oficial'!D127</f>
        <v>ASISTENTE DE AUDITORIA INTERNA</v>
      </c>
      <c r="F127" s="4" t="str">
        <f>IF(COUNTIFS('Base Exámenes'!$C$5:$C$154, A127, 'Base Exámenes'!$E$5:$E$154, "&lt;&gt;")&gt;0, "Completado", "Pendiente")</f>
        <v>Completado</v>
      </c>
      <c r="G127" s="23">
        <f>IFERROR(INDEX('Base Exámenes'!$D$5:$D$154, MATCH(A127, 'Base Exámenes'!$C$5:$C$154, 0)), "")</f>
        <v>46304.39957175926</v>
      </c>
      <c r="H127" s="23">
        <f>IFERROR(INDEX('Base Exámenes'!$E$5:$E$154, MATCH(A127, 'Base Exámenes'!$C$5:$C$154, 0)), "")</f>
        <v>46304.40319444444</v>
      </c>
      <c r="I127" s="24">
        <f>IFERROR(INDEX('Base Exámenes'!$F$5:$F$154, MATCH(A127, 'Base Exámenes'!$C$5:$C$154, 0)), "")</f>
        <v>5.21666666666667</v>
      </c>
      <c r="J127" s="6">
        <f>IFERROR(INDEX('Base Exámenes'!$G$5:$G$154, MATCH(A127, 'Base Exámenes'!$C$5:$C$154, 0)), "")</f>
        <v>90</v>
      </c>
      <c r="K127" s="6" t="str">
        <f>IFERROR(INDEX('Base Exámenes'!$H$5:$H$154, MATCH(A127, 'Base Exámenes'!$C$5:$C$154, 0)), "anonymous")</f>
        <v>anonymous</v>
      </c>
    </row>
    <row r="128">
      <c r="A128" s="4" t="str">
        <f>'Base Oficial'!A128</f>
        <v>750</v>
      </c>
      <c r="B128" s="6" t="str">
        <f>'Base Oficial'!B128</f>
        <v>MARLON ANTONIO BONILLA GARCIA </v>
      </c>
      <c r="C128" s="6" t="str">
        <f>'Base Oficial'!F128</f>
        <v>DEPARTAMENTO DE AUDITORIA INTERNA</v>
      </c>
      <c r="D128" s="6" t="str">
        <f>'Base Oficial'!G128</f>
        <v>Auditoría Interna</v>
      </c>
      <c r="E128" s="6" t="str">
        <f>'Base Oficial'!D128</f>
        <v>ASISTENTE DE AUDITORIA INTERNA</v>
      </c>
      <c r="F128" s="4" t="str">
        <f>IF(COUNTIFS('Base Exámenes'!$C$5:$C$154, A128, 'Base Exámenes'!$E$5:$E$154, "&lt;&gt;")&gt;0, "Completado", "Pendiente")</f>
        <v>Completado</v>
      </c>
      <c r="G128" s="23">
        <f>IFERROR(INDEX('Base Exámenes'!$D$5:$D$154, MATCH(A128, 'Base Exámenes'!$C$5:$C$154, 0)), "")</f>
        <v>46296.61756944445</v>
      </c>
      <c r="H128" s="23">
        <f>IFERROR(INDEX('Base Exámenes'!$E$5:$E$154, MATCH(A128, 'Base Exámenes'!$C$5:$C$154, 0)), "")</f>
        <v>46296.62321759259</v>
      </c>
      <c r="I128" s="24">
        <f>IFERROR(INDEX('Base Exámenes'!$F$5:$F$154, MATCH(A128, 'Base Exámenes'!$C$5:$C$154, 0)), "")</f>
        <v>8.13333333333333</v>
      </c>
      <c r="J128" s="6">
        <f>IFERROR(INDEX('Base Exámenes'!$G$5:$G$154, MATCH(A128, 'Base Exámenes'!$C$5:$C$154, 0)), "")</f>
        <v>100</v>
      </c>
      <c r="K128" s="6" t="str">
        <f>IFERROR(INDEX('Base Exámenes'!$H$5:$H$154, MATCH(A128, 'Base Exámenes'!$C$5:$C$154, 0)), "anonymous")</f>
        <v>anonymous</v>
      </c>
    </row>
    <row r="129">
      <c r="A129" s="4" t="str">
        <f>'Base Oficial'!A129</f>
        <v>865</v>
      </c>
      <c r="B129" s="6" t="str">
        <f>'Base Oficial'!B129</f>
        <v>MARIA ELENA VALLE BENAVIDES </v>
      </c>
      <c r="C129" s="6" t="str">
        <f>'Base Oficial'!F129</f>
        <v>DEPARTAMENTO DE AUDITORIA INTERNA</v>
      </c>
      <c r="D129" s="6" t="str">
        <f>'Base Oficial'!G129</f>
        <v>Auditoría Interna</v>
      </c>
      <c r="E129" s="6" t="str">
        <f>'Base Oficial'!D129</f>
        <v>ASISTENTE DE AUDITORIA INTERNA</v>
      </c>
      <c r="F129" s="4" t="str">
        <f>IF(COUNTIFS('Base Exámenes'!$C$5:$C$154, A129, 'Base Exámenes'!$E$5:$E$154, "&lt;&gt;")&gt;0, "Completado", "Pendiente")</f>
        <v>Completado</v>
      </c>
      <c r="G129" s="23">
        <f>IFERROR(INDEX('Base Exámenes'!$D$5:$D$154, MATCH(A129, 'Base Exámenes'!$C$5:$C$154, 0)), "")</f>
        <v>46296.676203703704</v>
      </c>
      <c r="H129" s="23">
        <f>IFERROR(INDEX('Base Exámenes'!$E$5:$E$154, MATCH(A129, 'Base Exámenes'!$C$5:$C$154, 0)), "")</f>
        <v>46296.68074074074</v>
      </c>
      <c r="I129" s="24">
        <f>IFERROR(INDEX('Base Exámenes'!$F$5:$F$154, MATCH(A129, 'Base Exámenes'!$C$5:$C$154, 0)), "")</f>
        <v>6.53333333333333</v>
      </c>
      <c r="J129" s="6">
        <f>IFERROR(INDEX('Base Exámenes'!$G$5:$G$154, MATCH(A129, 'Base Exámenes'!$C$5:$C$154, 0)), "")</f>
        <v>100</v>
      </c>
      <c r="K129" s="6" t="str">
        <f>IFERROR(INDEX('Base Exámenes'!$H$5:$H$154, MATCH(A129, 'Base Exámenes'!$C$5:$C$154, 0)), "anonymous")</f>
        <v>anonymous</v>
      </c>
    </row>
    <row r="130">
      <c r="A130" s="4" t="str">
        <f>'Base Oficial'!A130</f>
        <v>443</v>
      </c>
      <c r="B130" s="6" t="str">
        <f>'Base Oficial'!B130</f>
        <v>JOSSELINE LIZBETH VENTURA  RIVAS</v>
      </c>
      <c r="C130" s="6" t="str">
        <f>'Base Oficial'!F130</f>
        <v>OFICIALIA DE CUMPLIMIENTO</v>
      </c>
      <c r="D130" s="6" t="str">
        <f>'Base Oficial'!G130</f>
        <v>Gerencia de Oficialía de Cumplimiento</v>
      </c>
      <c r="E130" s="6" t="str">
        <f>'Base Oficial'!D130</f>
        <v>ANALISTA DE CUMPLIMIENTO</v>
      </c>
      <c r="F130" s="4" t="str">
        <f>IF(COUNTIFS('Base Exámenes'!$C$5:$C$154, A130, 'Base Exámenes'!$E$5:$E$154, "&lt;&gt;")&gt;0, "Completado", "Pendiente")</f>
        <v>Completado</v>
      </c>
      <c r="G130" s="23">
        <f>IFERROR(INDEX('Base Exámenes'!$D$5:$D$154, MATCH(A130, 'Base Exámenes'!$C$5:$C$154, 0)), "")</f>
        <v>46296.48201388889</v>
      </c>
      <c r="H130" s="23">
        <f>IFERROR(INDEX('Base Exámenes'!$E$5:$E$154, MATCH(A130, 'Base Exámenes'!$C$5:$C$154, 0)), "")</f>
        <v>46296.491481481484</v>
      </c>
      <c r="I130" s="24">
        <f>IFERROR(INDEX('Base Exámenes'!$F$5:$F$154, MATCH(A130, 'Base Exámenes'!$C$5:$C$154, 0)), "")</f>
        <v>13.6333333333333</v>
      </c>
      <c r="J130" s="6">
        <f>IFERROR(INDEX('Base Exámenes'!$G$5:$G$154, MATCH(A130, 'Base Exámenes'!$C$5:$C$154, 0)), "")</f>
        <v>100</v>
      </c>
      <c r="K130" s="6" t="str">
        <f>IFERROR(INDEX('Base Exámenes'!$H$5:$H$154, MATCH(A130, 'Base Exámenes'!$C$5:$C$154, 0)), "anonymous")</f>
        <v>anonymous</v>
      </c>
    </row>
    <row r="131">
      <c r="A131" s="4" t="str">
        <f>'Base Oficial'!A131</f>
        <v>860</v>
      </c>
      <c r="B131" s="6" t="str">
        <f>'Base Oficial'!B131</f>
        <v>JOHANNA LISSETH ROMERO RIVAS </v>
      </c>
      <c r="C131" s="6" t="str">
        <f>'Base Oficial'!F131</f>
        <v>OFICIALIA DE CUMPLIMIENTO</v>
      </c>
      <c r="D131" s="6" t="str">
        <f>'Base Oficial'!G131</f>
        <v>Gerencia de Oficialía de Cumplimiento</v>
      </c>
      <c r="E131" s="6" t="str">
        <f>'Base Oficial'!D131</f>
        <v>ANALISTA DE OFICIALIA DE CUMPLIMIENTO Y OFICIAL DE CUMPLIMIE</v>
      </c>
      <c r="F131" s="4" t="str">
        <f>IF(COUNTIFS('Base Exámenes'!$C$5:$C$154, A131, 'Base Exámenes'!$E$5:$E$154, "&lt;&gt;")&gt;0, "Completado", "Pendiente")</f>
        <v>Completado</v>
      </c>
      <c r="G131" s="23">
        <f>IFERROR(INDEX('Base Exámenes'!$D$5:$D$154, MATCH(A131, 'Base Exámenes'!$C$5:$C$154, 0)), "")</f>
        <v>46296.47424768518</v>
      </c>
      <c r="H131" s="23">
        <f>IFERROR(INDEX('Base Exámenes'!$E$5:$E$154, MATCH(A131, 'Base Exámenes'!$C$5:$C$154, 0)), "")</f>
        <v>46296.48637731482</v>
      </c>
      <c r="I131" s="24">
        <f>IFERROR(INDEX('Base Exámenes'!$F$5:$F$154, MATCH(A131, 'Base Exámenes'!$C$5:$C$154, 0)), "")</f>
        <v>17.4666666666667</v>
      </c>
      <c r="J131" s="6">
        <f>IFERROR(INDEX('Base Exámenes'!$G$5:$G$154, MATCH(A131, 'Base Exámenes'!$C$5:$C$154, 0)), "")</f>
        <v>100</v>
      </c>
      <c r="K131" s="6" t="str">
        <f>IFERROR(INDEX('Base Exámenes'!$H$5:$H$154, MATCH(A131, 'Base Exámenes'!$C$5:$C$154, 0)), "anonymous")</f>
        <v>anonymous</v>
      </c>
    </row>
    <row r="132">
      <c r="A132" s="4" t="str">
        <f>'Base Oficial'!A132</f>
        <v>914</v>
      </c>
      <c r="B132" s="6" t="str">
        <f>'Base Oficial'!B132</f>
        <v>FIDEL ISAIAS CASTELLON CALVIO </v>
      </c>
      <c r="C132" s="6" t="str">
        <f>'Base Oficial'!F132</f>
        <v>OFICIALIA DE CUMPLIMIENTO</v>
      </c>
      <c r="D132" s="6" t="str">
        <f>'Base Oficial'!G132</f>
        <v>Gerencia de Oficialía de Cumplimiento</v>
      </c>
      <c r="E132" s="6" t="str">
        <f>'Base Oficial'!D132</f>
        <v>ADMINISTRADOR DE MONITOR PLUS Y ANALISTA DE CUMPLIMIENTO</v>
      </c>
      <c r="F132" s="4" t="str">
        <f>IF(COUNTIFS('Base Exámenes'!$C$5:$C$154, A132, 'Base Exámenes'!$E$5:$E$154, "&lt;&gt;")&gt;0, "Completado", "Pendiente")</f>
        <v>Completado</v>
      </c>
      <c r="G132" s="23">
        <f>IFERROR(INDEX('Base Exámenes'!$D$5:$D$154, MATCH(A132, 'Base Exámenes'!$C$5:$C$154, 0)), "")</f>
        <v>46296.47130787037</v>
      </c>
      <c r="H132" s="23">
        <f>IFERROR(INDEX('Base Exámenes'!$E$5:$E$154, MATCH(A132, 'Base Exámenes'!$C$5:$C$154, 0)), "")</f>
        <v>46296.47803240741</v>
      </c>
      <c r="I132" s="24">
        <f>IFERROR(INDEX('Base Exámenes'!$F$5:$F$154, MATCH(A132, 'Base Exámenes'!$C$5:$C$154, 0)), "")</f>
        <v>9.68333333333333</v>
      </c>
      <c r="J132" s="6">
        <f>IFERROR(INDEX('Base Exámenes'!$G$5:$G$154, MATCH(A132, 'Base Exámenes'!$C$5:$C$154, 0)), "")</f>
        <v>100</v>
      </c>
      <c r="K132" s="6" t="str">
        <f>IFERROR(INDEX('Base Exámenes'!$H$5:$H$154, MATCH(A132, 'Base Exámenes'!$C$5:$C$154, 0)), "anonymous")</f>
        <v>anonymous</v>
      </c>
    </row>
    <row r="133">
      <c r="A133" s="4" t="str">
        <f>'Base Oficial'!A133</f>
        <v>983</v>
      </c>
      <c r="B133" s="6" t="str">
        <f>'Base Oficial'!B133</f>
        <v>LILIAN LISET MAGAÑA SANTOS </v>
      </c>
      <c r="C133" s="6" t="str">
        <f>'Base Oficial'!F133</f>
        <v>OFICIALIA DE CUMPLIMIENTO</v>
      </c>
      <c r="D133" s="6" t="str">
        <f>'Base Oficial'!G133</f>
        <v>Gerencia de Oficialía de Cumplimiento</v>
      </c>
      <c r="E133" s="6" t="str">
        <f>'Base Oficial'!D133</f>
        <v>PASANTE</v>
      </c>
      <c r="F133" s="4" t="str">
        <f>IF(COUNTIFS('Base Exámenes'!$C$5:$C$154, A133, 'Base Exámenes'!$E$5:$E$154, "&lt;&gt;")&gt;0, "Completado", "Pendiente")</f>
        <v>Completado</v>
      </c>
      <c r="G133" s="23">
        <f>IFERROR(INDEX('Base Exámenes'!$D$5:$D$154, MATCH(A133, 'Base Exámenes'!$C$5:$C$154, 0)), "")</f>
        <v>46296.491111111114</v>
      </c>
      <c r="H133" s="23">
        <f>IFERROR(INDEX('Base Exámenes'!$E$5:$E$154, MATCH(A133, 'Base Exámenes'!$C$5:$C$154, 0)), "")</f>
        <v>46296.49747685185</v>
      </c>
      <c r="I133" s="24">
        <f>IFERROR(INDEX('Base Exámenes'!$F$5:$F$154, MATCH(A133, 'Base Exámenes'!$C$5:$C$154, 0)), "")</f>
        <v>9.16666666666667</v>
      </c>
      <c r="J133" s="6">
        <f>IFERROR(INDEX('Base Exámenes'!$G$5:$G$154, MATCH(A133, 'Base Exámenes'!$C$5:$C$154, 0)), "")</f>
        <v>100</v>
      </c>
      <c r="K133" s="6" t="str">
        <f>IFERROR(INDEX('Base Exámenes'!$H$5:$H$154, MATCH(A133, 'Base Exámenes'!$C$5:$C$154, 0)), "anonymous")</f>
        <v>anonymous</v>
      </c>
    </row>
    <row r="134">
      <c r="A134" s="4" t="str">
        <f>'Base Oficial'!A134</f>
        <v>984</v>
      </c>
      <c r="B134" s="6" t="str">
        <f>'Base Oficial'!B134</f>
        <v>NICO EDUARDO CIUDAD REAL MOOIJ </v>
      </c>
      <c r="C134" s="6" t="str">
        <f>'Base Oficial'!F134</f>
        <v>OFICIALIA DE CUMPLIMIENTO</v>
      </c>
      <c r="D134" s="6" t="str">
        <f>'Base Oficial'!G134</f>
        <v>Gerencia de Oficialía de Cumplimiento</v>
      </c>
      <c r="E134" s="6" t="str">
        <f>'Base Oficial'!D134</f>
        <v>PASANTE</v>
      </c>
      <c r="F134" s="4" t="str">
        <f>IF(COUNTIFS('Base Exámenes'!$C$5:$C$154, A134, 'Base Exámenes'!$E$5:$E$154, "&lt;&gt;")&gt;0, "Completado", "Pendiente")</f>
        <v>Completado</v>
      </c>
      <c r="G134" s="23">
        <f>IFERROR(INDEX('Base Exámenes'!$D$5:$D$154, MATCH(A134, 'Base Exámenes'!$C$5:$C$154, 0)), "")</f>
        <v>46296.472233796296</v>
      </c>
      <c r="H134" s="23">
        <f>IFERROR(INDEX('Base Exámenes'!$E$5:$E$154, MATCH(A134, 'Base Exámenes'!$C$5:$C$154, 0)), "")</f>
        <v>46296.48002314815</v>
      </c>
      <c r="I134" s="24">
        <f>IFERROR(INDEX('Base Exámenes'!$F$5:$F$154, MATCH(A134, 'Base Exámenes'!$C$5:$C$154, 0)), "")</f>
        <v>11.2166666666667</v>
      </c>
      <c r="J134" s="6">
        <f>IFERROR(INDEX('Base Exámenes'!$G$5:$G$154, MATCH(A134, 'Base Exámenes'!$C$5:$C$154, 0)), "")</f>
        <v>100</v>
      </c>
      <c r="K134" s="6" t="str">
        <f>IFERROR(INDEX('Base Exámenes'!$H$5:$H$154, MATCH(A134, 'Base Exámenes'!$C$5:$C$154, 0)), "anonymous")</f>
        <v>anonymous</v>
      </c>
    </row>
    <row r="135">
      <c r="A135" s="4" t="str">
        <f>'Base Oficial'!A135</f>
        <v>985</v>
      </c>
      <c r="B135" s="6" t="str">
        <f>'Base Oficial'!B135</f>
        <v>JORGE MATEO GUTIERREZ FLORES </v>
      </c>
      <c r="C135" s="6" t="str">
        <f>'Base Oficial'!F135</f>
        <v>OFICIALIA DE CUMPLIMIENTO</v>
      </c>
      <c r="D135" s="6" t="str">
        <f>'Base Oficial'!G135</f>
        <v>Gerencia de Oficialía de Cumplimiento</v>
      </c>
      <c r="E135" s="6" t="str">
        <f>'Base Oficial'!D135</f>
        <v>PASANTE</v>
      </c>
      <c r="F135" s="4" t="str">
        <f>IF(COUNTIFS('Base Exámenes'!$C$5:$C$154, A135, 'Base Exámenes'!$E$5:$E$154, "&lt;&gt;")&gt;0, "Completado", "Pendiente")</f>
        <v>Completado</v>
      </c>
      <c r="G135" s="23">
        <f>IFERROR(INDEX('Base Exámenes'!$D$5:$D$154, MATCH(A135, 'Base Exámenes'!$C$5:$C$154, 0)), "")</f>
        <v>46296.48653935185</v>
      </c>
      <c r="H135" s="23">
        <f>IFERROR(INDEX('Base Exámenes'!$E$5:$E$154, MATCH(A135, 'Base Exámenes'!$C$5:$C$154, 0)), "")</f>
        <v>46296.4949537037</v>
      </c>
      <c r="I135" s="24">
        <f>IFERROR(INDEX('Base Exámenes'!$F$5:$F$154, MATCH(A135, 'Base Exámenes'!$C$5:$C$154, 0)), "")</f>
        <v>12.1166666666667</v>
      </c>
      <c r="J135" s="6">
        <f>IFERROR(INDEX('Base Exámenes'!$G$5:$G$154, MATCH(A135, 'Base Exámenes'!$C$5:$C$154, 0)), "")</f>
        <v>100</v>
      </c>
      <c r="K135" s="6" t="str">
        <f>IFERROR(INDEX('Base Exámenes'!$H$5:$H$154, MATCH(A135, 'Base Exámenes'!$C$5:$C$154, 0)), "anonymous")</f>
        <v>anonymous</v>
      </c>
    </row>
    <row r="136">
      <c r="A136" s="4" t="str">
        <f>'Base Oficial'!A136</f>
        <v>583</v>
      </c>
      <c r="B136" s="6" t="str">
        <f>'Base Oficial'!B136</f>
        <v>HECTOR JOSE MENJIVAR SOMOZA </v>
      </c>
      <c r="C136" s="6" t="str">
        <f>'Base Oficial'!F136</f>
        <v>GERENCIA DE NEGOCIOS</v>
      </c>
      <c r="D136" s="6" t="str">
        <f>'Base Oficial'!G136</f>
        <v>Gerencia de Negocios</v>
      </c>
      <c r="E136" s="6" t="str">
        <f>'Base Oficial'!D136</f>
        <v>ANALISTA DE INTELIGENCIA DE NEGOCIOS</v>
      </c>
      <c r="F136" s="4" t="str">
        <f>IF(COUNTIFS('Base Exámenes'!$C$5:$C$154, A136, 'Base Exámenes'!$E$5:$E$154, "&lt;&gt;")&gt;0, "Completado", "Pendiente")</f>
        <v>Completado</v>
      </c>
      <c r="G136" s="23">
        <f>IFERROR(INDEX('Base Exámenes'!$D$5:$D$154, MATCH(A136, 'Base Exámenes'!$C$5:$C$154, 0)), "")</f>
        <v>46296.483923611115</v>
      </c>
      <c r="H136" s="23">
        <f>IFERROR(INDEX('Base Exámenes'!$E$5:$E$154, MATCH(A136, 'Base Exámenes'!$C$5:$C$154, 0)), "")</f>
        <v>46296.48710648148</v>
      </c>
      <c r="I136" s="24">
        <f>IFERROR(INDEX('Base Exámenes'!$F$5:$F$154, MATCH(A136, 'Base Exámenes'!$C$5:$C$154, 0)), "")</f>
        <v>4.58333333333333</v>
      </c>
      <c r="J136" s="6">
        <f>IFERROR(INDEX('Base Exámenes'!$G$5:$G$154, MATCH(A136, 'Base Exámenes'!$C$5:$C$154, 0)), "")</f>
        <v>100</v>
      </c>
      <c r="K136" s="6" t="str">
        <f>IFERROR(INDEX('Base Exámenes'!$H$5:$H$154, MATCH(A136, 'Base Exámenes'!$C$5:$C$154, 0)), "anonymous")</f>
        <v>anonymous</v>
      </c>
    </row>
    <row r="137">
      <c r="A137" s="4" t="str">
        <f>'Base Oficial'!A137</f>
        <v>633</v>
      </c>
      <c r="B137" s="6" t="str">
        <f>'Base Oficial'!B137</f>
        <v>VICTOR ADONAY PEREZ CASTILLO </v>
      </c>
      <c r="C137" s="6" t="str">
        <f>'Base Oficial'!F137</f>
        <v>GERENCIA DE NEGOCIOS</v>
      </c>
      <c r="D137" s="6" t="str">
        <f>'Base Oficial'!G137</f>
        <v>Gerencia de Negocios</v>
      </c>
      <c r="E137" s="6" t="str">
        <f>'Base Oficial'!D137</f>
        <v>ASISTENTE PARA CANALES ELECTRONICOS Y OPERACIONES EN AGENCIA</v>
      </c>
      <c r="F137" s="4" t="str">
        <f>IF(COUNTIFS('Base Exámenes'!$C$5:$C$154, A137, 'Base Exámenes'!$E$5:$E$154, "&lt;&gt;")&gt;0, "Completado", "Pendiente")</f>
        <v>Completado</v>
      </c>
      <c r="G137" s="23">
        <f>IFERROR(INDEX('Base Exámenes'!$D$5:$D$154, MATCH(A137, 'Base Exámenes'!$C$5:$C$154, 0)), "")</f>
        <v>46296.45108796296</v>
      </c>
      <c r="H137" s="23">
        <f>IFERROR(INDEX('Base Exámenes'!$E$5:$E$154, MATCH(A137, 'Base Exámenes'!$C$5:$C$154, 0)), "")</f>
        <v>46296.453680555554</v>
      </c>
      <c r="I137" s="24">
        <f>IFERROR(INDEX('Base Exámenes'!$F$5:$F$154, MATCH(A137, 'Base Exámenes'!$C$5:$C$154, 0)), "")</f>
        <v>3.73333333333333</v>
      </c>
      <c r="J137" s="6">
        <f>IFERROR(INDEX('Base Exámenes'!$G$5:$G$154, MATCH(A137, 'Base Exámenes'!$C$5:$C$154, 0)), "")</f>
        <v>100</v>
      </c>
      <c r="K137" s="6" t="str">
        <f>IFERROR(INDEX('Base Exámenes'!$H$5:$H$154, MATCH(A137, 'Base Exámenes'!$C$5:$C$154, 0)), "anonymous")</f>
        <v>anonymous</v>
      </c>
    </row>
    <row r="138">
      <c r="A138" s="4" t="str">
        <f>'Base Oficial'!A138</f>
        <v>782</v>
      </c>
      <c r="B138" s="6" t="str">
        <f>'Base Oficial'!B138</f>
        <v>WANDA ILIANA MORENO QUINTEROS</v>
      </c>
      <c r="C138" s="6" t="str">
        <f>'Base Oficial'!F138</f>
        <v>GERENCIA DE NEGOCIOS</v>
      </c>
      <c r="D138" s="6" t="str">
        <f>'Base Oficial'!G138</f>
        <v>Gerencia de Negocios</v>
      </c>
      <c r="E138" s="6" t="str">
        <f>'Base Oficial'!D138</f>
        <v>ADMINISTRADOR DE PLATAFORMAS Y TRANSFORMACION DIGITAL DE CRE</v>
      </c>
      <c r="F138" s="4" t="str">
        <f>IF(COUNTIFS('Base Exámenes'!$C$5:$C$154, A138, 'Base Exámenes'!$E$5:$E$154, "&lt;&gt;")&gt;0, "Completado", "Pendiente")</f>
        <v>Completado</v>
      </c>
      <c r="G138" s="23">
        <f>IFERROR(INDEX('Base Exámenes'!$D$5:$D$154, MATCH(A138, 'Base Exámenes'!$C$5:$C$154, 0)), "")</f>
        <v>46301.42778935185</v>
      </c>
      <c r="H138" s="23">
        <f>IFERROR(INDEX('Base Exámenes'!$E$5:$E$154, MATCH(A138, 'Base Exámenes'!$C$5:$C$154, 0)), "")</f>
        <v>46301.440300925926</v>
      </c>
      <c r="I138" s="24">
        <f>IFERROR(INDEX('Base Exámenes'!$F$5:$F$154, MATCH(A138, 'Base Exámenes'!$C$5:$C$154, 0)), "")</f>
        <v>18.0166666666667</v>
      </c>
      <c r="J138" s="6">
        <f>IFERROR(INDEX('Base Exámenes'!$G$5:$G$154, MATCH(A138, 'Base Exámenes'!$C$5:$C$154, 0)), "")</f>
        <v>100</v>
      </c>
      <c r="K138" s="6" t="str">
        <f>IFERROR(INDEX('Base Exámenes'!$H$5:$H$154, MATCH(A138, 'Base Exámenes'!$C$5:$C$154, 0)), "anonymous")</f>
        <v>anonymous</v>
      </c>
    </row>
    <row r="139">
      <c r="A139" s="4" t="str">
        <f>'Base Oficial'!A139</f>
        <v>166</v>
      </c>
      <c r="B139" s="6" t="str">
        <f>'Base Oficial'!B139</f>
        <v>MARIA FRANCISCA DE LA LUZ HERNANDEZ HERNANDEZ</v>
      </c>
      <c r="C139" s="6" t="str">
        <f>'Base Oficial'!F139</f>
        <v>DEPARTAMENTO DE ATENCION A ASOCIADO Y CLIENTE</v>
      </c>
      <c r="D139" s="6" t="str">
        <f>'Base Oficial'!G139</f>
        <v>Gerencia de Negocios</v>
      </c>
      <c r="E139" s="6" t="str">
        <f>'Base Oficial'!D139</f>
        <v>JEFE DE ATENCION A  ASOCIADOS Y CLIENTES</v>
      </c>
      <c r="F139" s="4" t="str">
        <f>IF(COUNTIFS('Base Exámenes'!$C$5:$C$154, A139, 'Base Exámenes'!$E$5:$E$154, "&lt;&gt;")&gt;0, "Completado", "Pendiente")</f>
        <v>Completado</v>
      </c>
      <c r="G139" s="23">
        <f>IFERROR(INDEX('Base Exámenes'!$D$5:$D$154, MATCH(A139, 'Base Exámenes'!$C$5:$C$154, 0)), "")</f>
        <v>46301.48449074074</v>
      </c>
      <c r="H139" s="23">
        <f>IFERROR(INDEX('Base Exámenes'!$E$5:$E$154, MATCH(A139, 'Base Exámenes'!$C$5:$C$154, 0)), "")</f>
        <v>46301.489282407405</v>
      </c>
      <c r="I139" s="24">
        <f>IFERROR(INDEX('Base Exámenes'!$F$5:$F$154, MATCH(A139, 'Base Exámenes'!$C$5:$C$154, 0)), "")</f>
        <v>6.9</v>
      </c>
      <c r="J139" s="6">
        <f>IFERROR(INDEX('Base Exámenes'!$G$5:$G$154, MATCH(A139, 'Base Exámenes'!$C$5:$C$154, 0)), "")</f>
        <v>100</v>
      </c>
      <c r="K139" s="6" t="str">
        <f>IFERROR(INDEX('Base Exámenes'!$H$5:$H$154, MATCH(A139, 'Base Exámenes'!$C$5:$C$154, 0)), "anonymous")</f>
        <v>anonymous</v>
      </c>
    </row>
    <row r="140">
      <c r="A140" s="4" t="str">
        <f>'Base Oficial'!A140</f>
        <v>712</v>
      </c>
      <c r="B140" s="6" t="str">
        <f>'Base Oficial'!B140</f>
        <v>EDGARDO ISAIAS PEÑATE RIVAS </v>
      </c>
      <c r="C140" s="6" t="str">
        <f>'Base Oficial'!F140</f>
        <v>DEPARTAMENTO DE ATENCION A ASOCIADO Y CLIENTE</v>
      </c>
      <c r="D140" s="6" t="str">
        <f>'Base Oficial'!G140</f>
        <v>Gerencia de Negocios</v>
      </c>
      <c r="E140" s="6" t="str">
        <f>'Base Oficial'!D140</f>
        <v>ASISTENTE TECNICO DEL FONDO DE SOLIDARIDAD</v>
      </c>
      <c r="F140" s="4" t="str">
        <f>IF(COUNTIFS('Base Exámenes'!$C$5:$C$154, A140, 'Base Exámenes'!$E$5:$E$154, "&lt;&gt;")&gt;0, "Completado", "Pendiente")</f>
        <v>Completado</v>
      </c>
      <c r="G140" s="23">
        <f>IFERROR(INDEX('Base Exámenes'!$D$5:$D$154, MATCH(A140, 'Base Exámenes'!$C$5:$C$154, 0)), "")</f>
        <v>46304.373090277775</v>
      </c>
      <c r="H140" s="23">
        <f>IFERROR(INDEX('Base Exámenes'!$E$5:$E$154, MATCH(A140, 'Base Exámenes'!$C$5:$C$154, 0)), "")</f>
        <v>46304.37650462963</v>
      </c>
      <c r="I140" s="24">
        <f>IFERROR(INDEX('Base Exámenes'!$F$5:$F$154, MATCH(A140, 'Base Exámenes'!$C$5:$C$154, 0)), "")</f>
        <v>4.91666666666667</v>
      </c>
      <c r="J140" s="6">
        <f>IFERROR(INDEX('Base Exámenes'!$G$5:$G$154, MATCH(A140, 'Base Exámenes'!$C$5:$C$154, 0)), "")</f>
        <v>100</v>
      </c>
      <c r="K140" s="6" t="str">
        <f>IFERROR(INDEX('Base Exámenes'!$H$5:$H$154, MATCH(A140, 'Base Exámenes'!$C$5:$C$154, 0)), "anonymous")</f>
        <v>anonymous</v>
      </c>
    </row>
    <row r="141">
      <c r="A141" s="4" t="str">
        <f>'Base Oficial'!A141</f>
        <v>744</v>
      </c>
      <c r="B141" s="6" t="str">
        <f>'Base Oficial'!B141</f>
        <v>KARLA PATRICIA  ROBLES  CORTEZ</v>
      </c>
      <c r="C141" s="6" t="str">
        <f>'Base Oficial'!F141</f>
        <v>DEPARTAMENTO DE ATENCION A ASOCIADO Y CLIENTE</v>
      </c>
      <c r="D141" s="6" t="str">
        <f>'Base Oficial'!G141</f>
        <v>Gerencia de Negocios</v>
      </c>
      <c r="E141" s="6" t="str">
        <f>'Base Oficial'!D141</f>
        <v>ASISTENTE TECNICO DE AFILIACION</v>
      </c>
      <c r="F141" s="4" t="str">
        <f>IF(COUNTIFS('Base Exámenes'!$C$5:$C$154, A141, 'Base Exámenes'!$E$5:$E$154, "&lt;&gt;")&gt;0, "Completado", "Pendiente")</f>
        <v>Pendiente</v>
      </c>
      <c r="G141" s="23" t="str">
        <f>IFERROR(INDEX('Base Exámenes'!$D$5:$D$154, MATCH(A141, 'Base Exámenes'!$C$5:$C$154, 0)), "")</f>
        <v/>
      </c>
      <c r="H141" s="23" t="str">
        <f>IFERROR(INDEX('Base Exámenes'!$E$5:$E$154, MATCH(A141, 'Base Exámenes'!$C$5:$C$154, 0)), "")</f>
        <v/>
      </c>
      <c r="I141" s="24" t="str">
        <f>IFERROR(INDEX('Base Exámenes'!$F$5:$F$154, MATCH(A141, 'Base Exámenes'!$C$5:$C$154, 0)), "")</f>
        <v/>
      </c>
      <c r="J141" s="6" t="str">
        <f>IFERROR(INDEX('Base Exámenes'!$G$5:$G$154, MATCH(A141, 'Base Exámenes'!$C$5:$C$154, 0)), "")</f>
        <v/>
      </c>
      <c r="K141" s="6" t="str">
        <f>IFERROR(INDEX('Base Exámenes'!$H$5:$H$154, MATCH(A141, 'Base Exámenes'!$C$5:$C$154, 0)), "anonymous")</f>
        <v>anonymous</v>
      </c>
    </row>
    <row r="142">
      <c r="A142" s="4" t="str">
        <f>'Base Oficial'!A142</f>
        <v>887</v>
      </c>
      <c r="B142" s="6" t="str">
        <f>'Base Oficial'!B142</f>
        <v>EMERSON ULISES BELTRAN CORTEZ </v>
      </c>
      <c r="C142" s="6" t="str">
        <f>'Base Oficial'!F142</f>
        <v>DEPARTAMENTO DE ATENCION A ASOCIADO Y CLIENTE</v>
      </c>
      <c r="D142" s="6" t="str">
        <f>'Base Oficial'!G142</f>
        <v>Gerencia de Negocios</v>
      </c>
      <c r="E142" s="6" t="str">
        <f>'Base Oficial'!D142</f>
        <v>AUXILIAR DE ATENCION A  ASOCIADOS</v>
      </c>
      <c r="F142" s="4" t="str">
        <f>IF(COUNTIFS('Base Exámenes'!$C$5:$C$154, A142, 'Base Exámenes'!$E$5:$E$154, "&lt;&gt;")&gt;0, "Completado", "Pendiente")</f>
        <v>Pendiente</v>
      </c>
      <c r="G142" s="23" t="str">
        <f>IFERROR(INDEX('Base Exámenes'!$D$5:$D$154, MATCH(A142, 'Base Exámenes'!$C$5:$C$154, 0)), "")</f>
        <v/>
      </c>
      <c r="H142" s="23" t="str">
        <f>IFERROR(INDEX('Base Exámenes'!$E$5:$E$154, MATCH(A142, 'Base Exámenes'!$C$5:$C$154, 0)), "")</f>
        <v/>
      </c>
      <c r="I142" s="24" t="str">
        <f>IFERROR(INDEX('Base Exámenes'!$F$5:$F$154, MATCH(A142, 'Base Exámenes'!$C$5:$C$154, 0)), "")</f>
        <v/>
      </c>
      <c r="J142" s="6" t="str">
        <f>IFERROR(INDEX('Base Exámenes'!$G$5:$G$154, MATCH(A142, 'Base Exámenes'!$C$5:$C$154, 0)), "")</f>
        <v/>
      </c>
      <c r="K142" s="6" t="str">
        <f>IFERROR(INDEX('Base Exámenes'!$H$5:$H$154, MATCH(A142, 'Base Exámenes'!$C$5:$C$154, 0)), "anonymous")</f>
        <v>anonymous</v>
      </c>
    </row>
    <row r="143">
      <c r="A143" s="4" t="str">
        <f>'Base Oficial'!A143</f>
        <v>945</v>
      </c>
      <c r="B143" s="6" t="str">
        <f>'Base Oficial'!B143</f>
        <v>FABIOLA ELIZABETH TICAS GOMEZ  </v>
      </c>
      <c r="C143" s="6" t="str">
        <f>'Base Oficial'!F143</f>
        <v>DEPARTAMENTO DE ATENCION A ASOCIADO Y CLIENTE</v>
      </c>
      <c r="D143" s="6" t="str">
        <f>'Base Oficial'!G143</f>
        <v>Gerencia de Negocios</v>
      </c>
      <c r="E143" s="6" t="str">
        <f>'Base Oficial'!D143</f>
        <v>RECEPCIONISTA</v>
      </c>
      <c r="F143" s="4" t="str">
        <f>IF(COUNTIFS('Base Exámenes'!$C$5:$C$154, A143, 'Base Exámenes'!$E$5:$E$154, "&lt;&gt;")&gt;0, "Completado", "Pendiente")</f>
        <v>Pendiente</v>
      </c>
      <c r="G143" s="23" t="str">
        <f>IFERROR(INDEX('Base Exámenes'!$D$5:$D$154, MATCH(A143, 'Base Exámenes'!$C$5:$C$154, 0)), "")</f>
        <v/>
      </c>
      <c r="H143" s="23" t="str">
        <f>IFERROR(INDEX('Base Exámenes'!$E$5:$E$154, MATCH(A143, 'Base Exámenes'!$C$5:$C$154, 0)), "")</f>
        <v/>
      </c>
      <c r="I143" s="24" t="str">
        <f>IFERROR(INDEX('Base Exámenes'!$F$5:$F$154, MATCH(A143, 'Base Exámenes'!$C$5:$C$154, 0)), "")</f>
        <v/>
      </c>
      <c r="J143" s="6" t="str">
        <f>IFERROR(INDEX('Base Exámenes'!$G$5:$G$154, MATCH(A143, 'Base Exámenes'!$C$5:$C$154, 0)), "")</f>
        <v/>
      </c>
      <c r="K143" s="6" t="str">
        <f>IFERROR(INDEX('Base Exámenes'!$H$5:$H$154, MATCH(A143, 'Base Exámenes'!$C$5:$C$154, 0)), "anonymous")</f>
        <v>anonymous</v>
      </c>
    </row>
    <row r="144">
      <c r="A144" s="4" t="str">
        <f>'Base Oficial'!A144</f>
        <v>981</v>
      </c>
      <c r="B144" s="6" t="str">
        <f>'Base Oficial'!B144</f>
        <v>ALAN RODRIGO BENITEZ RODRIGUEZ </v>
      </c>
      <c r="C144" s="6" t="str">
        <f>'Base Oficial'!F144</f>
        <v>DEPARTAMENTO DE ATENCION A ASOCIADO Y CLIENTE</v>
      </c>
      <c r="D144" s="6" t="str">
        <f>'Base Oficial'!G144</f>
        <v>Gerencia de Negocios</v>
      </c>
      <c r="E144" s="6" t="str">
        <f>'Base Oficial'!D144</f>
        <v>PASANTE</v>
      </c>
      <c r="F144" s="4" t="str">
        <f>IF(COUNTIFS('Base Exámenes'!$C$5:$C$154, A144, 'Base Exámenes'!$E$5:$E$154, "&lt;&gt;")&gt;0, "Completado", "Pendiente")</f>
        <v>Pendiente</v>
      </c>
      <c r="G144" s="23" t="str">
        <f>IFERROR(INDEX('Base Exámenes'!$D$5:$D$154, MATCH(A144, 'Base Exámenes'!$C$5:$C$154, 0)), "")</f>
        <v/>
      </c>
      <c r="H144" s="23" t="str">
        <f>IFERROR(INDEX('Base Exámenes'!$E$5:$E$154, MATCH(A144, 'Base Exámenes'!$C$5:$C$154, 0)), "")</f>
        <v/>
      </c>
      <c r="I144" s="24" t="str">
        <f>IFERROR(INDEX('Base Exámenes'!$F$5:$F$154, MATCH(A144, 'Base Exámenes'!$C$5:$C$154, 0)), "")</f>
        <v/>
      </c>
      <c r="J144" s="6" t="str">
        <f>IFERROR(INDEX('Base Exámenes'!$G$5:$G$154, MATCH(A144, 'Base Exámenes'!$C$5:$C$154, 0)), "")</f>
        <v/>
      </c>
      <c r="K144" s="6" t="str">
        <f>IFERROR(INDEX('Base Exámenes'!$H$5:$H$154, MATCH(A144, 'Base Exámenes'!$C$5:$C$154, 0)), "anonymous")</f>
        <v>anonymous</v>
      </c>
    </row>
    <row r="145">
      <c r="A145" s="4" t="str">
        <f>'Base Oficial'!A145</f>
        <v>219</v>
      </c>
      <c r="B145" s="6" t="str">
        <f>'Base Oficial'!B145</f>
        <v>IVONNE LISSETH DE JESUS RODRIGUEZ   FLORES</v>
      </c>
      <c r="C145" s="6" t="str">
        <f>'Base Oficial'!F145</f>
        <v>DEPARTAMENTO DE MERCADEO </v>
      </c>
      <c r="D145" s="6" t="str">
        <f>'Base Oficial'!G145</f>
        <v>Gerencia de Negocios</v>
      </c>
      <c r="E145" s="6" t="str">
        <f>'Base Oficial'!D145</f>
        <v>ASISTENTE TELEMARKETING</v>
      </c>
      <c r="F145" s="4" t="str">
        <f>IF(COUNTIFS('Base Exámenes'!$C$5:$C$154, A145, 'Base Exámenes'!$E$5:$E$154, "&lt;&gt;")&gt;0, "Completado", "Pendiente")</f>
        <v>Pendiente</v>
      </c>
      <c r="G145" s="23" t="str">
        <f>IFERROR(INDEX('Base Exámenes'!$D$5:$D$154, MATCH(A145, 'Base Exámenes'!$C$5:$C$154, 0)), "")</f>
        <v/>
      </c>
      <c r="H145" s="23" t="str">
        <f>IFERROR(INDEX('Base Exámenes'!$E$5:$E$154, MATCH(A145, 'Base Exámenes'!$C$5:$C$154, 0)), "")</f>
        <v/>
      </c>
      <c r="I145" s="24" t="str">
        <f>IFERROR(INDEX('Base Exámenes'!$F$5:$F$154, MATCH(A145, 'Base Exámenes'!$C$5:$C$154, 0)), "")</f>
        <v/>
      </c>
      <c r="J145" s="6" t="str">
        <f>IFERROR(INDEX('Base Exámenes'!$G$5:$G$154, MATCH(A145, 'Base Exámenes'!$C$5:$C$154, 0)), "")</f>
        <v/>
      </c>
      <c r="K145" s="6" t="str">
        <f>IFERROR(INDEX('Base Exámenes'!$H$5:$H$154, MATCH(A145, 'Base Exámenes'!$C$5:$C$154, 0)), "anonymous")</f>
        <v>anonymous</v>
      </c>
    </row>
    <row r="146">
      <c r="A146" s="4" t="str">
        <f>'Base Oficial'!A146</f>
        <v>361</v>
      </c>
      <c r="B146" s="6" t="str">
        <f>'Base Oficial'!B146</f>
        <v>JOSE CARLOS IRENEO HERNANDEZ RODRIGUEZ </v>
      </c>
      <c r="C146" s="6" t="str">
        <f>'Base Oficial'!F146</f>
        <v>DEPARTAMENTO DE MERCADEO </v>
      </c>
      <c r="D146" s="6" t="str">
        <f>'Base Oficial'!G146</f>
        <v>Gerencia de Negocios</v>
      </c>
      <c r="E146" s="6" t="str">
        <f>'Base Oficial'!D146</f>
        <v>ASISTENTE TECNICO DE MERCADEO</v>
      </c>
      <c r="F146" s="4" t="str">
        <f>IF(COUNTIFS('Base Exámenes'!$C$5:$C$154, A146, 'Base Exámenes'!$E$5:$E$154, "&lt;&gt;")&gt;0, "Completado", "Pendiente")</f>
        <v>Pendiente</v>
      </c>
      <c r="G146" s="23" t="str">
        <f>IFERROR(INDEX('Base Exámenes'!$D$5:$D$154, MATCH(A146, 'Base Exámenes'!$C$5:$C$154, 0)), "")</f>
        <v/>
      </c>
      <c r="H146" s="23" t="str">
        <f>IFERROR(INDEX('Base Exámenes'!$E$5:$E$154, MATCH(A146, 'Base Exámenes'!$C$5:$C$154, 0)), "")</f>
        <v/>
      </c>
      <c r="I146" s="24" t="str">
        <f>IFERROR(INDEX('Base Exámenes'!$F$5:$F$154, MATCH(A146, 'Base Exámenes'!$C$5:$C$154, 0)), "")</f>
        <v/>
      </c>
      <c r="J146" s="6" t="str">
        <f>IFERROR(INDEX('Base Exámenes'!$G$5:$G$154, MATCH(A146, 'Base Exámenes'!$C$5:$C$154, 0)), "")</f>
        <v/>
      </c>
      <c r="K146" s="6" t="str">
        <f>IFERROR(INDEX('Base Exámenes'!$H$5:$H$154, MATCH(A146, 'Base Exámenes'!$C$5:$C$154, 0)), "anonymous")</f>
        <v>anonymous</v>
      </c>
    </row>
    <row r="147">
      <c r="A147" s="4" t="str">
        <f>'Base Oficial'!A147</f>
        <v>591</v>
      </c>
      <c r="B147" s="6" t="str">
        <f>'Base Oficial'!B147</f>
        <v>CARMEN MARIA GUTIERREZ ESTRADA</v>
      </c>
      <c r="C147" s="6" t="str">
        <f>'Base Oficial'!F147</f>
        <v>DEPARTAMENTO DE MERCADEO </v>
      </c>
      <c r="D147" s="6" t="str">
        <f>'Base Oficial'!G147</f>
        <v>Gerencia de Negocios</v>
      </c>
      <c r="E147" s="6" t="str">
        <f>'Base Oficial'!D147</f>
        <v>JEFE DE MERCADEO</v>
      </c>
      <c r="F147" s="4" t="str">
        <f>IF(COUNTIFS('Base Exámenes'!$C$5:$C$154, A147, 'Base Exámenes'!$E$5:$E$154, "&lt;&gt;")&gt;0, "Completado", "Pendiente")</f>
        <v>Pendiente</v>
      </c>
      <c r="G147" s="23" t="str">
        <f>IFERROR(INDEX('Base Exámenes'!$D$5:$D$154, MATCH(A147, 'Base Exámenes'!$C$5:$C$154, 0)), "")</f>
        <v/>
      </c>
      <c r="H147" s="23" t="str">
        <f>IFERROR(INDEX('Base Exámenes'!$E$5:$E$154, MATCH(A147, 'Base Exámenes'!$C$5:$C$154, 0)), "")</f>
        <v/>
      </c>
      <c r="I147" s="24" t="str">
        <f>IFERROR(INDEX('Base Exámenes'!$F$5:$F$154, MATCH(A147, 'Base Exámenes'!$C$5:$C$154, 0)), "")</f>
        <v/>
      </c>
      <c r="J147" s="6" t="str">
        <f>IFERROR(INDEX('Base Exámenes'!$G$5:$G$154, MATCH(A147, 'Base Exámenes'!$C$5:$C$154, 0)), "")</f>
        <v/>
      </c>
      <c r="K147" s="6" t="str">
        <f>IFERROR(INDEX('Base Exámenes'!$H$5:$H$154, MATCH(A147, 'Base Exámenes'!$C$5:$C$154, 0)), "anonymous")</f>
        <v>anonymous</v>
      </c>
    </row>
    <row r="148">
      <c r="A148" s="4" t="str">
        <f>'Base Oficial'!A148</f>
        <v>723</v>
      </c>
      <c r="B148" s="6" t="str">
        <f>'Base Oficial'!B148</f>
        <v>LUIS FAUSTONY VASQUEZ CIENFUEGOS </v>
      </c>
      <c r="C148" s="6" t="str">
        <f>'Base Oficial'!F148</f>
        <v>DEPARTAMENTO DE MERCADEO </v>
      </c>
      <c r="D148" s="6" t="str">
        <f>'Base Oficial'!G148</f>
        <v>Gerencia de Negocios</v>
      </c>
      <c r="E148" s="6" t="str">
        <f>'Base Oficial'!D148</f>
        <v>GESTOR DE DOCUMENTOS</v>
      </c>
      <c r="F148" s="4" t="str">
        <f>IF(COUNTIFS('Base Exámenes'!$C$5:$C$154, A148, 'Base Exámenes'!$E$5:$E$154, "&lt;&gt;")&gt;0, "Completado", "Pendiente")</f>
        <v>Pendiente</v>
      </c>
      <c r="G148" s="23" t="str">
        <f>IFERROR(INDEX('Base Exámenes'!$D$5:$D$154, MATCH(A148, 'Base Exámenes'!$C$5:$C$154, 0)), "")</f>
        <v/>
      </c>
      <c r="H148" s="23" t="str">
        <f>IFERROR(INDEX('Base Exámenes'!$E$5:$E$154, MATCH(A148, 'Base Exámenes'!$C$5:$C$154, 0)), "")</f>
        <v/>
      </c>
      <c r="I148" s="24" t="str">
        <f>IFERROR(INDEX('Base Exámenes'!$F$5:$F$154, MATCH(A148, 'Base Exámenes'!$C$5:$C$154, 0)), "")</f>
        <v/>
      </c>
      <c r="J148" s="6" t="str">
        <f>IFERROR(INDEX('Base Exámenes'!$G$5:$G$154, MATCH(A148, 'Base Exámenes'!$C$5:$C$154, 0)), "")</f>
        <v/>
      </c>
      <c r="K148" s="6" t="str">
        <f>IFERROR(INDEX('Base Exámenes'!$H$5:$H$154, MATCH(A148, 'Base Exámenes'!$C$5:$C$154, 0)), "anonymous")</f>
        <v>anonymous</v>
      </c>
    </row>
    <row r="149">
      <c r="A149" s="4" t="str">
        <f>'Base Oficial'!A149</f>
        <v>895</v>
      </c>
      <c r="B149" s="6" t="str">
        <f>'Base Oficial'!B149</f>
        <v>MARIA ALEJANDRA BATRES ALVARADO </v>
      </c>
      <c r="C149" s="6" t="str">
        <f>'Base Oficial'!F149</f>
        <v>DEPARTAMENTO DE MERCADEO </v>
      </c>
      <c r="D149" s="6" t="str">
        <f>'Base Oficial'!G149</f>
        <v>Gerencia de Negocios</v>
      </c>
      <c r="E149" s="6" t="str">
        <f>'Base Oficial'!D149</f>
        <v>DISEÑADOR  GRAFICO</v>
      </c>
      <c r="F149" s="4" t="str">
        <f>IF(COUNTIFS('Base Exámenes'!$C$5:$C$154, A149, 'Base Exámenes'!$E$5:$E$154, "&lt;&gt;")&gt;0, "Completado", "Pendiente")</f>
        <v>Pendiente</v>
      </c>
      <c r="G149" s="23" t="str">
        <f>IFERROR(INDEX('Base Exámenes'!$D$5:$D$154, MATCH(A149, 'Base Exámenes'!$C$5:$C$154, 0)), "")</f>
        <v/>
      </c>
      <c r="H149" s="23" t="str">
        <f>IFERROR(INDEX('Base Exámenes'!$E$5:$E$154, MATCH(A149, 'Base Exámenes'!$C$5:$C$154, 0)), "")</f>
        <v/>
      </c>
      <c r="I149" s="24" t="str">
        <f>IFERROR(INDEX('Base Exámenes'!$F$5:$F$154, MATCH(A149, 'Base Exámenes'!$C$5:$C$154, 0)), "")</f>
        <v/>
      </c>
      <c r="J149" s="6" t="str">
        <f>IFERROR(INDEX('Base Exámenes'!$G$5:$G$154, MATCH(A149, 'Base Exámenes'!$C$5:$C$154, 0)), "")</f>
        <v/>
      </c>
      <c r="K149" s="6" t="str">
        <f>IFERROR(INDEX('Base Exámenes'!$H$5:$H$154, MATCH(A149, 'Base Exámenes'!$C$5:$C$154, 0)), "anonymous")</f>
        <v>anonymous</v>
      </c>
    </row>
    <row r="150">
      <c r="A150" s="4" t="str">
        <f>'Base Oficial'!A150</f>
        <v>897</v>
      </c>
      <c r="B150" s="6" t="str">
        <f>'Base Oficial'!B150</f>
        <v>GERARDO ALEXANDER  MARTINEZ RIVERA </v>
      </c>
      <c r="C150" s="6" t="str">
        <f>'Base Oficial'!F150</f>
        <v>DEPARTAMENTO DE MERCADEO </v>
      </c>
      <c r="D150" s="6" t="str">
        <f>'Base Oficial'!G150</f>
        <v>Gerencia de Negocios</v>
      </c>
      <c r="E150" s="6" t="str">
        <f>'Base Oficial'!D150</f>
        <v>ANALISTA DE COMUNICACIONES</v>
      </c>
      <c r="F150" s="4" t="str">
        <f>IF(COUNTIFS('Base Exámenes'!$C$5:$C$154, A150, 'Base Exámenes'!$E$5:$E$154, "&lt;&gt;")&gt;0, "Completado", "Pendiente")</f>
        <v>Pendiente</v>
      </c>
      <c r="G150" s="23" t="str">
        <f>IFERROR(INDEX('Base Exámenes'!$D$5:$D$154, MATCH(A150, 'Base Exámenes'!$C$5:$C$154, 0)), "")</f>
        <v/>
      </c>
      <c r="H150" s="23" t="str">
        <f>IFERROR(INDEX('Base Exámenes'!$E$5:$E$154, MATCH(A150, 'Base Exámenes'!$C$5:$C$154, 0)), "")</f>
        <v/>
      </c>
      <c r="I150" s="24" t="str">
        <f>IFERROR(INDEX('Base Exámenes'!$F$5:$F$154, MATCH(A150, 'Base Exámenes'!$C$5:$C$154, 0)), "")</f>
        <v/>
      </c>
      <c r="J150" s="6" t="str">
        <f>IFERROR(INDEX('Base Exámenes'!$G$5:$G$154, MATCH(A150, 'Base Exámenes'!$C$5:$C$154, 0)), "")</f>
        <v/>
      </c>
      <c r="K150" s="6" t="str">
        <f>IFERROR(INDEX('Base Exámenes'!$H$5:$H$154, MATCH(A150, 'Base Exámenes'!$C$5:$C$154, 0)), "anonymous")</f>
        <v>anonymous</v>
      </c>
    </row>
    <row r="151">
      <c r="A151" s="4" t="str">
        <f>'Base Oficial'!A151</f>
        <v>982</v>
      </c>
      <c r="B151" s="6" t="str">
        <f>'Base Oficial'!B151</f>
        <v>ALEJANDRA ABIGAIL RAMIREZ ROMERO </v>
      </c>
      <c r="C151" s="6" t="str">
        <f>'Base Oficial'!F151</f>
        <v>DEPARTAMENTO DE MERCADEO </v>
      </c>
      <c r="D151" s="6" t="str">
        <f>'Base Oficial'!G151</f>
        <v>Gerencia de Negocios</v>
      </c>
      <c r="E151" s="6" t="str">
        <f>'Base Oficial'!D151</f>
        <v>DISEÑADOR  GRAFICO</v>
      </c>
      <c r="F151" s="4" t="str">
        <f>IF(COUNTIFS('Base Exámenes'!$C$5:$C$154, A151, 'Base Exámenes'!$E$5:$E$154, "&lt;&gt;")&gt;0, "Completado", "Pendiente")</f>
        <v>Completado</v>
      </c>
      <c r="G151" s="23">
        <f>IFERROR(INDEX('Base Exámenes'!$D$5:$D$154, MATCH(A151, 'Base Exámenes'!$C$5:$C$154, 0)), "")</f>
        <v>46301.61615740741</v>
      </c>
      <c r="H151" s="23">
        <f>IFERROR(INDEX('Base Exámenes'!$E$5:$E$154, MATCH(A151, 'Base Exámenes'!$C$5:$C$154, 0)), "")</f>
        <v>46301.64126157408</v>
      </c>
      <c r="I151" s="24">
        <f>IFERROR(INDEX('Base Exámenes'!$F$5:$F$154, MATCH(A151, 'Base Exámenes'!$C$5:$C$154, 0)), "")</f>
        <v>36.15</v>
      </c>
      <c r="J151" s="6">
        <f>IFERROR(INDEX('Base Exámenes'!$G$5:$G$154, MATCH(A151, 'Base Exámenes'!$C$5:$C$154, 0)), "")</f>
        <v>100</v>
      </c>
      <c r="K151" s="6" t="str">
        <f>IFERROR(INDEX('Base Exámenes'!$H$5:$H$154, MATCH(A151, 'Base Exámenes'!$C$5:$C$154, 0)), "anonymous")</f>
        <v>anonymous</v>
      </c>
    </row>
    <row r="152">
      <c r="A152" s="4" t="str">
        <f>'Base Oficial'!A152</f>
        <v>207</v>
      </c>
      <c r="B152" s="6" t="str">
        <f>'Base Oficial'!B152</f>
        <v>ANA ESTER ERAZO ORTIZ</v>
      </c>
      <c r="C152" s="6" t="str">
        <f>'Base Oficial'!F152</f>
        <v>DEPARTAMENTO DE CREDITOS </v>
      </c>
      <c r="D152" s="6" t="str">
        <f>'Base Oficial'!G152</f>
        <v>Gerencia de Negocios</v>
      </c>
      <c r="E152" s="6" t="str">
        <f>'Base Oficial'!D152</f>
        <v>ANALISTA DE CREDITOS</v>
      </c>
      <c r="F152" s="4" t="str">
        <f>IF(COUNTIFS('Base Exámenes'!$C$5:$C$154, A152, 'Base Exámenes'!$E$5:$E$154, "&lt;&gt;")&gt;0, "Completado", "Pendiente")</f>
        <v>Pendiente</v>
      </c>
      <c r="G152" s="23" t="str">
        <f>IFERROR(INDEX('Base Exámenes'!$D$5:$D$154, MATCH(A152, 'Base Exámenes'!$C$5:$C$154, 0)), "")</f>
        <v/>
      </c>
      <c r="H152" s="23" t="str">
        <f>IFERROR(INDEX('Base Exámenes'!$E$5:$E$154, MATCH(A152, 'Base Exámenes'!$C$5:$C$154, 0)), "")</f>
        <v/>
      </c>
      <c r="I152" s="24" t="str">
        <f>IFERROR(INDEX('Base Exámenes'!$F$5:$F$154, MATCH(A152, 'Base Exámenes'!$C$5:$C$154, 0)), "")</f>
        <v/>
      </c>
      <c r="J152" s="6" t="str">
        <f>IFERROR(INDEX('Base Exámenes'!$G$5:$G$154, MATCH(A152, 'Base Exámenes'!$C$5:$C$154, 0)), "")</f>
        <v/>
      </c>
      <c r="K152" s="6" t="str">
        <f>IFERROR(INDEX('Base Exámenes'!$H$5:$H$154, MATCH(A152, 'Base Exámenes'!$C$5:$C$154, 0)), "anonymous")</f>
        <v>anonymous</v>
      </c>
    </row>
    <row r="153">
      <c r="A153" s="4" t="str">
        <f>'Base Oficial'!A153</f>
        <v>345</v>
      </c>
      <c r="B153" s="6" t="str">
        <f>'Base Oficial'!B153</f>
        <v>ANA EVELYN ROQUE GALEANO</v>
      </c>
      <c r="C153" s="6" t="str">
        <f>'Base Oficial'!F153</f>
        <v>DEPARTAMENTO DE CREDITOS </v>
      </c>
      <c r="D153" s="6" t="str">
        <f>'Base Oficial'!G153</f>
        <v>Gerencia de Negocios</v>
      </c>
      <c r="E153" s="6" t="str">
        <f>'Base Oficial'!D153</f>
        <v>AUXILIAR  DE CREDITOS</v>
      </c>
      <c r="F153" s="4" t="str">
        <f>IF(COUNTIFS('Base Exámenes'!$C$5:$C$154, A153, 'Base Exámenes'!$E$5:$E$154, "&lt;&gt;")&gt;0, "Completado", "Pendiente")</f>
        <v>Completado</v>
      </c>
      <c r="G153" s="23">
        <f>IFERROR(INDEX('Base Exámenes'!$D$5:$D$154, MATCH(A153, 'Base Exámenes'!$C$5:$C$154, 0)), "")</f>
        <v>46297.64716435185</v>
      </c>
      <c r="H153" s="23">
        <f>IFERROR(INDEX('Base Exámenes'!$E$5:$E$154, MATCH(A153, 'Base Exámenes'!$C$5:$C$154, 0)), "")</f>
        <v>46297.65186342593</v>
      </c>
      <c r="I153" s="24">
        <f>IFERROR(INDEX('Base Exámenes'!$F$5:$F$154, MATCH(A153, 'Base Exámenes'!$C$5:$C$154, 0)), "")</f>
        <v>6.76666666666667</v>
      </c>
      <c r="J153" s="6">
        <f>IFERROR(INDEX('Base Exámenes'!$G$5:$G$154, MATCH(A153, 'Base Exámenes'!$C$5:$C$154, 0)), "")</f>
        <v>90</v>
      </c>
      <c r="K153" s="6" t="str">
        <f>IFERROR(INDEX('Base Exámenes'!$H$5:$H$154, MATCH(A153, 'Base Exámenes'!$C$5:$C$154, 0)), "anonymous")</f>
        <v>anonymous</v>
      </c>
    </row>
    <row r="154">
      <c r="A154" s="4" t="str">
        <f>'Base Oficial'!A154</f>
        <v>377</v>
      </c>
      <c r="B154" s="6" t="str">
        <f>'Base Oficial'!B154</f>
        <v>MABEL GERALDINE RAMIREZ PORTILLO</v>
      </c>
      <c r="C154" s="6" t="str">
        <f>'Base Oficial'!F154</f>
        <v>DEPARTAMENTO DE CREDITOS </v>
      </c>
      <c r="D154" s="6" t="str">
        <f>'Base Oficial'!G154</f>
        <v>Gerencia de Negocios</v>
      </c>
      <c r="E154" s="6" t="str">
        <f>'Base Oficial'!D154</f>
        <v>SUPERVISOR DE ANALISTAS DE CREDITOS</v>
      </c>
      <c r="F154" s="4" t="str">
        <f>IF(COUNTIFS('Base Exámenes'!$C$5:$C$154, A154, 'Base Exámenes'!$E$5:$E$154, "&lt;&gt;")&gt;0, "Completado", "Pendiente")</f>
        <v>Pendiente</v>
      </c>
      <c r="G154" s="23" t="str">
        <f>IFERROR(INDEX('Base Exámenes'!$D$5:$D$154, MATCH(A154, 'Base Exámenes'!$C$5:$C$154, 0)), "")</f>
        <v/>
      </c>
      <c r="H154" s="23" t="str">
        <f>IFERROR(INDEX('Base Exámenes'!$E$5:$E$154, MATCH(A154, 'Base Exámenes'!$C$5:$C$154, 0)), "")</f>
        <v/>
      </c>
      <c r="I154" s="24" t="str">
        <f>IFERROR(INDEX('Base Exámenes'!$F$5:$F$154, MATCH(A154, 'Base Exámenes'!$C$5:$C$154, 0)), "")</f>
        <v/>
      </c>
      <c r="J154" s="6" t="str">
        <f>IFERROR(INDEX('Base Exámenes'!$G$5:$G$154, MATCH(A154, 'Base Exámenes'!$C$5:$C$154, 0)), "")</f>
        <v/>
      </c>
      <c r="K154" s="6" t="str">
        <f>IFERROR(INDEX('Base Exámenes'!$H$5:$H$154, MATCH(A154, 'Base Exámenes'!$C$5:$C$154, 0)), "anonymous")</f>
        <v>anonymous</v>
      </c>
    </row>
    <row r="155">
      <c r="A155" s="4" t="str">
        <f>'Base Oficial'!A155</f>
        <v>470</v>
      </c>
      <c r="B155" s="6" t="str">
        <f>'Base Oficial'!B155</f>
        <v>ROSALBA RODRIGUEZ JIMENEZ </v>
      </c>
      <c r="C155" s="6" t="str">
        <f>'Base Oficial'!F155</f>
        <v>DEPARTAMENTO DE CREDITOS </v>
      </c>
      <c r="D155" s="6" t="str">
        <f>'Base Oficial'!G155</f>
        <v>Gerencia de Negocios</v>
      </c>
      <c r="E155" s="6" t="str">
        <f>'Base Oficial'!D155</f>
        <v>ANALISTA DE CREDITOS</v>
      </c>
      <c r="F155" s="4" t="str">
        <f>IF(COUNTIFS('Base Exámenes'!$C$5:$C$154, A155, 'Base Exámenes'!$E$5:$E$154, "&lt;&gt;")&gt;0, "Completado", "Pendiente")</f>
        <v>Completado</v>
      </c>
      <c r="G155" s="23">
        <f>IFERROR(INDEX('Base Exámenes'!$D$5:$D$154, MATCH(A155, 'Base Exámenes'!$C$5:$C$154, 0)), "")</f>
        <v>46304.40576388889</v>
      </c>
      <c r="H155" s="23">
        <f>IFERROR(INDEX('Base Exámenes'!$E$5:$E$154, MATCH(A155, 'Base Exámenes'!$C$5:$C$154, 0)), "")</f>
        <v>46304.409317129626</v>
      </c>
      <c r="I155" s="24">
        <f>IFERROR(INDEX('Base Exámenes'!$F$5:$F$154, MATCH(A155, 'Base Exámenes'!$C$5:$C$154, 0)), "")</f>
        <v>5.11666666666667</v>
      </c>
      <c r="J155" s="6">
        <f>IFERROR(INDEX('Base Exámenes'!$G$5:$G$154, MATCH(A155, 'Base Exámenes'!$C$5:$C$154, 0)), "")</f>
        <v>100</v>
      </c>
      <c r="K155" s="6" t="str">
        <f>IFERROR(INDEX('Base Exámenes'!$H$5:$H$154, MATCH(A155, 'Base Exámenes'!$C$5:$C$154, 0)), "anonymous")</f>
        <v>anonymous</v>
      </c>
    </row>
    <row r="156">
      <c r="A156" s="4" t="str">
        <f>'Base Oficial'!A156</f>
        <v>492</v>
      </c>
      <c r="B156" s="6" t="str">
        <f>'Base Oficial'!B156</f>
        <v>CINDIA IVETTE ZEPEDA VASQUEZ </v>
      </c>
      <c r="C156" s="6" t="str">
        <f>'Base Oficial'!F156</f>
        <v>DEPARTAMENTO DE CREDITOS </v>
      </c>
      <c r="D156" s="6" t="str">
        <f>'Base Oficial'!G156</f>
        <v>Gerencia de Negocios</v>
      </c>
      <c r="E156" s="6" t="str">
        <f>'Base Oficial'!D156</f>
        <v>AUXILIAR  DE CREDITOS</v>
      </c>
      <c r="F156" s="4" t="str">
        <f>IF(COUNTIFS('Base Exámenes'!$C$5:$C$154, A156, 'Base Exámenes'!$E$5:$E$154, "&lt;&gt;")&gt;0, "Completado", "Pendiente")</f>
        <v>Completado</v>
      </c>
      <c r="G156" s="23">
        <f>IFERROR(INDEX('Base Exámenes'!$D$5:$D$154, MATCH(A156, 'Base Exámenes'!$C$5:$C$154, 0)), "")</f>
        <v>46297.65282407407</v>
      </c>
      <c r="H156" s="23">
        <f>IFERROR(INDEX('Base Exámenes'!$E$5:$E$154, MATCH(A156, 'Base Exámenes'!$C$5:$C$154, 0)), "")</f>
        <v>46297.66012731481</v>
      </c>
      <c r="I156" s="24">
        <f>IFERROR(INDEX('Base Exámenes'!$F$5:$F$154, MATCH(A156, 'Base Exámenes'!$C$5:$C$154, 0)), "")</f>
        <v>10.5166666666667</v>
      </c>
      <c r="J156" s="6">
        <f>IFERROR(INDEX('Base Exámenes'!$G$5:$G$154, MATCH(A156, 'Base Exámenes'!$C$5:$C$154, 0)), "")</f>
        <v>100</v>
      </c>
      <c r="K156" s="6" t="str">
        <f>IFERROR(INDEX('Base Exámenes'!$H$5:$H$154, MATCH(A156, 'Base Exámenes'!$C$5:$C$154, 0)), "anonymous")</f>
        <v>anonymous</v>
      </c>
    </row>
    <row r="157">
      <c r="A157" s="4" t="str">
        <f>'Base Oficial'!A157</f>
        <v>719</v>
      </c>
      <c r="B157" s="6" t="str">
        <f>'Base Oficial'!B157</f>
        <v>INGRID ALEJANDRINA LISSETH  GUZMAN SANCHEZ</v>
      </c>
      <c r="C157" s="6" t="str">
        <f>'Base Oficial'!F157</f>
        <v>DEPARTAMENTO DE CREDITOS </v>
      </c>
      <c r="D157" s="6" t="str">
        <f>'Base Oficial'!G157</f>
        <v>Gerencia de Negocios</v>
      </c>
      <c r="E157" s="6" t="str">
        <f>'Base Oficial'!D157</f>
        <v>AUXILIAR  DE CREDITOS</v>
      </c>
      <c r="F157" s="4" t="str">
        <f>IF(COUNTIFS('Base Exámenes'!$C$5:$C$154, A157, 'Base Exámenes'!$E$5:$E$154, "&lt;&gt;")&gt;0, "Completado", "Pendiente")</f>
        <v>Completado</v>
      </c>
      <c r="G157" s="23">
        <f>IFERROR(INDEX('Base Exámenes'!$D$5:$D$154, MATCH(A157, 'Base Exámenes'!$C$5:$C$154, 0)), "")</f>
        <v>46298.409837962965</v>
      </c>
      <c r="H157" s="23">
        <f>IFERROR(INDEX('Base Exámenes'!$E$5:$E$154, MATCH(A157, 'Base Exámenes'!$C$5:$C$154, 0)), "")</f>
        <v>46298.41878472222</v>
      </c>
      <c r="I157" s="24">
        <f>IFERROR(INDEX('Base Exámenes'!$F$5:$F$154, MATCH(A157, 'Base Exámenes'!$C$5:$C$154, 0)), "")</f>
        <v>12.8833333333333</v>
      </c>
      <c r="J157" s="6">
        <f>IFERROR(INDEX('Base Exámenes'!$G$5:$G$154, MATCH(A157, 'Base Exámenes'!$C$5:$C$154, 0)), "")</f>
        <v>100</v>
      </c>
      <c r="K157" s="6" t="str">
        <f>IFERROR(INDEX('Base Exámenes'!$H$5:$H$154, MATCH(A157, 'Base Exámenes'!$C$5:$C$154, 0)), "anonymous")</f>
        <v>anonymous</v>
      </c>
    </row>
    <row r="158">
      <c r="A158" s="4" t="str">
        <f>'Base Oficial'!A158</f>
        <v>730</v>
      </c>
      <c r="B158" s="6" t="str">
        <f>'Base Oficial'!B158</f>
        <v>YANETH  HERNANDEZ YANES </v>
      </c>
      <c r="C158" s="6" t="str">
        <f>'Base Oficial'!F158</f>
        <v>DEPARTAMENTO DE CREDITOS </v>
      </c>
      <c r="D158" s="6" t="str">
        <f>'Base Oficial'!G158</f>
        <v>Gerencia de Negocios</v>
      </c>
      <c r="E158" s="6" t="str">
        <f>'Base Oficial'!D158</f>
        <v>JEFE DE CREDITOS</v>
      </c>
      <c r="F158" s="4" t="str">
        <f>IF(COUNTIFS('Base Exámenes'!$C$5:$C$154, A158, 'Base Exámenes'!$E$5:$E$154, "&lt;&gt;")&gt;0, "Completado", "Pendiente")</f>
        <v>Pendiente</v>
      </c>
      <c r="G158" s="23" t="str">
        <f>IFERROR(INDEX('Base Exámenes'!$D$5:$D$154, MATCH(A158, 'Base Exámenes'!$C$5:$C$154, 0)), "")</f>
        <v/>
      </c>
      <c r="H158" s="23" t="str">
        <f>IFERROR(INDEX('Base Exámenes'!$E$5:$E$154, MATCH(A158, 'Base Exámenes'!$C$5:$C$154, 0)), "")</f>
        <v/>
      </c>
      <c r="I158" s="24" t="str">
        <f>IFERROR(INDEX('Base Exámenes'!$F$5:$F$154, MATCH(A158, 'Base Exámenes'!$C$5:$C$154, 0)), "")</f>
        <v/>
      </c>
      <c r="J158" s="6" t="str">
        <f>IFERROR(INDEX('Base Exámenes'!$G$5:$G$154, MATCH(A158, 'Base Exámenes'!$C$5:$C$154, 0)), "")</f>
        <v/>
      </c>
      <c r="K158" s="6" t="str">
        <f>IFERROR(INDEX('Base Exámenes'!$H$5:$H$154, MATCH(A158, 'Base Exámenes'!$C$5:$C$154, 0)), "anonymous")</f>
        <v>anonymous</v>
      </c>
    </row>
    <row r="159">
      <c r="A159" s="4" t="str">
        <f>'Base Oficial'!A159</f>
        <v>780</v>
      </c>
      <c r="B159" s="6" t="str">
        <f>'Base Oficial'!B159</f>
        <v>JUAN ANTONIO DE JESUS NUNFIO </v>
      </c>
      <c r="C159" s="6" t="str">
        <f>'Base Oficial'!F159</f>
        <v>DEPARTAMENTO DE CREDITOS </v>
      </c>
      <c r="D159" s="6" t="str">
        <f>'Base Oficial'!G159</f>
        <v>Gerencia de Negocios</v>
      </c>
      <c r="E159" s="6" t="str">
        <f>'Base Oficial'!D159</f>
        <v>ANALISTA DE CREDITOS</v>
      </c>
      <c r="F159" s="4" t="str">
        <f>IF(COUNTIFS('Base Exámenes'!$C$5:$C$154, A159, 'Base Exámenes'!$E$5:$E$154, "&lt;&gt;")&gt;0, "Completado", "Pendiente")</f>
        <v>Completado</v>
      </c>
      <c r="G159" s="23">
        <f>IFERROR(INDEX('Base Exámenes'!$D$5:$D$154, MATCH(A159, 'Base Exámenes'!$C$5:$C$154, 0)), "")</f>
        <v>46301.65331018518</v>
      </c>
      <c r="H159" s="23">
        <f>IFERROR(INDEX('Base Exámenes'!$E$5:$E$154, MATCH(A159, 'Base Exámenes'!$C$5:$C$154, 0)), "")</f>
        <v>46301.65928240741</v>
      </c>
      <c r="I159" s="24">
        <f>IFERROR(INDEX('Base Exámenes'!$F$5:$F$154, MATCH(A159, 'Base Exámenes'!$C$5:$C$154, 0)), "")</f>
        <v>8.6</v>
      </c>
      <c r="J159" s="6">
        <f>IFERROR(INDEX('Base Exámenes'!$G$5:$G$154, MATCH(A159, 'Base Exámenes'!$C$5:$C$154, 0)), "")</f>
        <v>100</v>
      </c>
      <c r="K159" s="6" t="str">
        <f>IFERROR(INDEX('Base Exámenes'!$H$5:$H$154, MATCH(A159, 'Base Exámenes'!$C$5:$C$154, 0)), "anonymous")</f>
        <v>anonymous</v>
      </c>
    </row>
    <row r="160">
      <c r="A160" s="4" t="str">
        <f>'Base Oficial'!A160</f>
        <v>781</v>
      </c>
      <c r="B160" s="6" t="str">
        <f>'Base Oficial'!B160</f>
        <v>SOFIA SOLEDAD CASTRO VALLE </v>
      </c>
      <c r="C160" s="6" t="str">
        <f>'Base Oficial'!F160</f>
        <v>DEPARTAMENTO DE CREDITOS </v>
      </c>
      <c r="D160" s="6" t="str">
        <f>'Base Oficial'!G160</f>
        <v>Gerencia de Negocios</v>
      </c>
      <c r="E160" s="6" t="str">
        <f>'Base Oficial'!D160</f>
        <v>AUXILIAR  DE CREDITOS</v>
      </c>
      <c r="F160" s="4" t="str">
        <f>IF(COUNTIFS('Base Exámenes'!$C$5:$C$154, A160, 'Base Exámenes'!$E$5:$E$154, "&lt;&gt;")&gt;0, "Completado", "Pendiente")</f>
        <v>Completado</v>
      </c>
      <c r="G160" s="23">
        <f>IFERROR(INDEX('Base Exámenes'!$D$5:$D$154, MATCH(A160, 'Base Exámenes'!$C$5:$C$154, 0)), "")</f>
        <v>46304.42932870371</v>
      </c>
      <c r="H160" s="23">
        <f>IFERROR(INDEX('Base Exámenes'!$E$5:$E$154, MATCH(A160, 'Base Exámenes'!$C$5:$C$154, 0)), "")</f>
        <v>46304.444606481484</v>
      </c>
      <c r="I160" s="24">
        <f>IFERROR(INDEX('Base Exámenes'!$F$5:$F$154, MATCH(A160, 'Base Exámenes'!$C$5:$C$154, 0)), "")</f>
        <v>22</v>
      </c>
      <c r="J160" s="6">
        <f>IFERROR(INDEX('Base Exámenes'!$G$5:$G$154, MATCH(A160, 'Base Exámenes'!$C$5:$C$154, 0)), "")</f>
        <v>90</v>
      </c>
      <c r="K160" s="6" t="str">
        <f>IFERROR(INDEX('Base Exámenes'!$H$5:$H$154, MATCH(A160, 'Base Exámenes'!$C$5:$C$154, 0)), "anonymous")</f>
        <v>anonymous</v>
      </c>
    </row>
    <row r="161">
      <c r="A161" s="4" t="str">
        <f>'Base Oficial'!A161</f>
        <v>809</v>
      </c>
      <c r="B161" s="6" t="str">
        <f>'Base Oficial'!B161</f>
        <v>KARLA VANESSA GARCIA OLIVA </v>
      </c>
      <c r="C161" s="6" t="str">
        <f>'Base Oficial'!F161</f>
        <v>DEPARTAMENTO DE CREDITOS </v>
      </c>
      <c r="D161" s="6" t="str">
        <f>'Base Oficial'!G161</f>
        <v>Gerencia de Negocios</v>
      </c>
      <c r="E161" s="6" t="str">
        <f>'Base Oficial'!D161</f>
        <v>ANALISTA DE CREDITOS</v>
      </c>
      <c r="F161" s="4" t="str">
        <f>IF(COUNTIFS('Base Exámenes'!$C$5:$C$154, A161, 'Base Exámenes'!$E$5:$E$154, "&lt;&gt;")&gt;0, "Completado", "Pendiente")</f>
        <v>Pendiente</v>
      </c>
      <c r="G161" s="23" t="str">
        <f>IFERROR(INDEX('Base Exámenes'!$D$5:$D$154, MATCH(A161, 'Base Exámenes'!$C$5:$C$154, 0)), "")</f>
        <v/>
      </c>
      <c r="H161" s="23" t="str">
        <f>IFERROR(INDEX('Base Exámenes'!$E$5:$E$154, MATCH(A161, 'Base Exámenes'!$C$5:$C$154, 0)), "")</f>
        <v/>
      </c>
      <c r="I161" s="24" t="str">
        <f>IFERROR(INDEX('Base Exámenes'!$F$5:$F$154, MATCH(A161, 'Base Exámenes'!$C$5:$C$154, 0)), "")</f>
        <v/>
      </c>
      <c r="J161" s="6" t="str">
        <f>IFERROR(INDEX('Base Exámenes'!$G$5:$G$154, MATCH(A161, 'Base Exámenes'!$C$5:$C$154, 0)), "")</f>
        <v/>
      </c>
      <c r="K161" s="6" t="str">
        <f>IFERROR(INDEX('Base Exámenes'!$H$5:$H$154, MATCH(A161, 'Base Exámenes'!$C$5:$C$154, 0)), "anonymous")</f>
        <v>anonymous</v>
      </c>
    </row>
    <row r="162">
      <c r="A162" s="4" t="str">
        <f>'Base Oficial'!A162</f>
        <v>837</v>
      </c>
      <c r="B162" s="6" t="str">
        <f>'Base Oficial'!B162</f>
        <v>DAYANA ABIGAIL CHAVEZ CORDOVA</v>
      </c>
      <c r="C162" s="6" t="str">
        <f>'Base Oficial'!F162</f>
        <v>DEPARTAMENTO DE CREDITOS </v>
      </c>
      <c r="D162" s="6" t="str">
        <f>'Base Oficial'!G162</f>
        <v>Gerencia de Negocios</v>
      </c>
      <c r="E162" s="6" t="str">
        <f>'Base Oficial'!D162</f>
        <v>GESTOR DE EXPEDIENTES</v>
      </c>
      <c r="F162" s="4" t="str">
        <f>IF(COUNTIFS('Base Exámenes'!$C$5:$C$154, A162, 'Base Exámenes'!$E$5:$E$154, "&lt;&gt;")&gt;0, "Completado", "Pendiente")</f>
        <v>Completado</v>
      </c>
      <c r="G162" s="23">
        <f>IFERROR(INDEX('Base Exámenes'!$D$5:$D$154, MATCH(A162, 'Base Exámenes'!$C$5:$C$154, 0)), "")</f>
        <v>46302.47519675926</v>
      </c>
      <c r="H162" s="23">
        <f>IFERROR(INDEX('Base Exámenes'!$E$5:$E$154, MATCH(A162, 'Base Exámenes'!$C$5:$C$154, 0)), "")</f>
        <v>46302.48523148148</v>
      </c>
      <c r="I162" s="24">
        <f>IFERROR(INDEX('Base Exámenes'!$F$5:$F$154, MATCH(A162, 'Base Exámenes'!$C$5:$C$154, 0)), "")</f>
        <v>14.45</v>
      </c>
      <c r="J162" s="6">
        <f>IFERROR(INDEX('Base Exámenes'!$G$5:$G$154, MATCH(A162, 'Base Exámenes'!$C$5:$C$154, 0)), "")</f>
        <v>100</v>
      </c>
      <c r="K162" s="6" t="str">
        <f>IFERROR(INDEX('Base Exámenes'!$H$5:$H$154, MATCH(A162, 'Base Exámenes'!$C$5:$C$154, 0)), "anonymous")</f>
        <v>anonymous</v>
      </c>
    </row>
    <row r="163">
      <c r="A163" s="4" t="str">
        <f>'Base Oficial'!A163</f>
        <v>939</v>
      </c>
      <c r="B163" s="6" t="str">
        <f>'Base Oficial'!B163</f>
        <v>MARIO LEONEL CANDRAY FLORES </v>
      </c>
      <c r="C163" s="6" t="str">
        <f>'Base Oficial'!F163</f>
        <v>DEPARTAMENTO DE CREDITOS </v>
      </c>
      <c r="D163" s="6" t="str">
        <f>'Base Oficial'!G163</f>
        <v>Gerencia de Negocios</v>
      </c>
      <c r="E163" s="6" t="str">
        <f>'Base Oficial'!D163</f>
        <v>ANALISTA DE CREDITOS</v>
      </c>
      <c r="F163" s="4" t="str">
        <f>IF(COUNTIFS('Base Exámenes'!$C$5:$C$154, A163, 'Base Exámenes'!$E$5:$E$154, "&lt;&gt;")&gt;0, "Completado", "Pendiente")</f>
        <v>Pendiente</v>
      </c>
      <c r="G163" s="23" t="str">
        <f>IFERROR(INDEX('Base Exámenes'!$D$5:$D$154, MATCH(A163, 'Base Exámenes'!$C$5:$C$154, 0)), "")</f>
        <v/>
      </c>
      <c r="H163" s="23" t="str">
        <f>IFERROR(INDEX('Base Exámenes'!$E$5:$E$154, MATCH(A163, 'Base Exámenes'!$C$5:$C$154, 0)), "")</f>
        <v/>
      </c>
      <c r="I163" s="24" t="str">
        <f>IFERROR(INDEX('Base Exámenes'!$F$5:$F$154, MATCH(A163, 'Base Exámenes'!$C$5:$C$154, 0)), "")</f>
        <v/>
      </c>
      <c r="J163" s="6" t="str">
        <f>IFERROR(INDEX('Base Exámenes'!$G$5:$G$154, MATCH(A163, 'Base Exámenes'!$C$5:$C$154, 0)), "")</f>
        <v/>
      </c>
      <c r="K163" s="6" t="str">
        <f>IFERROR(INDEX('Base Exámenes'!$H$5:$H$154, MATCH(A163, 'Base Exámenes'!$C$5:$C$154, 0)), "anonymous")</f>
        <v>anonymous</v>
      </c>
    </row>
    <row r="164">
      <c r="A164" s="4" t="str">
        <f>'Base Oficial'!A164</f>
        <v>979</v>
      </c>
      <c r="B164" s="6" t="str">
        <f>'Base Oficial'!B164</f>
        <v>MARIA LILIAN MENJIVAR GUARDADO </v>
      </c>
      <c r="C164" s="6" t="str">
        <f>'Base Oficial'!F164</f>
        <v>DEPARTAMENTO DE CREDITOS </v>
      </c>
      <c r="D164" s="6" t="str">
        <f>'Base Oficial'!G164</f>
        <v>Gerencia de Negocios</v>
      </c>
      <c r="E164" s="6" t="str">
        <f>'Base Oficial'!D164</f>
        <v>ANALISTA DE CREDITOS</v>
      </c>
      <c r="F164" s="4" t="str">
        <f>IF(COUNTIFS('Base Exámenes'!$C$5:$C$154, A164, 'Base Exámenes'!$E$5:$E$154, "&lt;&gt;")&gt;0, "Completado", "Pendiente")</f>
        <v>Pendiente</v>
      </c>
      <c r="G164" s="23" t="str">
        <f>IFERROR(INDEX('Base Exámenes'!$D$5:$D$154, MATCH(A164, 'Base Exámenes'!$C$5:$C$154, 0)), "")</f>
        <v/>
      </c>
      <c r="H164" s="23" t="str">
        <f>IFERROR(INDEX('Base Exámenes'!$E$5:$E$154, MATCH(A164, 'Base Exámenes'!$C$5:$C$154, 0)), "")</f>
        <v/>
      </c>
      <c r="I164" s="24" t="str">
        <f>IFERROR(INDEX('Base Exámenes'!$F$5:$F$154, MATCH(A164, 'Base Exámenes'!$C$5:$C$154, 0)), "")</f>
        <v/>
      </c>
      <c r="J164" s="6" t="str">
        <f>IFERROR(INDEX('Base Exámenes'!$G$5:$G$154, MATCH(A164, 'Base Exámenes'!$C$5:$C$154, 0)), "")</f>
        <v/>
      </c>
      <c r="K164" s="6" t="str">
        <f>IFERROR(INDEX('Base Exámenes'!$H$5:$H$154, MATCH(A164, 'Base Exámenes'!$C$5:$C$154, 0)), "anonymous")</f>
        <v>anonymous</v>
      </c>
    </row>
    <row r="165">
      <c r="A165" s="4" t="str">
        <f>'Base Oficial'!A165</f>
        <v>544</v>
      </c>
      <c r="B165" s="6" t="str">
        <f>'Base Oficial'!B165</f>
        <v>CLAUDIA MARISOL MADRID BARRIENTOS</v>
      </c>
      <c r="C165" s="6" t="str">
        <f>'Base Oficial'!F165</f>
        <v>DEPARTAMENTO DE SEGUROS </v>
      </c>
      <c r="D165" s="6" t="str">
        <f>'Base Oficial'!G165</f>
        <v>Gerencia de Negocios</v>
      </c>
      <c r="E165" s="6" t="str">
        <f>'Base Oficial'!D165</f>
        <v>GESTOR DE  RECLAMOS Y SUSCRIPCIONES</v>
      </c>
      <c r="F165" s="4" t="str">
        <f>IF(COUNTIFS('Base Exámenes'!$C$5:$C$154, A165, 'Base Exámenes'!$E$5:$E$154, "&lt;&gt;")&gt;0, "Completado", "Pendiente")</f>
        <v>Pendiente</v>
      </c>
      <c r="G165" s="23" t="str">
        <f>IFERROR(INDEX('Base Exámenes'!$D$5:$D$154, MATCH(A165, 'Base Exámenes'!$C$5:$C$154, 0)), "")</f>
        <v/>
      </c>
      <c r="H165" s="23" t="str">
        <f>IFERROR(INDEX('Base Exámenes'!$E$5:$E$154, MATCH(A165, 'Base Exámenes'!$C$5:$C$154, 0)), "")</f>
        <v/>
      </c>
      <c r="I165" s="24" t="str">
        <f>IFERROR(INDEX('Base Exámenes'!$F$5:$F$154, MATCH(A165, 'Base Exámenes'!$C$5:$C$154, 0)), "")</f>
        <v/>
      </c>
      <c r="J165" s="6" t="str">
        <f>IFERROR(INDEX('Base Exámenes'!$G$5:$G$154, MATCH(A165, 'Base Exámenes'!$C$5:$C$154, 0)), "")</f>
        <v/>
      </c>
      <c r="K165" s="6" t="str">
        <f>IFERROR(INDEX('Base Exámenes'!$H$5:$H$154, MATCH(A165, 'Base Exámenes'!$C$5:$C$154, 0)), "anonymous")</f>
        <v>anonymous</v>
      </c>
    </row>
    <row r="166">
      <c r="A166" s="4" t="str">
        <f>'Base Oficial'!A166</f>
        <v>589</v>
      </c>
      <c r="B166" s="6" t="str">
        <f>'Base Oficial'!B166</f>
        <v>CLELIA LIZETH ORTIZ GALDAMEZ </v>
      </c>
      <c r="C166" s="6" t="str">
        <f>'Base Oficial'!F166</f>
        <v>DEPARTAMENTO DE SEGUROS </v>
      </c>
      <c r="D166" s="6" t="str">
        <f>'Base Oficial'!G166</f>
        <v>Gerencia de Negocios</v>
      </c>
      <c r="E166" s="6" t="str">
        <f>'Base Oficial'!D166</f>
        <v>AUXILIAR DE ADMINISTRACION DE SEGUROS</v>
      </c>
      <c r="F166" s="4" t="str">
        <f>IF(COUNTIFS('Base Exámenes'!$C$5:$C$154, A166, 'Base Exámenes'!$E$5:$E$154, "&lt;&gt;")&gt;0, "Completado", "Pendiente")</f>
        <v>Completado</v>
      </c>
      <c r="G166" s="23">
        <f>IFERROR(INDEX('Base Exámenes'!$D$5:$D$154, MATCH(A166, 'Base Exámenes'!$C$5:$C$154, 0)), "")</f>
        <v>46301.67337962963</v>
      </c>
      <c r="H166" s="23">
        <f>IFERROR(INDEX('Base Exámenes'!$E$5:$E$154, MATCH(A166, 'Base Exámenes'!$C$5:$C$154, 0)), "")</f>
        <v>46301.68011574074</v>
      </c>
      <c r="I166" s="24">
        <f>IFERROR(INDEX('Base Exámenes'!$F$5:$F$154, MATCH(A166, 'Base Exámenes'!$C$5:$C$154, 0)), "")</f>
        <v>9.7</v>
      </c>
      <c r="J166" s="6">
        <f>IFERROR(INDEX('Base Exámenes'!$G$5:$G$154, MATCH(A166, 'Base Exámenes'!$C$5:$C$154, 0)), "")</f>
        <v>90</v>
      </c>
      <c r="K166" s="6" t="str">
        <f>IFERROR(INDEX('Base Exámenes'!$H$5:$H$154, MATCH(A166, 'Base Exámenes'!$C$5:$C$154, 0)), "anonymous")</f>
        <v>anonymous</v>
      </c>
    </row>
    <row r="167">
      <c r="A167" s="4" t="str">
        <f>'Base Oficial'!A167</f>
        <v>639</v>
      </c>
      <c r="B167" s="6" t="str">
        <f>'Base Oficial'!B167</f>
        <v>CARLOS ALEXANDER ROMERO ROMERO </v>
      </c>
      <c r="C167" s="6" t="str">
        <f>'Base Oficial'!F167</f>
        <v>DEPARTAMENTO DE SEGUROS </v>
      </c>
      <c r="D167" s="6" t="str">
        <f>'Base Oficial'!G167</f>
        <v>Gerencia de Negocios</v>
      </c>
      <c r="E167" s="6" t="str">
        <f>'Base Oficial'!D167</f>
        <v>GESTOR DE CARTERA DE SEGUROS</v>
      </c>
      <c r="F167" s="4" t="str">
        <f>IF(COUNTIFS('Base Exámenes'!$C$5:$C$154, A167, 'Base Exámenes'!$E$5:$E$154, "&lt;&gt;")&gt;0, "Completado", "Pendiente")</f>
        <v>Pendiente</v>
      </c>
      <c r="G167" s="23" t="str">
        <f>IFERROR(INDEX('Base Exámenes'!$D$5:$D$154, MATCH(A167, 'Base Exámenes'!$C$5:$C$154, 0)), "")</f>
        <v/>
      </c>
      <c r="H167" s="23" t="str">
        <f>IFERROR(INDEX('Base Exámenes'!$E$5:$E$154, MATCH(A167, 'Base Exámenes'!$C$5:$C$154, 0)), "")</f>
        <v/>
      </c>
      <c r="I167" s="24" t="str">
        <f>IFERROR(INDEX('Base Exámenes'!$F$5:$F$154, MATCH(A167, 'Base Exámenes'!$C$5:$C$154, 0)), "")</f>
        <v/>
      </c>
      <c r="J167" s="6" t="str">
        <f>IFERROR(INDEX('Base Exámenes'!$G$5:$G$154, MATCH(A167, 'Base Exámenes'!$C$5:$C$154, 0)), "")</f>
        <v/>
      </c>
      <c r="K167" s="6" t="str">
        <f>IFERROR(INDEX('Base Exámenes'!$H$5:$H$154, MATCH(A167, 'Base Exámenes'!$C$5:$C$154, 0)), "anonymous")</f>
        <v>anonymous</v>
      </c>
    </row>
    <row r="168">
      <c r="A168" s="4" t="str">
        <f>'Base Oficial'!A168</f>
        <v>643</v>
      </c>
      <c r="B168" s="6" t="str">
        <f>'Base Oficial'!B168</f>
        <v>LISSETTE MARICELA SANCHEZ MOLINA </v>
      </c>
      <c r="C168" s="6" t="str">
        <f>'Base Oficial'!F168</f>
        <v>DEPARTAMENTO DE SEGUROS </v>
      </c>
      <c r="D168" s="6" t="str">
        <f>'Base Oficial'!G168</f>
        <v>Gerencia de Negocios</v>
      </c>
      <c r="E168" s="6" t="str">
        <f>'Base Oficial'!D168</f>
        <v>ASISTENTE DE SEGUROS</v>
      </c>
      <c r="F168" s="4" t="str">
        <f>IF(COUNTIFS('Base Exámenes'!$C$5:$C$154, A168, 'Base Exámenes'!$E$5:$E$154, "&lt;&gt;")&gt;0, "Completado", "Pendiente")</f>
        <v>Pendiente</v>
      </c>
      <c r="G168" s="23" t="str">
        <f>IFERROR(INDEX('Base Exámenes'!$D$5:$D$154, MATCH(A168, 'Base Exámenes'!$C$5:$C$154, 0)), "")</f>
        <v/>
      </c>
      <c r="H168" s="23" t="str">
        <f>IFERROR(INDEX('Base Exámenes'!$E$5:$E$154, MATCH(A168, 'Base Exámenes'!$C$5:$C$154, 0)), "")</f>
        <v/>
      </c>
      <c r="I168" s="24" t="str">
        <f>IFERROR(INDEX('Base Exámenes'!$F$5:$F$154, MATCH(A168, 'Base Exámenes'!$C$5:$C$154, 0)), "")</f>
        <v/>
      </c>
      <c r="J168" s="6" t="str">
        <f>IFERROR(INDEX('Base Exámenes'!$G$5:$G$154, MATCH(A168, 'Base Exámenes'!$C$5:$C$154, 0)), "")</f>
        <v/>
      </c>
      <c r="K168" s="6" t="str">
        <f>IFERROR(INDEX('Base Exámenes'!$H$5:$H$154, MATCH(A168, 'Base Exámenes'!$C$5:$C$154, 0)), "anonymous")</f>
        <v>anonymous</v>
      </c>
    </row>
    <row r="169">
      <c r="A169" s="4" t="str">
        <f>'Base Oficial'!A169</f>
        <v>689</v>
      </c>
      <c r="B169" s="6" t="str">
        <f>'Base Oficial'!B169</f>
        <v>RAUL ERNESTO PALACIOS LANDAVERDE </v>
      </c>
      <c r="C169" s="6" t="str">
        <f>'Base Oficial'!F169</f>
        <v>DEPARTAMENTO DE SEGUROS </v>
      </c>
      <c r="D169" s="6" t="str">
        <f>'Base Oficial'!G169</f>
        <v>Gerencia de Negocios</v>
      </c>
      <c r="E169" s="6" t="str">
        <f>'Base Oficial'!D169</f>
        <v>TECNICO DEL SEGURO DE SALUD</v>
      </c>
      <c r="F169" s="4" t="str">
        <f>IF(COUNTIFS('Base Exámenes'!$C$5:$C$154, A169, 'Base Exámenes'!$E$5:$E$154, "&lt;&gt;")&gt;0, "Completado", "Pendiente")</f>
        <v>Completado</v>
      </c>
      <c r="G169" s="23">
        <f>IFERROR(INDEX('Base Exámenes'!$D$5:$D$154, MATCH(A169, 'Base Exámenes'!$C$5:$C$154, 0)), "")</f>
        <v>46296.45379629629</v>
      </c>
      <c r="H169" s="23">
        <f>IFERROR(INDEX('Base Exámenes'!$E$5:$E$154, MATCH(A169, 'Base Exámenes'!$C$5:$C$154, 0)), "")</f>
        <v>46296.46570601852</v>
      </c>
      <c r="I169" s="24">
        <f>IFERROR(INDEX('Base Exámenes'!$F$5:$F$154, MATCH(A169, 'Base Exámenes'!$C$5:$C$154, 0)), "")</f>
        <v>17.15</v>
      </c>
      <c r="J169" s="6">
        <f>IFERROR(INDEX('Base Exámenes'!$G$5:$G$154, MATCH(A169, 'Base Exámenes'!$C$5:$C$154, 0)), "")</f>
        <v>100</v>
      </c>
      <c r="K169" s="6" t="str">
        <f>IFERROR(INDEX('Base Exámenes'!$H$5:$H$154, MATCH(A169, 'Base Exámenes'!$C$5:$C$154, 0)), "anonymous")</f>
        <v>anonymous</v>
      </c>
    </row>
    <row r="170">
      <c r="A170" s="4" t="str">
        <f>'Base Oficial'!A170</f>
        <v>792</v>
      </c>
      <c r="B170" s="6" t="str">
        <f>'Base Oficial'!B170</f>
        <v>JENNYFER AYLIN ESCOBAR ZAMORA </v>
      </c>
      <c r="C170" s="6" t="str">
        <f>'Base Oficial'!F170</f>
        <v>DEPARTAMENTO DE SEGUROS </v>
      </c>
      <c r="D170" s="6" t="str">
        <f>'Base Oficial'!G170</f>
        <v>Gerencia de Negocios</v>
      </c>
      <c r="E170" s="6" t="str">
        <f>'Base Oficial'!D170</f>
        <v>COORDINADOR COMERCIAL DE SEGUROS</v>
      </c>
      <c r="F170" s="4" t="str">
        <f>IF(COUNTIFS('Base Exámenes'!$C$5:$C$154, A170, 'Base Exámenes'!$E$5:$E$154, "&lt;&gt;")&gt;0, "Completado", "Pendiente")</f>
        <v>Pendiente</v>
      </c>
      <c r="G170" s="23" t="str">
        <f>IFERROR(INDEX('Base Exámenes'!$D$5:$D$154, MATCH(A170, 'Base Exámenes'!$C$5:$C$154, 0)), "")</f>
        <v/>
      </c>
      <c r="H170" s="23" t="str">
        <f>IFERROR(INDEX('Base Exámenes'!$E$5:$E$154, MATCH(A170, 'Base Exámenes'!$C$5:$C$154, 0)), "")</f>
        <v/>
      </c>
      <c r="I170" s="24" t="str">
        <f>IFERROR(INDEX('Base Exámenes'!$F$5:$F$154, MATCH(A170, 'Base Exámenes'!$C$5:$C$154, 0)), "")</f>
        <v/>
      </c>
      <c r="J170" s="6" t="str">
        <f>IFERROR(INDEX('Base Exámenes'!$G$5:$G$154, MATCH(A170, 'Base Exámenes'!$C$5:$C$154, 0)), "")</f>
        <v/>
      </c>
      <c r="K170" s="6" t="str">
        <f>IFERROR(INDEX('Base Exámenes'!$H$5:$H$154, MATCH(A170, 'Base Exámenes'!$C$5:$C$154, 0)), "anonymous")</f>
        <v>anonymous</v>
      </c>
    </row>
    <row r="171">
      <c r="A171" s="4" t="str">
        <f>'Base Oficial'!A171</f>
        <v>793</v>
      </c>
      <c r="B171" s="6" t="str">
        <f>'Base Oficial'!B171</f>
        <v>KRIZIA BETSABE FLORES MARTINEZ</v>
      </c>
      <c r="C171" s="6" t="str">
        <f>'Base Oficial'!F171</f>
        <v>DEPARTAMENTO DE SEGUROS </v>
      </c>
      <c r="D171" s="6" t="str">
        <f>'Base Oficial'!G171</f>
        <v>Gerencia de Negocios</v>
      </c>
      <c r="E171" s="6" t="str">
        <f>'Base Oficial'!D171</f>
        <v>JEFE DE SEGUROS</v>
      </c>
      <c r="F171" s="4" t="str">
        <f>IF(COUNTIFS('Base Exámenes'!$C$5:$C$154, A171, 'Base Exámenes'!$E$5:$E$154, "&lt;&gt;")&gt;0, "Completado", "Pendiente")</f>
        <v>Completado</v>
      </c>
      <c r="G171" s="23">
        <f>IFERROR(INDEX('Base Exámenes'!$D$5:$D$154, MATCH(A171, 'Base Exámenes'!$C$5:$C$154, 0)), "")</f>
        <v>46297.45885416667</v>
      </c>
      <c r="H171" s="23">
        <f>IFERROR(INDEX('Base Exámenes'!$E$5:$E$154, MATCH(A171, 'Base Exámenes'!$C$5:$C$154, 0)), "")</f>
        <v>46297.49109953704</v>
      </c>
      <c r="I171" s="24">
        <f>IFERROR(INDEX('Base Exámenes'!$F$5:$F$154, MATCH(A171, 'Base Exámenes'!$C$5:$C$154, 0)), "")</f>
        <v>46.4333333333333</v>
      </c>
      <c r="J171" s="6">
        <f>IFERROR(INDEX('Base Exámenes'!$G$5:$G$154, MATCH(A171, 'Base Exámenes'!$C$5:$C$154, 0)), "")</f>
        <v>90</v>
      </c>
      <c r="K171" s="6" t="str">
        <f>IFERROR(INDEX('Base Exámenes'!$H$5:$H$154, MATCH(A171, 'Base Exámenes'!$C$5:$C$154, 0)), "anonymous")</f>
        <v>anonymous</v>
      </c>
    </row>
    <row r="172">
      <c r="A172" s="4" t="str">
        <f>'Base Oficial'!A172</f>
        <v>802</v>
      </c>
      <c r="B172" s="6" t="str">
        <f>'Base Oficial'!B172</f>
        <v>ERIKA VANESSA ALEMAN MIJANGO </v>
      </c>
      <c r="C172" s="6" t="str">
        <f>'Base Oficial'!F172</f>
        <v>DEPARTAMENTO DE SEGUROS </v>
      </c>
      <c r="D172" s="6" t="str">
        <f>'Base Oficial'!G172</f>
        <v>Gerencia de Negocios</v>
      </c>
      <c r="E172" s="6" t="str">
        <f>'Base Oficial'!D172</f>
        <v>EJECUTIVO DE VENTA DE SEGUROS</v>
      </c>
      <c r="F172" s="4" t="str">
        <f>IF(COUNTIFS('Base Exámenes'!$C$5:$C$154, A172, 'Base Exámenes'!$E$5:$E$154, "&lt;&gt;")&gt;0, "Completado", "Pendiente")</f>
        <v>Pendiente</v>
      </c>
      <c r="G172" s="23" t="str">
        <f>IFERROR(INDEX('Base Exámenes'!$D$5:$D$154, MATCH(A172, 'Base Exámenes'!$C$5:$C$154, 0)), "")</f>
        <v/>
      </c>
      <c r="H172" s="23" t="str">
        <f>IFERROR(INDEX('Base Exámenes'!$E$5:$E$154, MATCH(A172, 'Base Exámenes'!$C$5:$C$154, 0)), "")</f>
        <v/>
      </c>
      <c r="I172" s="24" t="str">
        <f>IFERROR(INDEX('Base Exámenes'!$F$5:$F$154, MATCH(A172, 'Base Exámenes'!$C$5:$C$154, 0)), "")</f>
        <v/>
      </c>
      <c r="J172" s="6" t="str">
        <f>IFERROR(INDEX('Base Exámenes'!$G$5:$G$154, MATCH(A172, 'Base Exámenes'!$C$5:$C$154, 0)), "")</f>
        <v/>
      </c>
      <c r="K172" s="6" t="str">
        <f>IFERROR(INDEX('Base Exámenes'!$H$5:$H$154, MATCH(A172, 'Base Exámenes'!$C$5:$C$154, 0)), "anonymous")</f>
        <v>anonymous</v>
      </c>
    </row>
    <row r="173">
      <c r="A173" s="4" t="str">
        <f>'Base Oficial'!A173</f>
        <v>805</v>
      </c>
      <c r="B173" s="6" t="str">
        <f>'Base Oficial'!B173</f>
        <v>JUANA HAZEL GARCIA COREAS </v>
      </c>
      <c r="C173" s="6" t="str">
        <f>'Base Oficial'!F173</f>
        <v>DEPARTAMENTO DE SEGUROS </v>
      </c>
      <c r="D173" s="6" t="str">
        <f>'Base Oficial'!G173</f>
        <v>Gerencia de Negocios</v>
      </c>
      <c r="E173" s="6" t="str">
        <f>'Base Oficial'!D173</f>
        <v>EJECUTIVO DE VENTA DE SEGUROS</v>
      </c>
      <c r="F173" s="4" t="str">
        <f>IF(COUNTIFS('Base Exámenes'!$C$5:$C$154, A173, 'Base Exámenes'!$E$5:$E$154, "&lt;&gt;")&gt;0, "Completado", "Pendiente")</f>
        <v>Pendiente</v>
      </c>
      <c r="G173" s="23" t="str">
        <f>IFERROR(INDEX('Base Exámenes'!$D$5:$D$154, MATCH(A173, 'Base Exámenes'!$C$5:$C$154, 0)), "")</f>
        <v/>
      </c>
      <c r="H173" s="23" t="str">
        <f>IFERROR(INDEX('Base Exámenes'!$E$5:$E$154, MATCH(A173, 'Base Exámenes'!$C$5:$C$154, 0)), "")</f>
        <v/>
      </c>
      <c r="I173" s="24" t="str">
        <f>IFERROR(INDEX('Base Exámenes'!$F$5:$F$154, MATCH(A173, 'Base Exámenes'!$C$5:$C$154, 0)), "")</f>
        <v/>
      </c>
      <c r="J173" s="6" t="str">
        <f>IFERROR(INDEX('Base Exámenes'!$G$5:$G$154, MATCH(A173, 'Base Exámenes'!$C$5:$C$154, 0)), "")</f>
        <v/>
      </c>
      <c r="K173" s="6" t="str">
        <f>IFERROR(INDEX('Base Exámenes'!$H$5:$H$154, MATCH(A173, 'Base Exámenes'!$C$5:$C$154, 0)), "anonymous")</f>
        <v>anonymous</v>
      </c>
    </row>
    <row r="174">
      <c r="A174" s="4" t="str">
        <f>'Base Oficial'!A174</f>
        <v>869</v>
      </c>
      <c r="B174" s="6" t="str">
        <f>'Base Oficial'!B174</f>
        <v>JENNIFER BETSABE MARAVILLA MORENO </v>
      </c>
      <c r="C174" s="6" t="str">
        <f>'Base Oficial'!F174</f>
        <v>DEPARTAMENTO DE SEGUROS </v>
      </c>
      <c r="D174" s="6" t="str">
        <f>'Base Oficial'!G174</f>
        <v>Gerencia de Negocios</v>
      </c>
      <c r="E174" s="6" t="str">
        <f>'Base Oficial'!D174</f>
        <v>EJECUTIVO DE VENTA DE SEGUROS</v>
      </c>
      <c r="F174" s="4" t="str">
        <f>IF(COUNTIFS('Base Exámenes'!$C$5:$C$154, A174, 'Base Exámenes'!$E$5:$E$154, "&lt;&gt;")&gt;0, "Completado", "Pendiente")</f>
        <v>Completado</v>
      </c>
      <c r="G174" s="23">
        <f>IFERROR(INDEX('Base Exámenes'!$D$5:$D$154, MATCH(A174, 'Base Exámenes'!$C$5:$C$154, 0)), "")</f>
        <v>46296.67916666667</v>
      </c>
      <c r="H174" s="23">
        <f>IFERROR(INDEX('Base Exámenes'!$E$5:$E$154, MATCH(A174, 'Base Exámenes'!$C$5:$C$154, 0)), "")</f>
        <v>46296.68630787037</v>
      </c>
      <c r="I174" s="24">
        <f>IFERROR(INDEX('Base Exámenes'!$F$5:$F$154, MATCH(A174, 'Base Exámenes'!$C$5:$C$154, 0)), "")</f>
        <v>10.2833333333333</v>
      </c>
      <c r="J174" s="6">
        <f>IFERROR(INDEX('Base Exámenes'!$G$5:$G$154, MATCH(A174, 'Base Exámenes'!$C$5:$C$154, 0)), "")</f>
        <v>100</v>
      </c>
      <c r="K174" s="6" t="str">
        <f>IFERROR(INDEX('Base Exámenes'!$H$5:$H$154, MATCH(A174, 'Base Exámenes'!$C$5:$C$154, 0)), "anonymous")</f>
        <v>anonymous</v>
      </c>
    </row>
    <row r="175">
      <c r="A175" s="4" t="str">
        <f>'Base Oficial'!A175</f>
        <v>894</v>
      </c>
      <c r="B175" s="6" t="str">
        <f>'Base Oficial'!B175</f>
        <v>HENRY OSWALDO PINEDA GARCIA </v>
      </c>
      <c r="C175" s="6" t="str">
        <f>'Base Oficial'!F175</f>
        <v>DEPARTAMENTO DE SEGUROS </v>
      </c>
      <c r="D175" s="6" t="str">
        <f>'Base Oficial'!G175</f>
        <v>Gerencia de Negocios</v>
      </c>
      <c r="E175" s="6" t="str">
        <f>'Base Oficial'!D175</f>
        <v>EJECUTIVO  MOVIL DE SEGUROS</v>
      </c>
      <c r="F175" s="4" t="str">
        <f>IF(COUNTIFS('Base Exámenes'!$C$5:$C$154, A175, 'Base Exámenes'!$E$5:$E$154, "&lt;&gt;")&gt;0, "Completado", "Pendiente")</f>
        <v>Completado</v>
      </c>
      <c r="G175" s="23">
        <f>IFERROR(INDEX('Base Exámenes'!$D$5:$D$154, MATCH(A175, 'Base Exámenes'!$C$5:$C$154, 0)), "")</f>
        <v>46296.426412037035</v>
      </c>
      <c r="H175" s="23">
        <f>IFERROR(INDEX('Base Exámenes'!$E$5:$E$154, MATCH(A175, 'Base Exámenes'!$C$5:$C$154, 0)), "")</f>
        <v>46296.431875</v>
      </c>
      <c r="I175" s="24">
        <f>IFERROR(INDEX('Base Exámenes'!$F$5:$F$154, MATCH(A175, 'Base Exámenes'!$C$5:$C$154, 0)), "")</f>
        <v>7.86666666666667</v>
      </c>
      <c r="J175" s="6">
        <f>IFERROR(INDEX('Base Exámenes'!$G$5:$G$154, MATCH(A175, 'Base Exámenes'!$C$5:$C$154, 0)), "")</f>
        <v>100</v>
      </c>
      <c r="K175" s="6" t="str">
        <f>IFERROR(INDEX('Base Exámenes'!$H$5:$H$154, MATCH(A175, 'Base Exámenes'!$C$5:$C$154, 0)), "anonymous")</f>
        <v>anonymous</v>
      </c>
    </row>
    <row r="176">
      <c r="A176" s="4" t="str">
        <f>'Base Oficial'!A176</f>
        <v>422</v>
      </c>
      <c r="B176" s="6" t="str">
        <f>'Base Oficial'!B176</f>
        <v>CLAUDIA VERONICA LARA RODAS</v>
      </c>
      <c r="C176" s="6" t="str">
        <f>'Base Oficial'!F176</f>
        <v>DEPARTAMENTO COMERCIAL DE TARJETA DE CREDITO Y DEBITO</v>
      </c>
      <c r="D176" s="6" t="str">
        <f>'Base Oficial'!G176</f>
        <v>Gerencia General</v>
      </c>
      <c r="E176" s="6" t="str">
        <f>'Base Oficial'!D176</f>
        <v>ASISTENTE COMERCIAL DE TARJETA DE CREDITO</v>
      </c>
      <c r="F176" s="4" t="str">
        <f>IF(COUNTIFS('Base Exámenes'!$C$5:$C$154, A176, 'Base Exámenes'!$E$5:$E$154, "&lt;&gt;")&gt;0, "Completado", "Pendiente")</f>
        <v>Completado</v>
      </c>
      <c r="G176" s="23">
        <f>IFERROR(INDEX('Base Exámenes'!$D$5:$D$154, MATCH(A176, 'Base Exámenes'!$C$5:$C$154, 0)), "")</f>
        <v>46304.40586805555</v>
      </c>
      <c r="H176" s="23">
        <f>IFERROR(INDEX('Base Exámenes'!$E$5:$E$154, MATCH(A176, 'Base Exámenes'!$C$5:$C$154, 0)), "")</f>
        <v>46304.41396990741</v>
      </c>
      <c r="I176" s="24">
        <f>IFERROR(INDEX('Base Exámenes'!$F$5:$F$154, MATCH(A176, 'Base Exámenes'!$C$5:$C$154, 0)), "")</f>
        <v>11.6666666666667</v>
      </c>
      <c r="J176" s="6">
        <f>IFERROR(INDEX('Base Exámenes'!$G$5:$G$154, MATCH(A176, 'Base Exámenes'!$C$5:$C$154, 0)), "")</f>
        <v>100</v>
      </c>
      <c r="K176" s="6" t="str">
        <f>IFERROR(INDEX('Base Exámenes'!$H$5:$H$154, MATCH(A176, 'Base Exámenes'!$C$5:$C$154, 0)), "anonymous")</f>
        <v>anonymous</v>
      </c>
    </row>
    <row r="177">
      <c r="A177" s="4" t="str">
        <f>'Base Oficial'!A177</f>
        <v>533</v>
      </c>
      <c r="B177" s="6" t="str">
        <f>'Base Oficial'!B177</f>
        <v>LIDIA PATRICIA MORALES AVALOS </v>
      </c>
      <c r="C177" s="6" t="str">
        <f>'Base Oficial'!F177</f>
        <v>DEPARTAMENTO COMERCIAL DE TARJETA DE CREDITO Y DEBITO</v>
      </c>
      <c r="D177" s="6" t="str">
        <f>'Base Oficial'!G177</f>
        <v>Gerencia General</v>
      </c>
      <c r="E177" s="6" t="str">
        <f>'Base Oficial'!D177</f>
        <v>JEFE COMERCIAL DE TARJETA DE CREDITO</v>
      </c>
      <c r="F177" s="4" t="str">
        <f>IF(COUNTIFS('Base Exámenes'!$C$5:$C$154, A177, 'Base Exámenes'!$E$5:$E$154, "&lt;&gt;")&gt;0, "Completado", "Pendiente")</f>
        <v>Completado</v>
      </c>
      <c r="G177" s="23">
        <f>IFERROR(INDEX('Base Exámenes'!$D$5:$D$154, MATCH(A177, 'Base Exámenes'!$C$5:$C$154, 0)), "")</f>
        <v>46304.77427083333</v>
      </c>
      <c r="H177" s="23">
        <f>IFERROR(INDEX('Base Exámenes'!$E$5:$E$154, MATCH(A177, 'Base Exámenes'!$C$5:$C$154, 0)), "")</f>
        <v>46304.7809837963</v>
      </c>
      <c r="I177" s="24">
        <f>IFERROR(INDEX('Base Exámenes'!$F$5:$F$154, MATCH(A177, 'Base Exámenes'!$C$5:$C$154, 0)), "")</f>
        <v>9.66666666666667</v>
      </c>
      <c r="J177" s="6">
        <f>IFERROR(INDEX('Base Exámenes'!$G$5:$G$154, MATCH(A177, 'Base Exámenes'!$C$5:$C$154, 0)), "")</f>
        <v>90</v>
      </c>
      <c r="K177" s="6" t="str">
        <f>IFERROR(INDEX('Base Exámenes'!$H$5:$H$154, MATCH(A177, 'Base Exámenes'!$C$5:$C$154, 0)), "anonymous")</f>
        <v>anonymous</v>
      </c>
    </row>
    <row r="178">
      <c r="A178" s="4" t="str">
        <f>'Base Oficial'!A178</f>
        <v>654</v>
      </c>
      <c r="B178" s="6" t="str">
        <f>'Base Oficial'!B178</f>
        <v>GABRIELA ALEJANDRA RODRIGUEZ ARIAS </v>
      </c>
      <c r="C178" s="6" t="str">
        <f>'Base Oficial'!F178</f>
        <v>DEPARTAMENTO COMERCIAL DE TARJETA DE CREDITO Y DEBITO</v>
      </c>
      <c r="D178" s="6" t="str">
        <f>'Base Oficial'!G178</f>
        <v>Gerencia General</v>
      </c>
      <c r="E178" s="6" t="str">
        <f>'Base Oficial'!D178</f>
        <v>AUXILIAR DE ATENCION AL CLIENTE</v>
      </c>
      <c r="F178" s="4" t="str">
        <f>IF(COUNTIFS('Base Exámenes'!$C$5:$C$154, A178, 'Base Exámenes'!$E$5:$E$154, "&lt;&gt;")&gt;0, "Completado", "Pendiente")</f>
        <v>Completado</v>
      </c>
      <c r="G178" s="23">
        <f>IFERROR(INDEX('Base Exámenes'!$D$5:$D$154, MATCH(A178, 'Base Exámenes'!$C$5:$C$154, 0)), "")</f>
        <v>46304.67545138889</v>
      </c>
      <c r="H178" s="23">
        <f>IFERROR(INDEX('Base Exámenes'!$E$5:$E$154, MATCH(A178, 'Base Exámenes'!$C$5:$C$154, 0)), "")</f>
        <v>46304.678506944445</v>
      </c>
      <c r="I178" s="24">
        <f>IFERROR(INDEX('Base Exámenes'!$F$5:$F$154, MATCH(A178, 'Base Exámenes'!$C$5:$C$154, 0)), "")</f>
        <v>4.4</v>
      </c>
      <c r="J178" s="6">
        <f>IFERROR(INDEX('Base Exámenes'!$G$5:$G$154, MATCH(A178, 'Base Exámenes'!$C$5:$C$154, 0)), "")</f>
        <v>80</v>
      </c>
      <c r="K178" s="6" t="str">
        <f>IFERROR(INDEX('Base Exámenes'!$H$5:$H$154, MATCH(A178, 'Base Exámenes'!$C$5:$C$154, 0)), "anonymous")</f>
        <v>anonymous</v>
      </c>
    </row>
    <row r="179">
      <c r="A179" s="4" t="str">
        <f>'Base Oficial'!A179</f>
        <v>655</v>
      </c>
      <c r="B179" s="6" t="str">
        <f>'Base Oficial'!B179</f>
        <v>JOSE ALEXANDER ABREGO </v>
      </c>
      <c r="C179" s="6" t="str">
        <f>'Base Oficial'!F179</f>
        <v>DEPARTAMENTO COMERCIAL DE TARJETA DE CREDITO Y DEBITO</v>
      </c>
      <c r="D179" s="6" t="str">
        <f>'Base Oficial'!G179</f>
        <v>Gerencia General</v>
      </c>
      <c r="E179" s="6" t="str">
        <f>'Base Oficial'!D179</f>
        <v>EJECUTIVO DE NEGOCIOS</v>
      </c>
      <c r="F179" s="4" t="str">
        <f>IF(COUNTIFS('Base Exámenes'!$C$5:$C$154, A179, 'Base Exámenes'!$E$5:$E$154, "&lt;&gt;")&gt;0, "Completado", "Pendiente")</f>
        <v>Pendiente</v>
      </c>
      <c r="G179" s="23" t="str">
        <f>IFERROR(INDEX('Base Exámenes'!$D$5:$D$154, MATCH(A179, 'Base Exámenes'!$C$5:$C$154, 0)), "")</f>
        <v/>
      </c>
      <c r="H179" s="23" t="str">
        <f>IFERROR(INDEX('Base Exámenes'!$E$5:$E$154, MATCH(A179, 'Base Exámenes'!$C$5:$C$154, 0)), "")</f>
        <v/>
      </c>
      <c r="I179" s="24" t="str">
        <f>IFERROR(INDEX('Base Exámenes'!$F$5:$F$154, MATCH(A179, 'Base Exámenes'!$C$5:$C$154, 0)), "")</f>
        <v/>
      </c>
      <c r="J179" s="6" t="str">
        <f>IFERROR(INDEX('Base Exámenes'!$G$5:$G$154, MATCH(A179, 'Base Exámenes'!$C$5:$C$154, 0)), "")</f>
        <v/>
      </c>
      <c r="K179" s="6" t="str">
        <f>IFERROR(INDEX('Base Exámenes'!$H$5:$H$154, MATCH(A179, 'Base Exámenes'!$C$5:$C$154, 0)), "anonymous")</f>
        <v>anonymous</v>
      </c>
    </row>
    <row r="180">
      <c r="A180" s="4" t="str">
        <f>'Base Oficial'!A180</f>
        <v>669</v>
      </c>
      <c r="B180" s="6" t="str">
        <f>'Base Oficial'!B180</f>
        <v>ANTONIO ALEXANDER  ALFARO ARGUETA </v>
      </c>
      <c r="C180" s="6" t="str">
        <f>'Base Oficial'!F180</f>
        <v>DEPARTAMENTO COMERCIAL DE TARJETA DE CREDITO Y DEBITO</v>
      </c>
      <c r="D180" s="6" t="str">
        <f>'Base Oficial'!G180</f>
        <v>Gerencia General</v>
      </c>
      <c r="E180" s="6" t="str">
        <f>'Base Oficial'!D180</f>
        <v>EJECUTIVO DE NEGOCIOS</v>
      </c>
      <c r="F180" s="4" t="str">
        <f>IF(COUNTIFS('Base Exámenes'!$C$5:$C$154, A180, 'Base Exámenes'!$E$5:$E$154, "&lt;&gt;")&gt;0, "Completado", "Pendiente")</f>
        <v>Pendiente</v>
      </c>
      <c r="G180" s="23" t="str">
        <f>IFERROR(INDEX('Base Exámenes'!$D$5:$D$154, MATCH(A180, 'Base Exámenes'!$C$5:$C$154, 0)), "")</f>
        <v/>
      </c>
      <c r="H180" s="23" t="str">
        <f>IFERROR(INDEX('Base Exámenes'!$E$5:$E$154, MATCH(A180, 'Base Exámenes'!$C$5:$C$154, 0)), "")</f>
        <v/>
      </c>
      <c r="I180" s="24" t="str">
        <f>IFERROR(INDEX('Base Exámenes'!$F$5:$F$154, MATCH(A180, 'Base Exámenes'!$C$5:$C$154, 0)), "")</f>
        <v/>
      </c>
      <c r="J180" s="6" t="str">
        <f>IFERROR(INDEX('Base Exámenes'!$G$5:$G$154, MATCH(A180, 'Base Exámenes'!$C$5:$C$154, 0)), "")</f>
        <v/>
      </c>
      <c r="K180" s="6" t="str">
        <f>IFERROR(INDEX('Base Exámenes'!$H$5:$H$154, MATCH(A180, 'Base Exámenes'!$C$5:$C$154, 0)), "anonymous")</f>
        <v>anonymous</v>
      </c>
    </row>
    <row r="181">
      <c r="A181" s="4" t="str">
        <f>'Base Oficial'!A181</f>
        <v>715</v>
      </c>
      <c r="B181" s="6" t="str">
        <f>'Base Oficial'!B181</f>
        <v>KAREN MARCELA BARILLAS MOLINA </v>
      </c>
      <c r="C181" s="6" t="str">
        <f>'Base Oficial'!F181</f>
        <v>DEPARTAMENTO COMERCIAL DE TARJETA DE CREDITO Y DEBITO</v>
      </c>
      <c r="D181" s="6" t="str">
        <f>'Base Oficial'!G181</f>
        <v>Gerencia General</v>
      </c>
      <c r="E181" s="6" t="str">
        <f>'Base Oficial'!D181</f>
        <v>AUXILIAR DE ATENCION AL TARJETAHABIENTE</v>
      </c>
      <c r="F181" s="4" t="str">
        <f>IF(COUNTIFS('Base Exámenes'!$C$5:$C$154, A181, 'Base Exámenes'!$E$5:$E$154, "&lt;&gt;")&gt;0, "Completado", "Pendiente")</f>
        <v>Completado</v>
      </c>
      <c r="G181" s="23">
        <f>IFERROR(INDEX('Base Exámenes'!$D$5:$D$154, MATCH(A181, 'Base Exámenes'!$C$5:$C$154, 0)), "")</f>
        <v>46297.7059375</v>
      </c>
      <c r="H181" s="23">
        <f>IFERROR(INDEX('Base Exámenes'!$E$5:$E$154, MATCH(A181, 'Base Exámenes'!$C$5:$C$154, 0)), "")</f>
        <v>46297.71334490741</v>
      </c>
      <c r="I181" s="24">
        <f>IFERROR(INDEX('Base Exámenes'!$F$5:$F$154, MATCH(A181, 'Base Exámenes'!$C$5:$C$154, 0)), "")</f>
        <v>10.6666666666667</v>
      </c>
      <c r="J181" s="6">
        <f>IFERROR(INDEX('Base Exámenes'!$G$5:$G$154, MATCH(A181, 'Base Exámenes'!$C$5:$C$154, 0)), "")</f>
        <v>85</v>
      </c>
      <c r="K181" s="6" t="str">
        <f>IFERROR(INDEX('Base Exámenes'!$H$5:$H$154, MATCH(A181, 'Base Exámenes'!$C$5:$C$154, 0)), "anonymous")</f>
        <v>anonymous</v>
      </c>
    </row>
    <row r="182">
      <c r="A182" s="4" t="str">
        <f>'Base Oficial'!A182</f>
        <v>835</v>
      </c>
      <c r="B182" s="6" t="str">
        <f>'Base Oficial'!B182</f>
        <v>LUIS ALBERTO MEJIA DELGADO </v>
      </c>
      <c r="C182" s="6" t="str">
        <f>'Base Oficial'!F182</f>
        <v>DEPARTAMENTO COMERCIAL DE TARJETA DE CREDITO Y DEBITO</v>
      </c>
      <c r="D182" s="6" t="str">
        <f>'Base Oficial'!G182</f>
        <v>Gerencia General</v>
      </c>
      <c r="E182" s="6" t="str">
        <f>'Base Oficial'!D182</f>
        <v>EJECUTIVO DE NEGOCIOS</v>
      </c>
      <c r="F182" s="4" t="str">
        <f>IF(COUNTIFS('Base Exámenes'!$C$5:$C$154, A182, 'Base Exámenes'!$E$5:$E$154, "&lt;&gt;")&gt;0, "Completado", "Pendiente")</f>
        <v>Pendiente</v>
      </c>
      <c r="G182" s="23" t="str">
        <f>IFERROR(INDEX('Base Exámenes'!$D$5:$D$154, MATCH(A182, 'Base Exámenes'!$C$5:$C$154, 0)), "")</f>
        <v/>
      </c>
      <c r="H182" s="23" t="str">
        <f>IFERROR(INDEX('Base Exámenes'!$E$5:$E$154, MATCH(A182, 'Base Exámenes'!$C$5:$C$154, 0)), "")</f>
        <v/>
      </c>
      <c r="I182" s="24" t="str">
        <f>IFERROR(INDEX('Base Exámenes'!$F$5:$F$154, MATCH(A182, 'Base Exámenes'!$C$5:$C$154, 0)), "")</f>
        <v/>
      </c>
      <c r="J182" s="6" t="str">
        <f>IFERROR(INDEX('Base Exámenes'!$G$5:$G$154, MATCH(A182, 'Base Exámenes'!$C$5:$C$154, 0)), "")</f>
        <v/>
      </c>
      <c r="K182" s="6" t="str">
        <f>IFERROR(INDEX('Base Exámenes'!$H$5:$H$154, MATCH(A182, 'Base Exámenes'!$C$5:$C$154, 0)), "anonymous")</f>
        <v>anonymous</v>
      </c>
    </row>
    <row r="183">
      <c r="A183" s="4" t="str">
        <f>'Base Oficial'!A183</f>
        <v>858</v>
      </c>
      <c r="B183" s="6" t="str">
        <f>'Base Oficial'!B183</f>
        <v>GABRIEL FRANCISCO MOLINA DIAZ </v>
      </c>
      <c r="C183" s="6" t="str">
        <f>'Base Oficial'!F183</f>
        <v>DEPARTAMENTO COMERCIAL DE TARJETA DE CREDITO Y DEBITO</v>
      </c>
      <c r="D183" s="6" t="str">
        <f>'Base Oficial'!G183</f>
        <v>Gerencia General</v>
      </c>
      <c r="E183" s="6" t="str">
        <f>'Base Oficial'!D183</f>
        <v>EJECUTIVO DE NEGOCIOS</v>
      </c>
      <c r="F183" s="4" t="str">
        <f>IF(COUNTIFS('Base Exámenes'!$C$5:$C$154, A183, 'Base Exámenes'!$E$5:$E$154, "&lt;&gt;")&gt;0, "Completado", "Pendiente")</f>
        <v>Pendiente</v>
      </c>
      <c r="G183" s="23" t="str">
        <f>IFERROR(INDEX('Base Exámenes'!$D$5:$D$154, MATCH(A183, 'Base Exámenes'!$C$5:$C$154, 0)), "")</f>
        <v/>
      </c>
      <c r="H183" s="23" t="str">
        <f>IFERROR(INDEX('Base Exámenes'!$E$5:$E$154, MATCH(A183, 'Base Exámenes'!$C$5:$C$154, 0)), "")</f>
        <v/>
      </c>
      <c r="I183" s="24" t="str">
        <f>IFERROR(INDEX('Base Exámenes'!$F$5:$F$154, MATCH(A183, 'Base Exámenes'!$C$5:$C$154, 0)), "")</f>
        <v/>
      </c>
      <c r="J183" s="6" t="str">
        <f>IFERROR(INDEX('Base Exámenes'!$G$5:$G$154, MATCH(A183, 'Base Exámenes'!$C$5:$C$154, 0)), "")</f>
        <v/>
      </c>
      <c r="K183" s="6" t="str">
        <f>IFERROR(INDEX('Base Exámenes'!$H$5:$H$154, MATCH(A183, 'Base Exámenes'!$C$5:$C$154, 0)), "anonymous")</f>
        <v>anonymous</v>
      </c>
    </row>
    <row r="184">
      <c r="A184" s="4" t="str">
        <f>'Base Oficial'!A184</f>
        <v>215</v>
      </c>
      <c r="B184" s="6" t="str">
        <f>'Base Oficial'!B184</f>
        <v>LUIS MARCELO CRUZ VIGIL </v>
      </c>
      <c r="C184" s="6" t="str">
        <f>'Base Oficial'!F184</f>
        <v>SUB GERENCIA DE CANALES </v>
      </c>
      <c r="D184" s="6" t="str">
        <f>'Base Oficial'!G184</f>
        <v>Gerencia de Negocios</v>
      </c>
      <c r="E184" s="6" t="str">
        <f>'Base Oficial'!D184</f>
        <v>SUB GERENTE DE CANALES</v>
      </c>
      <c r="F184" s="4" t="str">
        <f>IF(COUNTIFS('Base Exámenes'!$C$5:$C$154, A184, 'Base Exámenes'!$E$5:$E$154, "&lt;&gt;")&gt;0, "Completado", "Pendiente")</f>
        <v>Completado</v>
      </c>
      <c r="G184" s="23">
        <f>IFERROR(INDEX('Base Exámenes'!$D$5:$D$154, MATCH(A184, 'Base Exámenes'!$C$5:$C$154, 0)), "")</f>
        <v>46300.40697916667</v>
      </c>
      <c r="H184" s="23">
        <f>IFERROR(INDEX('Base Exámenes'!$E$5:$E$154, MATCH(A184, 'Base Exámenes'!$C$5:$C$154, 0)), "")</f>
        <v>46300.41096064815</v>
      </c>
      <c r="I184" s="24">
        <f>IFERROR(INDEX('Base Exámenes'!$F$5:$F$154, MATCH(A184, 'Base Exámenes'!$C$5:$C$154, 0)), "")</f>
        <v>5.73333333333333</v>
      </c>
      <c r="J184" s="6">
        <f>IFERROR(INDEX('Base Exámenes'!$G$5:$G$154, MATCH(A184, 'Base Exámenes'!$C$5:$C$154, 0)), "")</f>
        <v>100</v>
      </c>
      <c r="K184" s="6" t="str">
        <f>IFERROR(INDEX('Base Exámenes'!$H$5:$H$154, MATCH(A184, 'Base Exámenes'!$C$5:$C$154, 0)), "anonymous")</f>
        <v>anonymous</v>
      </c>
    </row>
    <row r="185">
      <c r="A185" s="4" t="str">
        <f>'Base Oficial'!A185</f>
        <v>581</v>
      </c>
      <c r="B185" s="6" t="str">
        <f>'Base Oficial'!B185</f>
        <v>JUAN CARLOS AGUILAR ASCENCIO </v>
      </c>
      <c r="C185" s="6" t="str">
        <f>'Base Oficial'!F185</f>
        <v>SUB GERENCIA DE CANALES </v>
      </c>
      <c r="D185" s="6" t="str">
        <f>'Base Oficial'!G185</f>
        <v>Gerencia de Negocios</v>
      </c>
      <c r="E185" s="6" t="str">
        <f>'Base Oficial'!D185</f>
        <v>CAJERO MOVIL</v>
      </c>
      <c r="F185" s="4" t="str">
        <f>IF(COUNTIFS('Base Exámenes'!$C$5:$C$154, A185, 'Base Exámenes'!$E$5:$E$154, "&lt;&gt;")&gt;0, "Completado", "Pendiente")</f>
        <v>Pendiente</v>
      </c>
      <c r="G185" s="23" t="str">
        <f>IFERROR(INDEX('Base Exámenes'!$D$5:$D$154, MATCH(A185, 'Base Exámenes'!$C$5:$C$154, 0)), "")</f>
        <v/>
      </c>
      <c r="H185" s="23" t="str">
        <f>IFERROR(INDEX('Base Exámenes'!$E$5:$E$154, MATCH(A185, 'Base Exámenes'!$C$5:$C$154, 0)), "")</f>
        <v/>
      </c>
      <c r="I185" s="24" t="str">
        <f>IFERROR(INDEX('Base Exámenes'!$F$5:$F$154, MATCH(A185, 'Base Exámenes'!$C$5:$C$154, 0)), "")</f>
        <v/>
      </c>
      <c r="J185" s="6" t="str">
        <f>IFERROR(INDEX('Base Exámenes'!$G$5:$G$154, MATCH(A185, 'Base Exámenes'!$C$5:$C$154, 0)), "")</f>
        <v/>
      </c>
      <c r="K185" s="6" t="str">
        <f>IFERROR(INDEX('Base Exámenes'!$H$5:$H$154, MATCH(A185, 'Base Exámenes'!$C$5:$C$154, 0)), "anonymous")</f>
        <v>anonymous</v>
      </c>
    </row>
    <row r="186">
      <c r="A186" s="4" t="str">
        <f>'Base Oficial'!A186</f>
        <v>585</v>
      </c>
      <c r="B186" s="6" t="str">
        <f>'Base Oficial'!B186</f>
        <v>NANCY ROCIO MENJIVAR RIVAS </v>
      </c>
      <c r="C186" s="6" t="str">
        <f>'Base Oficial'!F186</f>
        <v>SUB GERENCIA DE CANALES </v>
      </c>
      <c r="D186" s="6" t="str">
        <f>'Base Oficial'!G186</f>
        <v>Gerencia de Negocios</v>
      </c>
      <c r="E186" s="6" t="str">
        <f>'Base Oficial'!D186</f>
        <v>EJECUTIVO  MOVIL DE SEGUROS</v>
      </c>
      <c r="F186" s="4" t="str">
        <f>IF(COUNTIFS('Base Exámenes'!$C$5:$C$154, A186, 'Base Exámenes'!$E$5:$E$154, "&lt;&gt;")&gt;0, "Completado", "Pendiente")</f>
        <v>Completado</v>
      </c>
      <c r="G186" s="23">
        <f>IFERROR(INDEX('Base Exámenes'!$D$5:$D$154, MATCH(A186, 'Base Exámenes'!$C$5:$C$154, 0)), "")</f>
        <v>46302.46341435185</v>
      </c>
      <c r="H186" s="23">
        <f>IFERROR(INDEX('Base Exámenes'!$E$5:$E$154, MATCH(A186, 'Base Exámenes'!$C$5:$C$154, 0)), "")</f>
        <v>46302.479097222225</v>
      </c>
      <c r="I186" s="24">
        <f>IFERROR(INDEX('Base Exámenes'!$F$5:$F$154, MATCH(A186, 'Base Exámenes'!$C$5:$C$154, 0)), "")</f>
        <v>22.5833333528</v>
      </c>
      <c r="J186" s="6">
        <f>IFERROR(INDEX('Base Exámenes'!$G$5:$G$154, MATCH(A186, 'Base Exámenes'!$C$5:$C$154, 0)), "")</f>
        <v>100</v>
      </c>
      <c r="K186" s="6" t="str">
        <f>IFERROR(INDEX('Base Exámenes'!$H$5:$H$154, MATCH(A186, 'Base Exámenes'!$C$5:$C$154, 0)), "anonymous")</f>
        <v>anonymous</v>
      </c>
    </row>
    <row r="187">
      <c r="A187" s="4" t="str">
        <f>'Base Oficial'!A187</f>
        <v>651</v>
      </c>
      <c r="B187" s="6" t="str">
        <f>'Base Oficial'!B187</f>
        <v>LUIS FERNANDO MORAN GARCIA </v>
      </c>
      <c r="C187" s="6" t="str">
        <f>'Base Oficial'!F187</f>
        <v>SUB GERENCIA DE CANALES </v>
      </c>
      <c r="D187" s="6" t="str">
        <f>'Base Oficial'!G187</f>
        <v>Gerencia de Negocios</v>
      </c>
      <c r="E187" s="6" t="str">
        <f>'Base Oficial'!D187</f>
        <v>JEFE MOVIL DE AGENCIAS</v>
      </c>
      <c r="F187" s="4" t="str">
        <f>IF(COUNTIFS('Base Exámenes'!$C$5:$C$154, A187, 'Base Exámenes'!$E$5:$E$154, "&lt;&gt;")&gt;0, "Completado", "Pendiente")</f>
        <v>Pendiente</v>
      </c>
      <c r="G187" s="23" t="str">
        <f>IFERROR(INDEX('Base Exámenes'!$D$5:$D$154, MATCH(A187, 'Base Exámenes'!$C$5:$C$154, 0)), "")</f>
        <v/>
      </c>
      <c r="H187" s="23" t="str">
        <f>IFERROR(INDEX('Base Exámenes'!$E$5:$E$154, MATCH(A187, 'Base Exámenes'!$C$5:$C$154, 0)), "")</f>
        <v/>
      </c>
      <c r="I187" s="24" t="str">
        <f>IFERROR(INDEX('Base Exámenes'!$F$5:$F$154, MATCH(A187, 'Base Exámenes'!$C$5:$C$154, 0)), "")</f>
        <v/>
      </c>
      <c r="J187" s="6" t="str">
        <f>IFERROR(INDEX('Base Exámenes'!$G$5:$G$154, MATCH(A187, 'Base Exámenes'!$C$5:$C$154, 0)), "")</f>
        <v/>
      </c>
      <c r="K187" s="6" t="str">
        <f>IFERROR(INDEX('Base Exámenes'!$H$5:$H$154, MATCH(A187, 'Base Exámenes'!$C$5:$C$154, 0)), "anonymous")</f>
        <v>anonymous</v>
      </c>
    </row>
    <row r="188">
      <c r="A188" s="4" t="str">
        <f>'Base Oficial'!A188</f>
        <v>713</v>
      </c>
      <c r="B188" s="6" t="str">
        <f>'Base Oficial'!B188</f>
        <v>SANDRA VERONICA ACEVEDO BELTRAN </v>
      </c>
      <c r="C188" s="6" t="str">
        <f>'Base Oficial'!F188</f>
        <v>SUB GERENCIA DE CANALES </v>
      </c>
      <c r="D188" s="6" t="str">
        <f>'Base Oficial'!G188</f>
        <v>Gerencia de Negocios</v>
      </c>
      <c r="E188" s="6" t="str">
        <f>'Base Oficial'!D188</f>
        <v>ASISTENTE PARA CORRESPONSALES FINANCIEROS </v>
      </c>
      <c r="F188" s="4" t="str">
        <f>IF(COUNTIFS('Base Exámenes'!$C$5:$C$154, A188, 'Base Exámenes'!$E$5:$E$154, "&lt;&gt;")&gt;0, "Completado", "Pendiente")</f>
        <v>Pendiente</v>
      </c>
      <c r="G188" s="23" t="str">
        <f>IFERROR(INDEX('Base Exámenes'!$D$5:$D$154, MATCH(A188, 'Base Exámenes'!$C$5:$C$154, 0)), "")</f>
        <v/>
      </c>
      <c r="H188" s="23" t="str">
        <f>IFERROR(INDEX('Base Exámenes'!$E$5:$E$154, MATCH(A188, 'Base Exámenes'!$C$5:$C$154, 0)), "")</f>
        <v/>
      </c>
      <c r="I188" s="24" t="str">
        <f>IFERROR(INDEX('Base Exámenes'!$F$5:$F$154, MATCH(A188, 'Base Exámenes'!$C$5:$C$154, 0)), "")</f>
        <v/>
      </c>
      <c r="J188" s="6" t="str">
        <f>IFERROR(INDEX('Base Exámenes'!$G$5:$G$154, MATCH(A188, 'Base Exámenes'!$C$5:$C$154, 0)), "")</f>
        <v/>
      </c>
      <c r="K188" s="6" t="str">
        <f>IFERROR(INDEX('Base Exámenes'!$H$5:$H$154, MATCH(A188, 'Base Exámenes'!$C$5:$C$154, 0)), "anonymous")</f>
        <v>anonymous</v>
      </c>
    </row>
    <row r="189">
      <c r="A189" s="4" t="str">
        <f>'Base Oficial'!A189</f>
        <v>854</v>
      </c>
      <c r="B189" s="6" t="str">
        <f>'Base Oficial'!B189</f>
        <v>REBECA ABIGAIL VEGA FLORES </v>
      </c>
      <c r="C189" s="6" t="str">
        <f>'Base Oficial'!F189</f>
        <v>SUB GERENCIA DE CANALES </v>
      </c>
      <c r="D189" s="6" t="str">
        <f>'Base Oficial'!G189</f>
        <v>Gerencia de Negocios</v>
      </c>
      <c r="E189" s="6" t="str">
        <f>'Base Oficial'!D189</f>
        <v>CAJERO MOVIL</v>
      </c>
      <c r="F189" s="4" t="str">
        <f>IF(COUNTIFS('Base Exámenes'!$C$5:$C$154, A189, 'Base Exámenes'!$E$5:$E$154, "&lt;&gt;")&gt;0, "Completado", "Pendiente")</f>
        <v>Pendiente</v>
      </c>
      <c r="G189" s="23" t="str">
        <f>IFERROR(INDEX('Base Exámenes'!$D$5:$D$154, MATCH(A189, 'Base Exámenes'!$C$5:$C$154, 0)), "")</f>
        <v/>
      </c>
      <c r="H189" s="23" t="str">
        <f>IFERROR(INDEX('Base Exámenes'!$E$5:$E$154, MATCH(A189, 'Base Exámenes'!$C$5:$C$154, 0)), "")</f>
        <v/>
      </c>
      <c r="I189" s="24" t="str">
        <f>IFERROR(INDEX('Base Exámenes'!$F$5:$F$154, MATCH(A189, 'Base Exámenes'!$C$5:$C$154, 0)), "")</f>
        <v/>
      </c>
      <c r="J189" s="6" t="str">
        <f>IFERROR(INDEX('Base Exámenes'!$G$5:$G$154, MATCH(A189, 'Base Exámenes'!$C$5:$C$154, 0)), "")</f>
        <v/>
      </c>
      <c r="K189" s="6" t="str">
        <f>IFERROR(INDEX('Base Exámenes'!$H$5:$H$154, MATCH(A189, 'Base Exámenes'!$C$5:$C$154, 0)), "anonymous")</f>
        <v>anonymous</v>
      </c>
    </row>
    <row r="190">
      <c r="A190" s="4" t="str">
        <f>'Base Oficial'!A190</f>
        <v>968</v>
      </c>
      <c r="B190" s="6" t="str">
        <f>'Base Oficial'!B190</f>
        <v>SAMUEL ALBERTO SALGUERO RODRIGUEZ </v>
      </c>
      <c r="C190" s="6" t="str">
        <f>'Base Oficial'!F190</f>
        <v>SUB GERENCIA DE CANALES </v>
      </c>
      <c r="D190" s="6" t="str">
        <f>'Base Oficial'!G190</f>
        <v>Gerencia de Negocios</v>
      </c>
      <c r="E190" s="6" t="str">
        <f>'Base Oficial'!D190</f>
        <v>CAJERO MOVIL</v>
      </c>
      <c r="F190" s="4" t="str">
        <f>IF(COUNTIFS('Base Exámenes'!$C$5:$C$154, A190, 'Base Exámenes'!$E$5:$E$154, "&lt;&gt;")&gt;0, "Completado", "Pendiente")</f>
        <v>Pendiente</v>
      </c>
      <c r="G190" s="23" t="str">
        <f>IFERROR(INDEX('Base Exámenes'!$D$5:$D$154, MATCH(A190, 'Base Exámenes'!$C$5:$C$154, 0)), "")</f>
        <v/>
      </c>
      <c r="H190" s="23" t="str">
        <f>IFERROR(INDEX('Base Exámenes'!$E$5:$E$154, MATCH(A190, 'Base Exámenes'!$C$5:$C$154, 0)), "")</f>
        <v/>
      </c>
      <c r="I190" s="24" t="str">
        <f>IFERROR(INDEX('Base Exámenes'!$F$5:$F$154, MATCH(A190, 'Base Exámenes'!$C$5:$C$154, 0)), "")</f>
        <v/>
      </c>
      <c r="J190" s="6" t="str">
        <f>IFERROR(INDEX('Base Exámenes'!$G$5:$G$154, MATCH(A190, 'Base Exámenes'!$C$5:$C$154, 0)), "")</f>
        <v/>
      </c>
      <c r="K190" s="6" t="str">
        <f>IFERROR(INDEX('Base Exámenes'!$H$5:$H$154, MATCH(A190, 'Base Exámenes'!$C$5:$C$154, 0)), "anonymous")</f>
        <v>anonymous</v>
      </c>
    </row>
    <row r="191">
      <c r="A191" s="4" t="str">
        <f>'Base Oficial'!A191</f>
        <v>33</v>
      </c>
      <c r="B191" s="6" t="str">
        <f>'Base Oficial'!B191</f>
        <v>CAROLINA ELIZABETH RAMIREZ PONCE </v>
      </c>
      <c r="C191" s="6" t="str">
        <f>'Base Oficial'!F191</f>
        <v>AGENCIA CENTRAL  </v>
      </c>
      <c r="D191" s="6" t="str">
        <f>'Base Oficial'!G191</f>
        <v>Gerencia de Negocios (Agencias)</v>
      </c>
      <c r="E191" s="6" t="str">
        <f>'Base Oficial'!D191</f>
        <v>SUBJEFE DE  AGENCIA</v>
      </c>
      <c r="F191" s="4" t="str">
        <f>IF(COUNTIFS('Base Exámenes'!$C$5:$C$154, A191, 'Base Exámenes'!$E$5:$E$154, "&lt;&gt;")&gt;0, "Completado", "Pendiente")</f>
        <v>Pendiente</v>
      </c>
      <c r="G191" s="23" t="str">
        <f>IFERROR(INDEX('Base Exámenes'!$D$5:$D$154, MATCH(A191, 'Base Exámenes'!$C$5:$C$154, 0)), "")</f>
        <v/>
      </c>
      <c r="H191" s="23" t="str">
        <f>IFERROR(INDEX('Base Exámenes'!$E$5:$E$154, MATCH(A191, 'Base Exámenes'!$C$5:$C$154, 0)), "")</f>
        <v/>
      </c>
      <c r="I191" s="24" t="str">
        <f>IFERROR(INDEX('Base Exámenes'!$F$5:$F$154, MATCH(A191, 'Base Exámenes'!$C$5:$C$154, 0)), "")</f>
        <v/>
      </c>
      <c r="J191" s="6" t="str">
        <f>IFERROR(INDEX('Base Exámenes'!$G$5:$G$154, MATCH(A191, 'Base Exámenes'!$C$5:$C$154, 0)), "")</f>
        <v/>
      </c>
      <c r="K191" s="6" t="str">
        <f>IFERROR(INDEX('Base Exámenes'!$H$5:$H$154, MATCH(A191, 'Base Exámenes'!$C$5:$C$154, 0)), "anonymous")</f>
        <v>anonymous</v>
      </c>
    </row>
    <row r="192">
      <c r="A192" s="4" t="str">
        <f>'Base Oficial'!A192</f>
        <v>49</v>
      </c>
      <c r="B192" s="6" t="str">
        <f>'Base Oficial'!B192</f>
        <v>GRISELDA DEL CARMEN DOMINGUEZ MERINO</v>
      </c>
      <c r="C192" s="6" t="str">
        <f>'Base Oficial'!F192</f>
        <v>AGENCIA CENTRAL  </v>
      </c>
      <c r="D192" s="6" t="str">
        <f>'Base Oficial'!G192</f>
        <v>Gerencia de Negocios (Agencias)</v>
      </c>
      <c r="E192" s="6" t="str">
        <f>'Base Oficial'!D192</f>
        <v>EJECUTIVO DE NEGOCIOS</v>
      </c>
      <c r="F192" s="4" t="str">
        <f>IF(COUNTIFS('Base Exámenes'!$C$5:$C$154, A192, 'Base Exámenes'!$E$5:$E$154, "&lt;&gt;")&gt;0, "Completado", "Pendiente")</f>
        <v>Pendiente</v>
      </c>
      <c r="G192" s="23" t="str">
        <f>IFERROR(INDEX('Base Exámenes'!$D$5:$D$154, MATCH(A192, 'Base Exámenes'!$C$5:$C$154, 0)), "")</f>
        <v/>
      </c>
      <c r="H192" s="23" t="str">
        <f>IFERROR(INDEX('Base Exámenes'!$E$5:$E$154, MATCH(A192, 'Base Exámenes'!$C$5:$C$154, 0)), "")</f>
        <v/>
      </c>
      <c r="I192" s="24" t="str">
        <f>IFERROR(INDEX('Base Exámenes'!$F$5:$F$154, MATCH(A192, 'Base Exámenes'!$C$5:$C$154, 0)), "")</f>
        <v/>
      </c>
      <c r="J192" s="6" t="str">
        <f>IFERROR(INDEX('Base Exámenes'!$G$5:$G$154, MATCH(A192, 'Base Exámenes'!$C$5:$C$154, 0)), "")</f>
        <v/>
      </c>
      <c r="K192" s="6" t="str">
        <f>IFERROR(INDEX('Base Exámenes'!$H$5:$H$154, MATCH(A192, 'Base Exámenes'!$C$5:$C$154, 0)), "anonymous")</f>
        <v>anonymous</v>
      </c>
    </row>
    <row r="193">
      <c r="A193" s="4" t="str">
        <f>'Base Oficial'!A193</f>
        <v>234</v>
      </c>
      <c r="B193" s="6" t="str">
        <f>'Base Oficial'!B193</f>
        <v>LETICIA ESMERALDA ROSA </v>
      </c>
      <c r="C193" s="6" t="str">
        <f>'Base Oficial'!F193</f>
        <v>AGENCIA CENTRAL  </v>
      </c>
      <c r="D193" s="6" t="str">
        <f>'Base Oficial'!G193</f>
        <v>Gerencia de Negocios (Agencias)</v>
      </c>
      <c r="E193" s="6" t="str">
        <f>'Base Oficial'!D193</f>
        <v>EJECUTIVO DE NEGOCIOS</v>
      </c>
      <c r="F193" s="4" t="str">
        <f>IF(COUNTIFS('Base Exámenes'!$C$5:$C$154, A193, 'Base Exámenes'!$E$5:$E$154, "&lt;&gt;")&gt;0, "Completado", "Pendiente")</f>
        <v>Pendiente</v>
      </c>
      <c r="G193" s="23" t="str">
        <f>IFERROR(INDEX('Base Exámenes'!$D$5:$D$154, MATCH(A193, 'Base Exámenes'!$C$5:$C$154, 0)), "")</f>
        <v/>
      </c>
      <c r="H193" s="23" t="str">
        <f>IFERROR(INDEX('Base Exámenes'!$E$5:$E$154, MATCH(A193, 'Base Exámenes'!$C$5:$C$154, 0)), "")</f>
        <v/>
      </c>
      <c r="I193" s="24" t="str">
        <f>IFERROR(INDEX('Base Exámenes'!$F$5:$F$154, MATCH(A193, 'Base Exámenes'!$C$5:$C$154, 0)), "")</f>
        <v/>
      </c>
      <c r="J193" s="6" t="str">
        <f>IFERROR(INDEX('Base Exámenes'!$G$5:$G$154, MATCH(A193, 'Base Exámenes'!$C$5:$C$154, 0)), "")</f>
        <v/>
      </c>
      <c r="K193" s="6" t="str">
        <f>IFERROR(INDEX('Base Exámenes'!$H$5:$H$154, MATCH(A193, 'Base Exámenes'!$C$5:$C$154, 0)), "anonymous")</f>
        <v>anonymous</v>
      </c>
    </row>
    <row r="194">
      <c r="A194" s="4" t="str">
        <f>'Base Oficial'!A194</f>
        <v>253</v>
      </c>
      <c r="B194" s="6" t="str">
        <f>'Base Oficial'!B194</f>
        <v>ELSY GUADALUPE COREA AGUILUZ </v>
      </c>
      <c r="C194" s="6" t="str">
        <f>'Base Oficial'!F194</f>
        <v>AGENCIA CENTRAL  </v>
      </c>
      <c r="D194" s="6" t="str">
        <f>'Base Oficial'!G194</f>
        <v>Gerencia de Negocios (Agencias)</v>
      </c>
      <c r="E194" s="6" t="str">
        <f>'Base Oficial'!D194</f>
        <v>EJECUTIVO DE NEGOCIOS</v>
      </c>
      <c r="F194" s="4" t="str">
        <f>IF(COUNTIFS('Base Exámenes'!$C$5:$C$154, A194, 'Base Exámenes'!$E$5:$E$154, "&lt;&gt;")&gt;0, "Completado", "Pendiente")</f>
        <v>Pendiente</v>
      </c>
      <c r="G194" s="23" t="str">
        <f>IFERROR(INDEX('Base Exámenes'!$D$5:$D$154, MATCH(A194, 'Base Exámenes'!$C$5:$C$154, 0)), "")</f>
        <v/>
      </c>
      <c r="H194" s="23" t="str">
        <f>IFERROR(INDEX('Base Exámenes'!$E$5:$E$154, MATCH(A194, 'Base Exámenes'!$C$5:$C$154, 0)), "")</f>
        <v/>
      </c>
      <c r="I194" s="24" t="str">
        <f>IFERROR(INDEX('Base Exámenes'!$F$5:$F$154, MATCH(A194, 'Base Exámenes'!$C$5:$C$154, 0)), "")</f>
        <v/>
      </c>
      <c r="J194" s="6" t="str">
        <f>IFERROR(INDEX('Base Exámenes'!$G$5:$G$154, MATCH(A194, 'Base Exámenes'!$C$5:$C$154, 0)), "")</f>
        <v/>
      </c>
      <c r="K194" s="6" t="str">
        <f>IFERROR(INDEX('Base Exámenes'!$H$5:$H$154, MATCH(A194, 'Base Exámenes'!$C$5:$C$154, 0)), "anonymous")</f>
        <v>anonymous</v>
      </c>
    </row>
    <row r="195">
      <c r="A195" s="4" t="str">
        <f>'Base Oficial'!A195</f>
        <v>385</v>
      </c>
      <c r="B195" s="6" t="str">
        <f>'Base Oficial'!B195</f>
        <v>BLANCA ARACELY MORENO HERNANDEZ </v>
      </c>
      <c r="C195" s="6" t="str">
        <f>'Base Oficial'!F195</f>
        <v>AGENCIA CENTRAL  </v>
      </c>
      <c r="D195" s="6" t="str">
        <f>'Base Oficial'!G195</f>
        <v>Gerencia de Negocios (Agencias)</v>
      </c>
      <c r="E195" s="6" t="str">
        <f>'Base Oficial'!D195</f>
        <v>AUXILIAR DE OPERACIONES Y ATENCION EN  AGENCIA</v>
      </c>
      <c r="F195" s="4" t="str">
        <f>IF(COUNTIFS('Base Exámenes'!$C$5:$C$154, A195, 'Base Exámenes'!$E$5:$E$154, "&lt;&gt;")&gt;0, "Completado", "Pendiente")</f>
        <v>Pendiente</v>
      </c>
      <c r="G195" s="23" t="str">
        <f>IFERROR(INDEX('Base Exámenes'!$D$5:$D$154, MATCH(A195, 'Base Exámenes'!$C$5:$C$154, 0)), "")</f>
        <v/>
      </c>
      <c r="H195" s="23" t="str">
        <f>IFERROR(INDEX('Base Exámenes'!$E$5:$E$154, MATCH(A195, 'Base Exámenes'!$C$5:$C$154, 0)), "")</f>
        <v/>
      </c>
      <c r="I195" s="24" t="str">
        <f>IFERROR(INDEX('Base Exámenes'!$F$5:$F$154, MATCH(A195, 'Base Exámenes'!$C$5:$C$154, 0)), "")</f>
        <v/>
      </c>
      <c r="J195" s="6" t="str">
        <f>IFERROR(INDEX('Base Exámenes'!$G$5:$G$154, MATCH(A195, 'Base Exámenes'!$C$5:$C$154, 0)), "")</f>
        <v/>
      </c>
      <c r="K195" s="6" t="str">
        <f>IFERROR(INDEX('Base Exámenes'!$H$5:$H$154, MATCH(A195, 'Base Exámenes'!$C$5:$C$154, 0)), "anonymous")</f>
        <v>anonymous</v>
      </c>
    </row>
    <row r="196">
      <c r="A196" s="4" t="str">
        <f>'Base Oficial'!A196</f>
        <v>440</v>
      </c>
      <c r="B196" s="6" t="str">
        <f>'Base Oficial'!B196</f>
        <v>KARLA MERCEDES DELEON DELGADO </v>
      </c>
      <c r="C196" s="6" t="str">
        <f>'Base Oficial'!F196</f>
        <v>AGENCIA CENTRAL  </v>
      </c>
      <c r="D196" s="6" t="str">
        <f>'Base Oficial'!G196</f>
        <v>Gerencia de Negocios (Agencias)</v>
      </c>
      <c r="E196" s="6" t="str">
        <f>'Base Oficial'!D196</f>
        <v>JEFE DE AGENCIA  </v>
      </c>
      <c r="F196" s="4" t="str">
        <f>IF(COUNTIFS('Base Exámenes'!$C$5:$C$154, A196, 'Base Exámenes'!$E$5:$E$154, "&lt;&gt;")&gt;0, "Completado", "Pendiente")</f>
        <v>Pendiente</v>
      </c>
      <c r="G196" s="23" t="str">
        <f>IFERROR(INDEX('Base Exámenes'!$D$5:$D$154, MATCH(A196, 'Base Exámenes'!$C$5:$C$154, 0)), "")</f>
        <v/>
      </c>
      <c r="H196" s="23" t="str">
        <f>IFERROR(INDEX('Base Exámenes'!$E$5:$E$154, MATCH(A196, 'Base Exámenes'!$C$5:$C$154, 0)), "")</f>
        <v/>
      </c>
      <c r="I196" s="24" t="str">
        <f>IFERROR(INDEX('Base Exámenes'!$F$5:$F$154, MATCH(A196, 'Base Exámenes'!$C$5:$C$154, 0)), "")</f>
        <v/>
      </c>
      <c r="J196" s="6" t="str">
        <f>IFERROR(INDEX('Base Exámenes'!$G$5:$G$154, MATCH(A196, 'Base Exámenes'!$C$5:$C$154, 0)), "")</f>
        <v/>
      </c>
      <c r="K196" s="6" t="str">
        <f>IFERROR(INDEX('Base Exámenes'!$H$5:$H$154, MATCH(A196, 'Base Exámenes'!$C$5:$C$154, 0)), "anonymous")</f>
        <v>anonymous</v>
      </c>
    </row>
    <row r="197">
      <c r="A197" s="4" t="str">
        <f>'Base Oficial'!A197</f>
        <v>542</v>
      </c>
      <c r="B197" s="6" t="str">
        <f>'Base Oficial'!B197</f>
        <v>ANA SILVIA ROQUE SANCHEZ </v>
      </c>
      <c r="C197" s="6" t="str">
        <f>'Base Oficial'!F197</f>
        <v>AGENCIA CENTRAL  </v>
      </c>
      <c r="D197" s="6" t="str">
        <f>'Base Oficial'!G197</f>
        <v>Gerencia de Negocios (Agencias)</v>
      </c>
      <c r="E197" s="6" t="str">
        <f>'Base Oficial'!D197</f>
        <v>EJECUTIVA DE SEGUROS</v>
      </c>
      <c r="F197" s="4" t="str">
        <f>IF(COUNTIFS('Base Exámenes'!$C$5:$C$154, A197, 'Base Exámenes'!$E$5:$E$154, "&lt;&gt;")&gt;0, "Completado", "Pendiente")</f>
        <v>Completado</v>
      </c>
      <c r="G197" s="23">
        <f>IFERROR(INDEX('Base Exámenes'!$D$5:$D$154, MATCH(A197, 'Base Exámenes'!$C$5:$C$154, 0)), "")</f>
        <v>46302.63820601852</v>
      </c>
      <c r="H197" s="23">
        <f>IFERROR(INDEX('Base Exámenes'!$E$5:$E$154, MATCH(A197, 'Base Exámenes'!$C$5:$C$154, 0)), "")</f>
        <v>46302.67400462963</v>
      </c>
      <c r="I197" s="24">
        <f>IFERROR(INDEX('Base Exámenes'!$F$5:$F$154, MATCH(A197, 'Base Exámenes'!$C$5:$C$154, 0)), "")</f>
        <v>51.55</v>
      </c>
      <c r="J197" s="6">
        <f>IFERROR(INDEX('Base Exámenes'!$G$5:$G$154, MATCH(A197, 'Base Exámenes'!$C$5:$C$154, 0)), "")</f>
        <v>95</v>
      </c>
      <c r="K197" s="6" t="str">
        <f>IFERROR(INDEX('Base Exámenes'!$H$5:$H$154, MATCH(A197, 'Base Exámenes'!$C$5:$C$154, 0)), "anonymous")</f>
        <v>anonymous</v>
      </c>
    </row>
    <row r="198">
      <c r="A198" s="4" t="str">
        <f>'Base Oficial'!A198</f>
        <v>739</v>
      </c>
      <c r="B198" s="6" t="str">
        <f>'Base Oficial'!B198</f>
        <v>JOHANA PATRICIA LUNA RAMOS </v>
      </c>
      <c r="C198" s="6" t="str">
        <f>'Base Oficial'!F198</f>
        <v>AGENCIA CENTRAL  </v>
      </c>
      <c r="D198" s="6" t="str">
        <f>'Base Oficial'!G198</f>
        <v>Gerencia de Negocios (Agencias)</v>
      </c>
      <c r="E198" s="6" t="str">
        <f>'Base Oficial'!D198</f>
        <v>CAJERO</v>
      </c>
      <c r="F198" s="4" t="str">
        <f>IF(COUNTIFS('Base Exámenes'!$C$5:$C$154, A198, 'Base Exámenes'!$E$5:$E$154, "&lt;&gt;")&gt;0, "Completado", "Pendiente")</f>
        <v>Pendiente</v>
      </c>
      <c r="G198" s="23" t="str">
        <f>IFERROR(INDEX('Base Exámenes'!$D$5:$D$154, MATCH(A198, 'Base Exámenes'!$C$5:$C$154, 0)), "")</f>
        <v/>
      </c>
      <c r="H198" s="23" t="str">
        <f>IFERROR(INDEX('Base Exámenes'!$E$5:$E$154, MATCH(A198, 'Base Exámenes'!$C$5:$C$154, 0)), "")</f>
        <v/>
      </c>
      <c r="I198" s="24" t="str">
        <f>IFERROR(INDEX('Base Exámenes'!$F$5:$F$154, MATCH(A198, 'Base Exámenes'!$C$5:$C$154, 0)), "")</f>
        <v/>
      </c>
      <c r="J198" s="6" t="str">
        <f>IFERROR(INDEX('Base Exámenes'!$G$5:$G$154, MATCH(A198, 'Base Exámenes'!$C$5:$C$154, 0)), "")</f>
        <v/>
      </c>
      <c r="K198" s="6" t="str">
        <f>IFERROR(INDEX('Base Exámenes'!$H$5:$H$154, MATCH(A198, 'Base Exámenes'!$C$5:$C$154, 0)), "anonymous")</f>
        <v>anonymous</v>
      </c>
    </row>
    <row r="199">
      <c r="A199" s="4" t="str">
        <f>'Base Oficial'!A199</f>
        <v>757</v>
      </c>
      <c r="B199" s="6" t="str">
        <f>'Base Oficial'!B199</f>
        <v>MARIA DE LOS ANGELES  OSORIO GIL </v>
      </c>
      <c r="C199" s="6" t="str">
        <f>'Base Oficial'!F199</f>
        <v>AGENCIA CENTRAL  </v>
      </c>
      <c r="D199" s="6" t="str">
        <f>'Base Oficial'!G199</f>
        <v>Gerencia de Negocios (Agencias)</v>
      </c>
      <c r="E199" s="6" t="str">
        <f>'Base Oficial'!D199</f>
        <v>CAJERO</v>
      </c>
      <c r="F199" s="4" t="str">
        <f>IF(COUNTIFS('Base Exámenes'!$C$5:$C$154, A199, 'Base Exámenes'!$E$5:$E$154, "&lt;&gt;")&gt;0, "Completado", "Pendiente")</f>
        <v>Completado</v>
      </c>
      <c r="G199" s="23">
        <f>IFERROR(INDEX('Base Exámenes'!$D$5:$D$154, MATCH(A199, 'Base Exámenes'!$C$5:$C$154, 0)), "")</f>
        <v>46303.441712962966</v>
      </c>
      <c r="H199" s="23">
        <f>IFERROR(INDEX('Base Exámenes'!$E$5:$E$154, MATCH(A199, 'Base Exámenes'!$C$5:$C$154, 0)), "")</f>
        <v>46303.443460648145</v>
      </c>
      <c r="I199" s="24">
        <f>IFERROR(INDEX('Base Exámenes'!$F$5:$F$154, MATCH(A199, 'Base Exámenes'!$C$5:$C$154, 0)), "")</f>
        <v>2.5166666368</v>
      </c>
      <c r="J199" s="6">
        <f>IFERROR(INDEX('Base Exámenes'!$G$5:$G$154, MATCH(A199, 'Base Exámenes'!$C$5:$C$154, 0)), "")</f>
        <v>100</v>
      </c>
      <c r="K199" s="6" t="str">
        <f>IFERROR(INDEX('Base Exámenes'!$H$5:$H$154, MATCH(A199, 'Base Exámenes'!$C$5:$C$154, 0)), "anonymous")</f>
        <v>anonymous</v>
      </c>
    </row>
    <row r="200">
      <c r="A200" s="4" t="str">
        <f>'Base Oficial'!A200</f>
        <v>768</v>
      </c>
      <c r="B200" s="6" t="str">
        <f>'Base Oficial'!B200</f>
        <v>KATHERINE MICHELLE LOPEZ LOPEZ </v>
      </c>
      <c r="C200" s="6" t="str">
        <f>'Base Oficial'!F200</f>
        <v>AGENCIA CENTRAL  </v>
      </c>
      <c r="D200" s="6" t="str">
        <f>'Base Oficial'!G200</f>
        <v>Gerencia de Negocios (Agencias)</v>
      </c>
      <c r="E200" s="6" t="str">
        <f>'Base Oficial'!D200</f>
        <v>AUXILIAR DE OPERACIONES Y ATENCION EN  AGENCIA</v>
      </c>
      <c r="F200" s="4" t="str">
        <f>IF(COUNTIFS('Base Exámenes'!$C$5:$C$154, A200, 'Base Exámenes'!$E$5:$E$154, "&lt;&gt;")&gt;0, "Completado", "Pendiente")</f>
        <v>Pendiente</v>
      </c>
      <c r="G200" s="23" t="str">
        <f>IFERROR(INDEX('Base Exámenes'!$D$5:$D$154, MATCH(A200, 'Base Exámenes'!$C$5:$C$154, 0)), "")</f>
        <v/>
      </c>
      <c r="H200" s="23" t="str">
        <f>IFERROR(INDEX('Base Exámenes'!$E$5:$E$154, MATCH(A200, 'Base Exámenes'!$C$5:$C$154, 0)), "")</f>
        <v/>
      </c>
      <c r="I200" s="24" t="str">
        <f>IFERROR(INDEX('Base Exámenes'!$F$5:$F$154, MATCH(A200, 'Base Exámenes'!$C$5:$C$154, 0)), "")</f>
        <v/>
      </c>
      <c r="J200" s="6" t="str">
        <f>IFERROR(INDEX('Base Exámenes'!$G$5:$G$154, MATCH(A200, 'Base Exámenes'!$C$5:$C$154, 0)), "")</f>
        <v/>
      </c>
      <c r="K200" s="6" t="str">
        <f>IFERROR(INDEX('Base Exámenes'!$H$5:$H$154, MATCH(A200, 'Base Exámenes'!$C$5:$C$154, 0)), "anonymous")</f>
        <v>anonymous</v>
      </c>
    </row>
    <row r="201">
      <c r="A201" s="4" t="str">
        <f>'Base Oficial'!A201</f>
        <v>848</v>
      </c>
      <c r="B201" s="6" t="str">
        <f>'Base Oficial'!B201</f>
        <v>JAZMIN ABIGAIL VASQUEZ AVELAR </v>
      </c>
      <c r="C201" s="6" t="str">
        <f>'Base Oficial'!F201</f>
        <v>AGENCIA CENTRAL  </v>
      </c>
      <c r="D201" s="6" t="str">
        <f>'Base Oficial'!G201</f>
        <v>Gerencia de Negocios (Agencias)</v>
      </c>
      <c r="E201" s="6" t="str">
        <f>'Base Oficial'!D201</f>
        <v>CAJERO</v>
      </c>
      <c r="F201" s="4" t="str">
        <f>IF(COUNTIFS('Base Exámenes'!$C$5:$C$154, A201, 'Base Exámenes'!$E$5:$E$154, "&lt;&gt;")&gt;0, "Completado", "Pendiente")</f>
        <v>Pendiente</v>
      </c>
      <c r="G201" s="23" t="str">
        <f>IFERROR(INDEX('Base Exámenes'!$D$5:$D$154, MATCH(A201, 'Base Exámenes'!$C$5:$C$154, 0)), "")</f>
        <v/>
      </c>
      <c r="H201" s="23" t="str">
        <f>IFERROR(INDEX('Base Exámenes'!$E$5:$E$154, MATCH(A201, 'Base Exámenes'!$C$5:$C$154, 0)), "")</f>
        <v/>
      </c>
      <c r="I201" s="24" t="str">
        <f>IFERROR(INDEX('Base Exámenes'!$F$5:$F$154, MATCH(A201, 'Base Exámenes'!$C$5:$C$154, 0)), "")</f>
        <v/>
      </c>
      <c r="J201" s="6" t="str">
        <f>IFERROR(INDEX('Base Exámenes'!$G$5:$G$154, MATCH(A201, 'Base Exámenes'!$C$5:$C$154, 0)), "")</f>
        <v/>
      </c>
      <c r="K201" s="6" t="str">
        <f>IFERROR(INDEX('Base Exámenes'!$H$5:$H$154, MATCH(A201, 'Base Exámenes'!$C$5:$C$154, 0)), "anonymous")</f>
        <v>anonymous</v>
      </c>
    </row>
    <row r="202">
      <c r="A202" s="4" t="str">
        <f>'Base Oficial'!A202</f>
        <v>857</v>
      </c>
      <c r="B202" s="6" t="str">
        <f>'Base Oficial'!B202</f>
        <v>ESTHER ABIGAIL FLORES GRANDE </v>
      </c>
      <c r="C202" s="6" t="str">
        <f>'Base Oficial'!F202</f>
        <v>AGENCIA CENTRAL  </v>
      </c>
      <c r="D202" s="6" t="str">
        <f>'Base Oficial'!G202</f>
        <v>Gerencia de Negocios (Agencias)</v>
      </c>
      <c r="E202" s="6" t="str">
        <f>'Base Oficial'!D202</f>
        <v>AUXILIAR DE OPERACIONES Y ATENCION EN  AGENCIA</v>
      </c>
      <c r="F202" s="4" t="str">
        <f>IF(COUNTIFS('Base Exámenes'!$C$5:$C$154, A202, 'Base Exámenes'!$E$5:$E$154, "&lt;&gt;")&gt;0, "Completado", "Pendiente")</f>
        <v>Pendiente</v>
      </c>
      <c r="G202" s="23" t="str">
        <f>IFERROR(INDEX('Base Exámenes'!$D$5:$D$154, MATCH(A202, 'Base Exámenes'!$C$5:$C$154, 0)), "")</f>
        <v/>
      </c>
      <c r="H202" s="23" t="str">
        <f>IFERROR(INDEX('Base Exámenes'!$E$5:$E$154, MATCH(A202, 'Base Exámenes'!$C$5:$C$154, 0)), "")</f>
        <v/>
      </c>
      <c r="I202" s="24" t="str">
        <f>IFERROR(INDEX('Base Exámenes'!$F$5:$F$154, MATCH(A202, 'Base Exámenes'!$C$5:$C$154, 0)), "")</f>
        <v/>
      </c>
      <c r="J202" s="6" t="str">
        <f>IFERROR(INDEX('Base Exámenes'!$G$5:$G$154, MATCH(A202, 'Base Exámenes'!$C$5:$C$154, 0)), "")</f>
        <v/>
      </c>
      <c r="K202" s="6" t="str">
        <f>IFERROR(INDEX('Base Exámenes'!$H$5:$H$154, MATCH(A202, 'Base Exámenes'!$C$5:$C$154, 0)), "anonymous")</f>
        <v>anonymous</v>
      </c>
    </row>
    <row r="203">
      <c r="A203" s="4" t="str">
        <f>'Base Oficial'!A203</f>
        <v>953</v>
      </c>
      <c r="B203" s="6" t="str">
        <f>'Base Oficial'!B203</f>
        <v>JESUS ADRIAN MENA AVALOS </v>
      </c>
      <c r="C203" s="6" t="str">
        <f>'Base Oficial'!F203</f>
        <v>AGENCIA CENTRAL  </v>
      </c>
      <c r="D203" s="6" t="str">
        <f>'Base Oficial'!G203</f>
        <v>Gerencia de Negocios (Agencias)</v>
      </c>
      <c r="E203" s="6" t="str">
        <f>'Base Oficial'!D203</f>
        <v>CAJERO</v>
      </c>
      <c r="F203" s="4" t="str">
        <f>IF(COUNTIFS('Base Exámenes'!$C$5:$C$154, A203, 'Base Exámenes'!$E$5:$E$154, "&lt;&gt;")&gt;0, "Completado", "Pendiente")</f>
        <v>Completado</v>
      </c>
      <c r="G203" s="23">
        <f>IFERROR(INDEX('Base Exámenes'!$D$5:$D$154, MATCH(A203, 'Base Exámenes'!$C$5:$C$154, 0)), "")</f>
        <v>46302.62548611111</v>
      </c>
      <c r="H203" s="23">
        <f>IFERROR(INDEX('Base Exámenes'!$E$5:$E$154, MATCH(A203, 'Base Exámenes'!$C$5:$C$154, 0)), "")</f>
        <v>46302.62670138889</v>
      </c>
      <c r="I203" s="24">
        <f>IFERROR(INDEX('Base Exámenes'!$F$5:$F$154, MATCH(A203, 'Base Exámenes'!$C$5:$C$154, 0)), "")</f>
        <v>1.75</v>
      </c>
      <c r="J203" s="6">
        <f>IFERROR(INDEX('Base Exámenes'!$G$5:$G$154, MATCH(A203, 'Base Exámenes'!$C$5:$C$154, 0)), "")</f>
        <v>100</v>
      </c>
      <c r="K203" s="6" t="str">
        <f>IFERROR(INDEX('Base Exámenes'!$H$5:$H$154, MATCH(A203, 'Base Exámenes'!$C$5:$C$154, 0)), "anonymous")</f>
        <v>anonymous</v>
      </c>
    </row>
    <row r="204">
      <c r="A204" s="4" t="str">
        <f>'Base Oficial'!A204</f>
        <v>956</v>
      </c>
      <c r="B204" s="6" t="str">
        <f>'Base Oficial'!B204</f>
        <v>ANGELA GABRIELA  REYES MOLINA </v>
      </c>
      <c r="C204" s="6" t="str">
        <f>'Base Oficial'!F204</f>
        <v>AGENCIA CENTRAL  </v>
      </c>
      <c r="D204" s="6" t="str">
        <f>'Base Oficial'!G204</f>
        <v>Gerencia de Negocios (Agencias)</v>
      </c>
      <c r="E204" s="6" t="str">
        <f>'Base Oficial'!D204</f>
        <v>CAJERO</v>
      </c>
      <c r="F204" s="4" t="str">
        <f>IF(COUNTIFS('Base Exámenes'!$C$5:$C$154, A204, 'Base Exámenes'!$E$5:$E$154, "&lt;&gt;")&gt;0, "Completado", "Pendiente")</f>
        <v>Pendiente</v>
      </c>
      <c r="G204" s="23" t="str">
        <f>IFERROR(INDEX('Base Exámenes'!$D$5:$D$154, MATCH(A204, 'Base Exámenes'!$C$5:$C$154, 0)), "")</f>
        <v/>
      </c>
      <c r="H204" s="23" t="str">
        <f>IFERROR(INDEX('Base Exámenes'!$E$5:$E$154, MATCH(A204, 'Base Exámenes'!$C$5:$C$154, 0)), "")</f>
        <v/>
      </c>
      <c r="I204" s="24" t="str">
        <f>IFERROR(INDEX('Base Exámenes'!$F$5:$F$154, MATCH(A204, 'Base Exámenes'!$C$5:$C$154, 0)), "")</f>
        <v/>
      </c>
      <c r="J204" s="6" t="str">
        <f>IFERROR(INDEX('Base Exámenes'!$G$5:$G$154, MATCH(A204, 'Base Exámenes'!$C$5:$C$154, 0)), "")</f>
        <v/>
      </c>
      <c r="K204" s="6" t="str">
        <f>IFERROR(INDEX('Base Exámenes'!$H$5:$H$154, MATCH(A204, 'Base Exámenes'!$C$5:$C$154, 0)), "anonymous")</f>
        <v>anonymous</v>
      </c>
    </row>
    <row r="205">
      <c r="A205" s="4" t="str">
        <f>'Base Oficial'!A205</f>
        <v>958</v>
      </c>
      <c r="B205" s="6" t="str">
        <f>'Base Oficial'!B205</f>
        <v>ALEXANDRA DANIELA PINEDA JIMENEZ </v>
      </c>
      <c r="C205" s="6" t="str">
        <f>'Base Oficial'!F205</f>
        <v>AGENCIA CENTRAL  </v>
      </c>
      <c r="D205" s="6" t="str">
        <f>'Base Oficial'!G205</f>
        <v>Gerencia de Negocios (Agencias)</v>
      </c>
      <c r="E205" s="6" t="str">
        <f>'Base Oficial'!D205</f>
        <v>AUXILIAR DE ATENCION A  ASOCIADOS</v>
      </c>
      <c r="F205" s="4" t="str">
        <f>IF(COUNTIFS('Base Exámenes'!$C$5:$C$154, A205, 'Base Exámenes'!$E$5:$E$154, "&lt;&gt;")&gt;0, "Completado", "Pendiente")</f>
        <v>Pendiente</v>
      </c>
      <c r="G205" s="23" t="str">
        <f>IFERROR(INDEX('Base Exámenes'!$D$5:$D$154, MATCH(A205, 'Base Exámenes'!$C$5:$C$154, 0)), "")</f>
        <v/>
      </c>
      <c r="H205" s="23" t="str">
        <f>IFERROR(INDEX('Base Exámenes'!$E$5:$E$154, MATCH(A205, 'Base Exámenes'!$C$5:$C$154, 0)), "")</f>
        <v/>
      </c>
      <c r="I205" s="24" t="str">
        <f>IFERROR(INDEX('Base Exámenes'!$F$5:$F$154, MATCH(A205, 'Base Exámenes'!$C$5:$C$154, 0)), "")</f>
        <v/>
      </c>
      <c r="J205" s="6" t="str">
        <f>IFERROR(INDEX('Base Exámenes'!$G$5:$G$154, MATCH(A205, 'Base Exámenes'!$C$5:$C$154, 0)), "")</f>
        <v/>
      </c>
      <c r="K205" s="6" t="str">
        <f>IFERROR(INDEX('Base Exámenes'!$H$5:$H$154, MATCH(A205, 'Base Exámenes'!$C$5:$C$154, 0)), "anonymous")</f>
        <v>anonymous</v>
      </c>
    </row>
    <row r="206">
      <c r="A206" s="4" t="str">
        <f>'Base Oficial'!A206</f>
        <v>960</v>
      </c>
      <c r="B206" s="6" t="str">
        <f>'Base Oficial'!B206</f>
        <v>LORENA DEL CARMEN MEJIA HERRERA </v>
      </c>
      <c r="C206" s="6" t="str">
        <f>'Base Oficial'!F206</f>
        <v>AGENCIA CENTRAL  </v>
      </c>
      <c r="D206" s="6" t="str">
        <f>'Base Oficial'!G206</f>
        <v>Gerencia de Negocios (Agencias)</v>
      </c>
      <c r="E206" s="6" t="str">
        <f>'Base Oficial'!D206</f>
        <v>CAJERO</v>
      </c>
      <c r="F206" s="4" t="str">
        <f>IF(COUNTIFS('Base Exámenes'!$C$5:$C$154, A206, 'Base Exámenes'!$E$5:$E$154, "&lt;&gt;")&gt;0, "Completado", "Pendiente")</f>
        <v>Completado</v>
      </c>
      <c r="G206" s="23">
        <f>IFERROR(INDEX('Base Exámenes'!$D$5:$D$154, MATCH(A206, 'Base Exámenes'!$C$5:$C$154, 0)), "")</f>
        <v>46302.469988425924</v>
      </c>
      <c r="H206" s="23">
        <f>IFERROR(INDEX('Base Exámenes'!$E$5:$E$154, MATCH(A206, 'Base Exámenes'!$C$5:$C$154, 0)), "")</f>
        <v>46302.48327546296</v>
      </c>
      <c r="I206" s="24">
        <f>IFERROR(INDEX('Base Exámenes'!$F$5:$F$154, MATCH(A206, 'Base Exámenes'!$C$5:$C$154, 0)), "")</f>
        <v>19.1333333333333</v>
      </c>
      <c r="J206" s="6">
        <f>IFERROR(INDEX('Base Exámenes'!$G$5:$G$154, MATCH(A206, 'Base Exámenes'!$C$5:$C$154, 0)), "")</f>
        <v>100</v>
      </c>
      <c r="K206" s="6" t="str">
        <f>IFERROR(INDEX('Base Exámenes'!$H$5:$H$154, MATCH(A206, 'Base Exámenes'!$C$5:$C$154, 0)), "anonymous")</f>
        <v>anonymous</v>
      </c>
    </row>
    <row r="207">
      <c r="A207" s="4" t="str">
        <f>'Base Oficial'!A207</f>
        <v>974</v>
      </c>
      <c r="B207" s="6" t="str">
        <f>'Base Oficial'!B207</f>
        <v>LEIDY VANESSA GUZMAN SERVELLON  </v>
      </c>
      <c r="C207" s="6" t="str">
        <f>'Base Oficial'!F207</f>
        <v>AGENCIA CENTRAL  </v>
      </c>
      <c r="D207" s="6" t="str">
        <f>'Base Oficial'!G207</f>
        <v>Gerencia de Negocios (Agencias)</v>
      </c>
      <c r="E207" s="6" t="str">
        <f>'Base Oficial'!D207</f>
        <v>CAJERO</v>
      </c>
      <c r="F207" s="4" t="str">
        <f>IF(COUNTIFS('Base Exámenes'!$C$5:$C$154, A207, 'Base Exámenes'!$E$5:$E$154, "&lt;&gt;")&gt;0, "Completado", "Pendiente")</f>
        <v>Pendiente</v>
      </c>
      <c r="G207" s="23" t="str">
        <f>IFERROR(INDEX('Base Exámenes'!$D$5:$D$154, MATCH(A207, 'Base Exámenes'!$C$5:$C$154, 0)), "")</f>
        <v/>
      </c>
      <c r="H207" s="23" t="str">
        <f>IFERROR(INDEX('Base Exámenes'!$E$5:$E$154, MATCH(A207, 'Base Exámenes'!$C$5:$C$154, 0)), "")</f>
        <v/>
      </c>
      <c r="I207" s="24" t="str">
        <f>IFERROR(INDEX('Base Exámenes'!$F$5:$F$154, MATCH(A207, 'Base Exámenes'!$C$5:$C$154, 0)), "")</f>
        <v/>
      </c>
      <c r="J207" s="6" t="str">
        <f>IFERROR(INDEX('Base Exámenes'!$G$5:$G$154, MATCH(A207, 'Base Exámenes'!$C$5:$C$154, 0)), "")</f>
        <v/>
      </c>
      <c r="K207" s="6" t="str">
        <f>IFERROR(INDEX('Base Exámenes'!$H$5:$H$154, MATCH(A207, 'Base Exámenes'!$C$5:$C$154, 0)), "anonymous")</f>
        <v>anonymous</v>
      </c>
    </row>
    <row r="208">
      <c r="A208" s="4" t="str">
        <f>'Base Oficial'!A208</f>
        <v>976</v>
      </c>
      <c r="B208" s="6" t="str">
        <f>'Base Oficial'!B208</f>
        <v>KEVIN ARTURO ANDRADE PALACIOS </v>
      </c>
      <c r="C208" s="6" t="str">
        <f>'Base Oficial'!F208</f>
        <v>AGENCIA CENTRAL  </v>
      </c>
      <c r="D208" s="6" t="str">
        <f>'Base Oficial'!G208</f>
        <v>Gerencia de Negocios (Agencias)</v>
      </c>
      <c r="E208" s="6" t="str">
        <f>'Base Oficial'!D208</f>
        <v>CAJERO</v>
      </c>
      <c r="F208" s="4" t="str">
        <f>IF(COUNTIFS('Base Exámenes'!$C$5:$C$154, A208, 'Base Exámenes'!$E$5:$E$154, "&lt;&gt;")&gt;0, "Completado", "Pendiente")</f>
        <v>Completado</v>
      </c>
      <c r="G208" s="23">
        <f>IFERROR(INDEX('Base Exámenes'!$D$5:$D$154, MATCH(A208, 'Base Exámenes'!$C$5:$C$154, 0)), "")</f>
        <v>46302.59699074074</v>
      </c>
      <c r="H208" s="23">
        <f>IFERROR(INDEX('Base Exámenes'!$E$5:$E$154, MATCH(A208, 'Base Exámenes'!$C$5:$C$154, 0)), "")</f>
        <v>46302.59866898148</v>
      </c>
      <c r="I208" s="24">
        <f>IFERROR(INDEX('Base Exámenes'!$F$5:$F$154, MATCH(A208, 'Base Exámenes'!$C$5:$C$154, 0)), "")</f>
        <v>2.41666666666667</v>
      </c>
      <c r="J208" s="6">
        <f>IFERROR(INDEX('Base Exámenes'!$G$5:$G$154, MATCH(A208, 'Base Exámenes'!$C$5:$C$154, 0)), "")</f>
        <v>100</v>
      </c>
      <c r="K208" s="6" t="str">
        <f>IFERROR(INDEX('Base Exámenes'!$H$5:$H$154, MATCH(A208, 'Base Exámenes'!$C$5:$C$154, 0)), "anonymous")</f>
        <v>anonymous</v>
      </c>
    </row>
    <row r="209">
      <c r="A209" s="4" t="str">
        <f>'Base Oficial'!A209</f>
        <v>26</v>
      </c>
      <c r="B209" s="6" t="str">
        <f>'Base Oficial'!B209</f>
        <v>FLOR IMELDA VILLALOBOS ARDON</v>
      </c>
      <c r="C209" s="6" t="str">
        <f>'Base Oficial'!F209</f>
        <v>AGENCIA COLEGIO MEDICO </v>
      </c>
      <c r="D209" s="6" t="str">
        <f>'Base Oficial'!G209</f>
        <v>Gerencia de Negocios (Agencias)</v>
      </c>
      <c r="E209" s="6" t="str">
        <f>'Base Oficial'!D209</f>
        <v>EJECUTIVO DE NEGOCIOS</v>
      </c>
      <c r="F209" s="4" t="str">
        <f>IF(COUNTIFS('Base Exámenes'!$C$5:$C$154, A209, 'Base Exámenes'!$E$5:$E$154, "&lt;&gt;")&gt;0, "Completado", "Pendiente")</f>
        <v>Pendiente</v>
      </c>
      <c r="G209" s="23" t="str">
        <f>IFERROR(INDEX('Base Exámenes'!$D$5:$D$154, MATCH(A209, 'Base Exámenes'!$C$5:$C$154, 0)), "")</f>
        <v/>
      </c>
      <c r="H209" s="23" t="str">
        <f>IFERROR(INDEX('Base Exámenes'!$E$5:$E$154, MATCH(A209, 'Base Exámenes'!$C$5:$C$154, 0)), "")</f>
        <v/>
      </c>
      <c r="I209" s="24" t="str">
        <f>IFERROR(INDEX('Base Exámenes'!$F$5:$F$154, MATCH(A209, 'Base Exámenes'!$C$5:$C$154, 0)), "")</f>
        <v/>
      </c>
      <c r="J209" s="6" t="str">
        <f>IFERROR(INDEX('Base Exámenes'!$G$5:$G$154, MATCH(A209, 'Base Exámenes'!$C$5:$C$154, 0)), "")</f>
        <v/>
      </c>
      <c r="K209" s="6" t="str">
        <f>IFERROR(INDEX('Base Exámenes'!$H$5:$H$154, MATCH(A209, 'Base Exámenes'!$C$5:$C$154, 0)), "anonymous")</f>
        <v>anonymous</v>
      </c>
    </row>
    <row r="210">
      <c r="A210" s="4" t="str">
        <f>'Base Oficial'!A210</f>
        <v>29</v>
      </c>
      <c r="B210" s="6" t="str">
        <f>'Base Oficial'!B210</f>
        <v>YANIRA ELIZABETH ORTEGA MIRANDA</v>
      </c>
      <c r="C210" s="6" t="str">
        <f>'Base Oficial'!F210</f>
        <v>AGENCIA COLEGIO MEDICO </v>
      </c>
      <c r="D210" s="6" t="str">
        <f>'Base Oficial'!G210</f>
        <v>Gerencia de Negocios (Agencias)</v>
      </c>
      <c r="E210" s="6" t="str">
        <f>'Base Oficial'!D210</f>
        <v>SUBJEFE DE  AGENCIA</v>
      </c>
      <c r="F210" s="4" t="str">
        <f>IF(COUNTIFS('Base Exámenes'!$C$5:$C$154, A210, 'Base Exámenes'!$E$5:$E$154, "&lt;&gt;")&gt;0, "Completado", "Pendiente")</f>
        <v>Pendiente</v>
      </c>
      <c r="G210" s="23" t="str">
        <f>IFERROR(INDEX('Base Exámenes'!$D$5:$D$154, MATCH(A210, 'Base Exámenes'!$C$5:$C$154, 0)), "")</f>
        <v/>
      </c>
      <c r="H210" s="23" t="str">
        <f>IFERROR(INDEX('Base Exámenes'!$E$5:$E$154, MATCH(A210, 'Base Exámenes'!$C$5:$C$154, 0)), "")</f>
        <v/>
      </c>
      <c r="I210" s="24" t="str">
        <f>IFERROR(INDEX('Base Exámenes'!$F$5:$F$154, MATCH(A210, 'Base Exámenes'!$C$5:$C$154, 0)), "")</f>
        <v/>
      </c>
      <c r="J210" s="6" t="str">
        <f>IFERROR(INDEX('Base Exámenes'!$G$5:$G$154, MATCH(A210, 'Base Exámenes'!$C$5:$C$154, 0)), "")</f>
        <v/>
      </c>
      <c r="K210" s="6" t="str">
        <f>IFERROR(INDEX('Base Exámenes'!$H$5:$H$154, MATCH(A210, 'Base Exámenes'!$C$5:$C$154, 0)), "anonymous")</f>
        <v>anonymous</v>
      </c>
    </row>
    <row r="211">
      <c r="A211" s="4" t="str">
        <f>'Base Oficial'!A211</f>
        <v>190</v>
      </c>
      <c r="B211" s="6" t="str">
        <f>'Base Oficial'!B211</f>
        <v>MERCI ANTONIA CERON MEJIA </v>
      </c>
      <c r="C211" s="6" t="str">
        <f>'Base Oficial'!F211</f>
        <v>AGENCIA COLEGIO MEDICO </v>
      </c>
      <c r="D211" s="6" t="str">
        <f>'Base Oficial'!G211</f>
        <v>Gerencia de Negocios (Agencias)</v>
      </c>
      <c r="E211" s="6" t="str">
        <f>'Base Oficial'!D211</f>
        <v>EJECUTIVO DE NEGOCIOS</v>
      </c>
      <c r="F211" s="4" t="str">
        <f>IF(COUNTIFS('Base Exámenes'!$C$5:$C$154, A211, 'Base Exámenes'!$E$5:$E$154, "&lt;&gt;")&gt;0, "Completado", "Pendiente")</f>
        <v>Pendiente</v>
      </c>
      <c r="G211" s="23" t="str">
        <f>IFERROR(INDEX('Base Exámenes'!$D$5:$D$154, MATCH(A211, 'Base Exámenes'!$C$5:$C$154, 0)), "")</f>
        <v/>
      </c>
      <c r="H211" s="23" t="str">
        <f>IFERROR(INDEX('Base Exámenes'!$E$5:$E$154, MATCH(A211, 'Base Exámenes'!$C$5:$C$154, 0)), "")</f>
        <v/>
      </c>
      <c r="I211" s="24" t="str">
        <f>IFERROR(INDEX('Base Exámenes'!$F$5:$F$154, MATCH(A211, 'Base Exámenes'!$C$5:$C$154, 0)), "")</f>
        <v/>
      </c>
      <c r="J211" s="6" t="str">
        <f>IFERROR(INDEX('Base Exámenes'!$G$5:$G$154, MATCH(A211, 'Base Exámenes'!$C$5:$C$154, 0)), "")</f>
        <v/>
      </c>
      <c r="K211" s="6" t="str">
        <f>IFERROR(INDEX('Base Exámenes'!$H$5:$H$154, MATCH(A211, 'Base Exámenes'!$C$5:$C$154, 0)), "anonymous")</f>
        <v>anonymous</v>
      </c>
    </row>
    <row r="212">
      <c r="A212" s="4" t="str">
        <f>'Base Oficial'!A212</f>
        <v>360</v>
      </c>
      <c r="B212" s="6" t="str">
        <f>'Base Oficial'!B212</f>
        <v>PATRICIA ESMERALDA PORTILLO  CESPEDES</v>
      </c>
      <c r="C212" s="6" t="str">
        <f>'Base Oficial'!F212</f>
        <v>AGENCIA COLEGIO MEDICO </v>
      </c>
      <c r="D212" s="6" t="str">
        <f>'Base Oficial'!G212</f>
        <v>Gerencia de Negocios (Agencias)</v>
      </c>
      <c r="E212" s="6" t="str">
        <f>'Base Oficial'!D212</f>
        <v>JEFE DE AGENCIA  </v>
      </c>
      <c r="F212" s="4" t="str">
        <f>IF(COUNTIFS('Base Exámenes'!$C$5:$C$154, A212, 'Base Exámenes'!$E$5:$E$154, "&lt;&gt;")&gt;0, "Completado", "Pendiente")</f>
        <v>Completado</v>
      </c>
      <c r="G212" s="23">
        <f>IFERROR(INDEX('Base Exámenes'!$D$5:$D$154, MATCH(A212, 'Base Exámenes'!$C$5:$C$154, 0)), "")</f>
        <v>46296.47090277778</v>
      </c>
      <c r="H212" s="23">
        <f>IFERROR(INDEX('Base Exámenes'!$E$5:$E$154, MATCH(A212, 'Base Exámenes'!$C$5:$C$154, 0)), "")</f>
        <v>46296.47634259259</v>
      </c>
      <c r="I212" s="24">
        <f>IFERROR(INDEX('Base Exámenes'!$F$5:$F$154, MATCH(A212, 'Base Exámenes'!$C$5:$C$154, 0)), "")</f>
        <v>7.83333333333333</v>
      </c>
      <c r="J212" s="6">
        <f>IFERROR(INDEX('Base Exámenes'!$G$5:$G$154, MATCH(A212, 'Base Exámenes'!$C$5:$C$154, 0)), "")</f>
        <v>100</v>
      </c>
      <c r="K212" s="6" t="str">
        <f>IFERROR(INDEX('Base Exámenes'!$H$5:$H$154, MATCH(A212, 'Base Exámenes'!$C$5:$C$154, 0)), "anonymous")</f>
        <v>anonymous</v>
      </c>
    </row>
    <row r="213">
      <c r="A213" s="4" t="str">
        <f>'Base Oficial'!A213</f>
        <v>466</v>
      </c>
      <c r="B213" s="6" t="str">
        <f>'Base Oficial'!B213</f>
        <v>DORIS ELISA HERNANDEZ </v>
      </c>
      <c r="C213" s="6" t="str">
        <f>'Base Oficial'!F213</f>
        <v>AGENCIA COLEGIO MEDICO </v>
      </c>
      <c r="D213" s="6" t="str">
        <f>'Base Oficial'!G213</f>
        <v>Gerencia de Negocios (Agencias)</v>
      </c>
      <c r="E213" s="6" t="str">
        <f>'Base Oficial'!D213</f>
        <v>SERVICIOS VARIOS</v>
      </c>
      <c r="F213" s="4" t="str">
        <f>IF(COUNTIFS('Base Exámenes'!$C$5:$C$154, A213, 'Base Exámenes'!$E$5:$E$154, "&lt;&gt;")&gt;0, "Completado", "Pendiente")</f>
        <v>Pendiente</v>
      </c>
      <c r="G213" s="23" t="str">
        <f>IFERROR(INDEX('Base Exámenes'!$D$5:$D$154, MATCH(A213, 'Base Exámenes'!$C$5:$C$154, 0)), "")</f>
        <v/>
      </c>
      <c r="H213" s="23" t="str">
        <f>IFERROR(INDEX('Base Exámenes'!$E$5:$E$154, MATCH(A213, 'Base Exámenes'!$C$5:$C$154, 0)), "")</f>
        <v/>
      </c>
      <c r="I213" s="24" t="str">
        <f>IFERROR(INDEX('Base Exámenes'!$F$5:$F$154, MATCH(A213, 'Base Exámenes'!$C$5:$C$154, 0)), "")</f>
        <v/>
      </c>
      <c r="J213" s="6" t="str">
        <f>IFERROR(INDEX('Base Exámenes'!$G$5:$G$154, MATCH(A213, 'Base Exámenes'!$C$5:$C$154, 0)), "")</f>
        <v/>
      </c>
      <c r="K213" s="6" t="str">
        <f>IFERROR(INDEX('Base Exámenes'!$H$5:$H$154, MATCH(A213, 'Base Exámenes'!$C$5:$C$154, 0)), "anonymous")</f>
        <v>anonymous</v>
      </c>
    </row>
    <row r="214">
      <c r="A214" s="4" t="str">
        <f>'Base Oficial'!A214</f>
        <v>536</v>
      </c>
      <c r="B214" s="6" t="str">
        <f>'Base Oficial'!B214</f>
        <v>MARTHA ESPERANZA VALTEZ GARCIA </v>
      </c>
      <c r="C214" s="6" t="str">
        <f>'Base Oficial'!F214</f>
        <v>AGENCIA COLEGIO MEDICO </v>
      </c>
      <c r="D214" s="6" t="str">
        <f>'Base Oficial'!G214</f>
        <v>Gerencia de Negocios (Agencias)</v>
      </c>
      <c r="E214" s="6" t="str">
        <f>'Base Oficial'!D214</f>
        <v>CAJERO</v>
      </c>
      <c r="F214" s="4" t="str">
        <f>IF(COUNTIFS('Base Exámenes'!$C$5:$C$154, A214, 'Base Exámenes'!$E$5:$E$154, "&lt;&gt;")&gt;0, "Completado", "Pendiente")</f>
        <v>Pendiente</v>
      </c>
      <c r="G214" s="23" t="str">
        <f>IFERROR(INDEX('Base Exámenes'!$D$5:$D$154, MATCH(A214, 'Base Exámenes'!$C$5:$C$154, 0)), "")</f>
        <v/>
      </c>
      <c r="H214" s="23" t="str">
        <f>IFERROR(INDEX('Base Exámenes'!$E$5:$E$154, MATCH(A214, 'Base Exámenes'!$C$5:$C$154, 0)), "")</f>
        <v/>
      </c>
      <c r="I214" s="24" t="str">
        <f>IFERROR(INDEX('Base Exámenes'!$F$5:$F$154, MATCH(A214, 'Base Exámenes'!$C$5:$C$154, 0)), "")</f>
        <v/>
      </c>
      <c r="J214" s="6" t="str">
        <f>IFERROR(INDEX('Base Exámenes'!$G$5:$G$154, MATCH(A214, 'Base Exámenes'!$C$5:$C$154, 0)), "")</f>
        <v/>
      </c>
      <c r="K214" s="6" t="str">
        <f>IFERROR(INDEX('Base Exámenes'!$H$5:$H$154, MATCH(A214, 'Base Exámenes'!$C$5:$C$154, 0)), "anonymous")</f>
        <v>anonymous</v>
      </c>
    </row>
    <row r="215">
      <c r="A215" s="4" t="str">
        <f>'Base Oficial'!A215</f>
        <v>543</v>
      </c>
      <c r="B215" s="6" t="str">
        <f>'Base Oficial'!B215</f>
        <v>CLAUDIA ELENA GUARDADO VARELA</v>
      </c>
      <c r="C215" s="6" t="str">
        <f>'Base Oficial'!F215</f>
        <v>AGENCIA COLEGIO MEDICO </v>
      </c>
      <c r="D215" s="6" t="str">
        <f>'Base Oficial'!G215</f>
        <v>Gerencia de Negocios (Agencias)</v>
      </c>
      <c r="E215" s="6" t="str">
        <f>'Base Oficial'!D215</f>
        <v>EJECUTIVA DE SEGUROS</v>
      </c>
      <c r="F215" s="4" t="str">
        <f>IF(COUNTIFS('Base Exámenes'!$C$5:$C$154, A215, 'Base Exámenes'!$E$5:$E$154, "&lt;&gt;")&gt;0, "Completado", "Pendiente")</f>
        <v>Pendiente</v>
      </c>
      <c r="G215" s="23" t="str">
        <f>IFERROR(INDEX('Base Exámenes'!$D$5:$D$154, MATCH(A215, 'Base Exámenes'!$C$5:$C$154, 0)), "")</f>
        <v/>
      </c>
      <c r="H215" s="23" t="str">
        <f>IFERROR(INDEX('Base Exámenes'!$E$5:$E$154, MATCH(A215, 'Base Exámenes'!$C$5:$C$154, 0)), "")</f>
        <v/>
      </c>
      <c r="I215" s="24" t="str">
        <f>IFERROR(INDEX('Base Exámenes'!$F$5:$F$154, MATCH(A215, 'Base Exámenes'!$C$5:$C$154, 0)), "")</f>
        <v/>
      </c>
      <c r="J215" s="6" t="str">
        <f>IFERROR(INDEX('Base Exámenes'!$G$5:$G$154, MATCH(A215, 'Base Exámenes'!$C$5:$C$154, 0)), "")</f>
        <v/>
      </c>
      <c r="K215" s="6" t="str">
        <f>IFERROR(INDEX('Base Exámenes'!$H$5:$H$154, MATCH(A215, 'Base Exámenes'!$C$5:$C$154, 0)), "anonymous")</f>
        <v>anonymous</v>
      </c>
    </row>
    <row r="216">
      <c r="A216" s="4" t="str">
        <f>'Base Oficial'!A216</f>
        <v>811</v>
      </c>
      <c r="B216" s="6" t="str">
        <f>'Base Oficial'!B216</f>
        <v>JACQUELINE ADRIANA CHAVEZ SARAVIA </v>
      </c>
      <c r="C216" s="6" t="str">
        <f>'Base Oficial'!F216</f>
        <v>AGENCIA COLEGIO MEDICO </v>
      </c>
      <c r="D216" s="6" t="str">
        <f>'Base Oficial'!G216</f>
        <v>Gerencia de Negocios (Agencias)</v>
      </c>
      <c r="E216" s="6" t="str">
        <f>'Base Oficial'!D216</f>
        <v>CAJERO</v>
      </c>
      <c r="F216" s="4" t="str">
        <f>IF(COUNTIFS('Base Exámenes'!$C$5:$C$154, A216, 'Base Exámenes'!$E$5:$E$154, "&lt;&gt;")&gt;0, "Completado", "Pendiente")</f>
        <v>Pendiente</v>
      </c>
      <c r="G216" s="23" t="str">
        <f>IFERROR(INDEX('Base Exámenes'!$D$5:$D$154, MATCH(A216, 'Base Exámenes'!$C$5:$C$154, 0)), "")</f>
        <v/>
      </c>
      <c r="H216" s="23" t="str">
        <f>IFERROR(INDEX('Base Exámenes'!$E$5:$E$154, MATCH(A216, 'Base Exámenes'!$C$5:$C$154, 0)), "")</f>
        <v/>
      </c>
      <c r="I216" s="24" t="str">
        <f>IFERROR(INDEX('Base Exámenes'!$F$5:$F$154, MATCH(A216, 'Base Exámenes'!$C$5:$C$154, 0)), "")</f>
        <v/>
      </c>
      <c r="J216" s="6" t="str">
        <f>IFERROR(INDEX('Base Exámenes'!$G$5:$G$154, MATCH(A216, 'Base Exámenes'!$C$5:$C$154, 0)), "")</f>
        <v/>
      </c>
      <c r="K216" s="6" t="str">
        <f>IFERROR(INDEX('Base Exámenes'!$H$5:$H$154, MATCH(A216, 'Base Exámenes'!$C$5:$C$154, 0)), "anonymous")</f>
        <v>anonymous</v>
      </c>
    </row>
    <row r="217">
      <c r="A217" s="4" t="str">
        <f>'Base Oficial'!A217</f>
        <v>841</v>
      </c>
      <c r="B217" s="6" t="str">
        <f>'Base Oficial'!B217</f>
        <v>KRISSIA ANDREA  DOMINGUEZ OSORIO </v>
      </c>
      <c r="C217" s="6" t="str">
        <f>'Base Oficial'!F217</f>
        <v>AGENCIA COLEGIO MEDICO </v>
      </c>
      <c r="D217" s="6" t="str">
        <f>'Base Oficial'!G217</f>
        <v>Gerencia de Negocios (Agencias)</v>
      </c>
      <c r="E217" s="6" t="str">
        <f>'Base Oficial'!D217</f>
        <v>CAJERO</v>
      </c>
      <c r="F217" s="4" t="str">
        <f>IF(COUNTIFS('Base Exámenes'!$C$5:$C$154, A217, 'Base Exámenes'!$E$5:$E$154, "&lt;&gt;")&gt;0, "Completado", "Pendiente")</f>
        <v>Pendiente</v>
      </c>
      <c r="G217" s="23" t="str">
        <f>IFERROR(INDEX('Base Exámenes'!$D$5:$D$154, MATCH(A217, 'Base Exámenes'!$C$5:$C$154, 0)), "")</f>
        <v/>
      </c>
      <c r="H217" s="23" t="str">
        <f>IFERROR(INDEX('Base Exámenes'!$E$5:$E$154, MATCH(A217, 'Base Exámenes'!$C$5:$C$154, 0)), "")</f>
        <v/>
      </c>
      <c r="I217" s="24" t="str">
        <f>IFERROR(INDEX('Base Exámenes'!$F$5:$F$154, MATCH(A217, 'Base Exámenes'!$C$5:$C$154, 0)), "")</f>
        <v/>
      </c>
      <c r="J217" s="6" t="str">
        <f>IFERROR(INDEX('Base Exámenes'!$G$5:$G$154, MATCH(A217, 'Base Exámenes'!$C$5:$C$154, 0)), "")</f>
        <v/>
      </c>
      <c r="K217" s="6" t="str">
        <f>IFERROR(INDEX('Base Exámenes'!$H$5:$H$154, MATCH(A217, 'Base Exámenes'!$C$5:$C$154, 0)), "anonymous")</f>
        <v>anonymous</v>
      </c>
    </row>
    <row r="218">
      <c r="A218" s="4" t="str">
        <f>'Base Oficial'!A218</f>
        <v>890</v>
      </c>
      <c r="B218" s="6" t="str">
        <f>'Base Oficial'!B218</f>
        <v>WILBER ERNESTO DIAZ GONZALEZ </v>
      </c>
      <c r="C218" s="6" t="str">
        <f>'Base Oficial'!F218</f>
        <v>AGENCIA COLEGIO MEDICO </v>
      </c>
      <c r="D218" s="6" t="str">
        <f>'Base Oficial'!G218</f>
        <v>Gerencia de Negocios (Agencias)</v>
      </c>
      <c r="E218" s="6" t="str">
        <f>'Base Oficial'!D218</f>
        <v>CAJERO</v>
      </c>
      <c r="F218" s="4" t="str">
        <f>IF(COUNTIFS('Base Exámenes'!$C$5:$C$154, A218, 'Base Exámenes'!$E$5:$E$154, "&lt;&gt;")&gt;0, "Completado", "Pendiente")</f>
        <v>Pendiente</v>
      </c>
      <c r="G218" s="23" t="str">
        <f>IFERROR(INDEX('Base Exámenes'!$D$5:$D$154, MATCH(A218, 'Base Exámenes'!$C$5:$C$154, 0)), "")</f>
        <v/>
      </c>
      <c r="H218" s="23" t="str">
        <f>IFERROR(INDEX('Base Exámenes'!$E$5:$E$154, MATCH(A218, 'Base Exámenes'!$C$5:$C$154, 0)), "")</f>
        <v/>
      </c>
      <c r="I218" s="24" t="str">
        <f>IFERROR(INDEX('Base Exámenes'!$F$5:$F$154, MATCH(A218, 'Base Exámenes'!$C$5:$C$154, 0)), "")</f>
        <v/>
      </c>
      <c r="J218" s="6" t="str">
        <f>IFERROR(INDEX('Base Exámenes'!$G$5:$G$154, MATCH(A218, 'Base Exámenes'!$C$5:$C$154, 0)), "")</f>
        <v/>
      </c>
      <c r="K218" s="6" t="str">
        <f>IFERROR(INDEX('Base Exámenes'!$H$5:$H$154, MATCH(A218, 'Base Exámenes'!$C$5:$C$154, 0)), "anonymous")</f>
        <v>anonymous</v>
      </c>
    </row>
    <row r="219">
      <c r="A219" s="4" t="str">
        <f>'Base Oficial'!A219</f>
        <v>971</v>
      </c>
      <c r="B219" s="6" t="str">
        <f>'Base Oficial'!B219</f>
        <v>JAQUELIN JAZMIN ROMERO FLORES </v>
      </c>
      <c r="C219" s="6" t="str">
        <f>'Base Oficial'!F219</f>
        <v>AGENCIA COLEGIO MEDICO </v>
      </c>
      <c r="D219" s="6" t="str">
        <f>'Base Oficial'!G219</f>
        <v>Gerencia de Negocios (Agencias)</v>
      </c>
      <c r="E219" s="6" t="str">
        <f>'Base Oficial'!D219</f>
        <v>CAJERO</v>
      </c>
      <c r="F219" s="4" t="str">
        <f>IF(COUNTIFS('Base Exámenes'!$C$5:$C$154, A219, 'Base Exámenes'!$E$5:$E$154, "&lt;&gt;")&gt;0, "Completado", "Pendiente")</f>
        <v>Pendiente</v>
      </c>
      <c r="G219" s="23" t="str">
        <f>IFERROR(INDEX('Base Exámenes'!$D$5:$D$154, MATCH(A219, 'Base Exámenes'!$C$5:$C$154, 0)), "")</f>
        <v/>
      </c>
      <c r="H219" s="23" t="str">
        <f>IFERROR(INDEX('Base Exámenes'!$E$5:$E$154, MATCH(A219, 'Base Exámenes'!$C$5:$C$154, 0)), "")</f>
        <v/>
      </c>
      <c r="I219" s="24" t="str">
        <f>IFERROR(INDEX('Base Exámenes'!$F$5:$F$154, MATCH(A219, 'Base Exámenes'!$C$5:$C$154, 0)), "")</f>
        <v/>
      </c>
      <c r="J219" s="6" t="str">
        <f>IFERROR(INDEX('Base Exámenes'!$G$5:$G$154, MATCH(A219, 'Base Exámenes'!$C$5:$C$154, 0)), "")</f>
        <v/>
      </c>
      <c r="K219" s="6" t="str">
        <f>IFERROR(INDEX('Base Exámenes'!$H$5:$H$154, MATCH(A219, 'Base Exámenes'!$C$5:$C$154, 0)), "anonymous")</f>
        <v>anonymous</v>
      </c>
    </row>
    <row r="220">
      <c r="A220" s="4" t="str">
        <f>'Base Oficial'!A220</f>
        <v>975</v>
      </c>
      <c r="B220" s="6" t="str">
        <f>'Base Oficial'!B220</f>
        <v>GABRIELA CONCEPCION GARCIA GUTIERREZ </v>
      </c>
      <c r="C220" s="6" t="str">
        <f>'Base Oficial'!F220</f>
        <v>AGENCIA COLEGIO MEDICO </v>
      </c>
      <c r="D220" s="6" t="str">
        <f>'Base Oficial'!G220</f>
        <v>Gerencia de Negocios (Agencias)</v>
      </c>
      <c r="E220" s="6" t="str">
        <f>'Base Oficial'!D220</f>
        <v>AUXILIAR DE ATENCION AL ASOCIADO EN AGENCIA</v>
      </c>
      <c r="F220" s="4" t="str">
        <f>IF(COUNTIFS('Base Exámenes'!$C$5:$C$154, A220, 'Base Exámenes'!$E$5:$E$154, "&lt;&gt;")&gt;0, "Completado", "Pendiente")</f>
        <v>Pendiente</v>
      </c>
      <c r="G220" s="23" t="str">
        <f>IFERROR(INDEX('Base Exámenes'!$D$5:$D$154, MATCH(A220, 'Base Exámenes'!$C$5:$C$154, 0)), "")</f>
        <v/>
      </c>
      <c r="H220" s="23" t="str">
        <f>IFERROR(INDEX('Base Exámenes'!$E$5:$E$154, MATCH(A220, 'Base Exámenes'!$C$5:$C$154, 0)), "")</f>
        <v/>
      </c>
      <c r="I220" s="24" t="str">
        <f>IFERROR(INDEX('Base Exámenes'!$F$5:$F$154, MATCH(A220, 'Base Exámenes'!$C$5:$C$154, 0)), "")</f>
        <v/>
      </c>
      <c r="J220" s="6" t="str">
        <f>IFERROR(INDEX('Base Exámenes'!$G$5:$G$154, MATCH(A220, 'Base Exámenes'!$C$5:$C$154, 0)), "")</f>
        <v/>
      </c>
      <c r="K220" s="6" t="str">
        <f>IFERROR(INDEX('Base Exámenes'!$H$5:$H$154, MATCH(A220, 'Base Exámenes'!$C$5:$C$154, 0)), "anonymous")</f>
        <v>anonymous</v>
      </c>
    </row>
    <row r="221">
      <c r="A221" s="4" t="str">
        <f>'Base Oficial'!A221</f>
        <v>197</v>
      </c>
      <c r="B221" s="6" t="str">
        <f>'Base Oficial'!B221</f>
        <v>THELMA ESPERANZA FIGUEROA SORTO</v>
      </c>
      <c r="C221" s="6" t="str">
        <f>'Base Oficial'!F221</f>
        <v>AGENCIA SAN  MIGUEL  </v>
      </c>
      <c r="D221" s="6" t="str">
        <f>'Base Oficial'!G221</f>
        <v>Gerencia de Negocios (Agencias)</v>
      </c>
      <c r="E221" s="6" t="str">
        <f>'Base Oficial'!D221</f>
        <v>EJECUTIVO DE NEGOCIOS</v>
      </c>
      <c r="F221" s="4" t="str">
        <f>IF(COUNTIFS('Base Exámenes'!$C$5:$C$154, A221, 'Base Exámenes'!$E$5:$E$154, "&lt;&gt;")&gt;0, "Completado", "Pendiente")</f>
        <v>Completado</v>
      </c>
      <c r="G221" s="23">
        <f>IFERROR(INDEX('Base Exámenes'!$D$5:$D$154, MATCH(A221, 'Base Exámenes'!$C$5:$C$154, 0)), "")</f>
        <v>46296.43491898148</v>
      </c>
      <c r="H221" s="23">
        <f>IFERROR(INDEX('Base Exámenes'!$E$5:$E$154, MATCH(A221, 'Base Exámenes'!$C$5:$C$154, 0)), "")</f>
        <v>46296.44064814815</v>
      </c>
      <c r="I221" s="24">
        <f>IFERROR(INDEX('Base Exámenes'!$F$5:$F$154, MATCH(A221, 'Base Exámenes'!$C$5:$C$154, 0)), "")</f>
        <v>8.25</v>
      </c>
      <c r="J221" s="6">
        <f>IFERROR(INDEX('Base Exámenes'!$G$5:$G$154, MATCH(A221, 'Base Exámenes'!$C$5:$C$154, 0)), "")</f>
        <v>100</v>
      </c>
      <c r="K221" s="6" t="str">
        <f>IFERROR(INDEX('Base Exámenes'!$H$5:$H$154, MATCH(A221, 'Base Exámenes'!$C$5:$C$154, 0)), "anonymous")</f>
        <v>anonymous</v>
      </c>
    </row>
    <row r="222">
      <c r="A222" s="4" t="str">
        <f>'Base Oficial'!A222</f>
        <v>200</v>
      </c>
      <c r="B222" s="6" t="str">
        <f>'Base Oficial'!B222</f>
        <v>JOSE MANUEL SERRANO ROVIRA </v>
      </c>
      <c r="C222" s="6" t="str">
        <f>'Base Oficial'!F222</f>
        <v>AGENCIA SAN  MIGUEL  </v>
      </c>
      <c r="D222" s="6" t="str">
        <f>'Base Oficial'!G222</f>
        <v>Gerencia de Negocios (Agencias)</v>
      </c>
      <c r="E222" s="6" t="str">
        <f>'Base Oficial'!D222</f>
        <v>JEFE DE AGENCIA  </v>
      </c>
      <c r="F222" s="4" t="str">
        <f>IF(COUNTIFS('Base Exámenes'!$C$5:$C$154, A222, 'Base Exámenes'!$E$5:$E$154, "&lt;&gt;")&gt;0, "Completado", "Pendiente")</f>
        <v>Completado</v>
      </c>
      <c r="G222" s="23">
        <f>IFERROR(INDEX('Base Exámenes'!$D$5:$D$154, MATCH(A222, 'Base Exámenes'!$C$5:$C$154, 0)), "")</f>
        <v>46296.48715277778</v>
      </c>
      <c r="H222" s="23">
        <f>IFERROR(INDEX('Base Exámenes'!$E$5:$E$154, MATCH(A222, 'Base Exámenes'!$C$5:$C$154, 0)), "")</f>
        <v>46296.49199074074</v>
      </c>
      <c r="I222" s="24">
        <f>IFERROR(INDEX('Base Exámenes'!$F$5:$F$154, MATCH(A222, 'Base Exámenes'!$C$5:$C$154, 0)), "")</f>
        <v>6.96666666666667</v>
      </c>
      <c r="J222" s="6">
        <f>IFERROR(INDEX('Base Exámenes'!$G$5:$G$154, MATCH(A222, 'Base Exámenes'!$C$5:$C$154, 0)), "")</f>
        <v>90</v>
      </c>
      <c r="K222" s="6" t="str">
        <f>IFERROR(INDEX('Base Exámenes'!$H$5:$H$154, MATCH(A222, 'Base Exámenes'!$C$5:$C$154, 0)), "anonymous")</f>
        <v>anonymous</v>
      </c>
    </row>
    <row r="223">
      <c r="A223" s="4" t="str">
        <f>'Base Oficial'!A223</f>
        <v>390</v>
      </c>
      <c r="B223" s="6" t="str">
        <f>'Base Oficial'!B223</f>
        <v>MARTHA LORENA GONZALEZ GONZALEZ </v>
      </c>
      <c r="C223" s="6" t="str">
        <f>'Base Oficial'!F223</f>
        <v>AGENCIA SAN  MIGUEL  </v>
      </c>
      <c r="D223" s="6" t="str">
        <f>'Base Oficial'!G223</f>
        <v>Gerencia de Negocios (Agencias)</v>
      </c>
      <c r="E223" s="6" t="str">
        <f>'Base Oficial'!D223</f>
        <v>AUXILIAR DE OPERACIONES Y ATENCION EN  AGENCIA</v>
      </c>
      <c r="F223" s="4" t="str">
        <f>IF(COUNTIFS('Base Exámenes'!$C$5:$C$154, A223, 'Base Exámenes'!$E$5:$E$154, "&lt;&gt;")&gt;0, "Completado", "Pendiente")</f>
        <v>Completado</v>
      </c>
      <c r="G223" s="23">
        <f>IFERROR(INDEX('Base Exámenes'!$D$5:$D$154, MATCH(A223, 'Base Exámenes'!$C$5:$C$154, 0)), "")</f>
        <v>46296.44636574074</v>
      </c>
      <c r="H223" s="23">
        <f>IFERROR(INDEX('Base Exámenes'!$E$5:$E$154, MATCH(A223, 'Base Exámenes'!$C$5:$C$154, 0)), "")</f>
        <v>46296.44844907407</v>
      </c>
      <c r="I223" s="24">
        <f>IFERROR(INDEX('Base Exámenes'!$F$5:$F$154, MATCH(A223, 'Base Exámenes'!$C$5:$C$154, 0)), "")</f>
        <v>3</v>
      </c>
      <c r="J223" s="6">
        <f>IFERROR(INDEX('Base Exámenes'!$G$5:$G$154, MATCH(A223, 'Base Exámenes'!$C$5:$C$154, 0)), "")</f>
        <v>100</v>
      </c>
      <c r="K223" s="6" t="str">
        <f>IFERROR(INDEX('Base Exámenes'!$H$5:$H$154, MATCH(A223, 'Base Exámenes'!$C$5:$C$154, 0)), "anonymous")</f>
        <v>anonymous</v>
      </c>
    </row>
    <row r="224">
      <c r="A224" s="4" t="str">
        <f>'Base Oficial'!A224</f>
        <v>545</v>
      </c>
      <c r="B224" s="6" t="str">
        <f>'Base Oficial'!B224</f>
        <v>LEIBY NATHALY ROMERO VANEGAS </v>
      </c>
      <c r="C224" s="6" t="str">
        <f>'Base Oficial'!F224</f>
        <v>AGENCIA SAN  MIGUEL  </v>
      </c>
      <c r="D224" s="6" t="str">
        <f>'Base Oficial'!G224</f>
        <v>Gerencia de Negocios (Agencias)</v>
      </c>
      <c r="E224" s="6" t="str">
        <f>'Base Oficial'!D224</f>
        <v>SUBJEFE DE  AGENCIA</v>
      </c>
      <c r="F224" s="4" t="str">
        <f>IF(COUNTIFS('Base Exámenes'!$C$5:$C$154, A224, 'Base Exámenes'!$E$5:$E$154, "&lt;&gt;")&gt;0, "Completado", "Pendiente")</f>
        <v>Completado</v>
      </c>
      <c r="G224" s="23">
        <f>IFERROR(INDEX('Base Exámenes'!$D$5:$D$154, MATCH(A224, 'Base Exámenes'!$C$5:$C$154, 0)), "")</f>
        <v>46296.44934027778</v>
      </c>
      <c r="H224" s="23">
        <f>IFERROR(INDEX('Base Exámenes'!$E$5:$E$154, MATCH(A224, 'Base Exámenes'!$C$5:$C$154, 0)), "")</f>
        <v>46296.45449074074</v>
      </c>
      <c r="I224" s="24">
        <f>IFERROR(INDEX('Base Exámenes'!$F$5:$F$154, MATCH(A224, 'Base Exámenes'!$C$5:$C$154, 0)), "")</f>
        <v>7.41666666666667</v>
      </c>
      <c r="J224" s="6">
        <f>IFERROR(INDEX('Base Exámenes'!$G$5:$G$154, MATCH(A224, 'Base Exámenes'!$C$5:$C$154, 0)), "")</f>
        <v>100</v>
      </c>
      <c r="K224" s="6" t="str">
        <f>IFERROR(INDEX('Base Exámenes'!$H$5:$H$154, MATCH(A224, 'Base Exámenes'!$C$5:$C$154, 0)), "anonymous")</f>
        <v>anonymous</v>
      </c>
    </row>
    <row r="225">
      <c r="A225" s="4" t="str">
        <f>'Base Oficial'!A225</f>
        <v>776</v>
      </c>
      <c r="B225" s="6" t="str">
        <f>'Base Oficial'!B225</f>
        <v>DIEGO GERARDO GUANDIQUE TORRES </v>
      </c>
      <c r="C225" s="6" t="str">
        <f>'Base Oficial'!F225</f>
        <v>AGENCIA SAN  MIGUEL  </v>
      </c>
      <c r="D225" s="6" t="str">
        <f>'Base Oficial'!G225</f>
        <v>Gerencia de Negocios (Agencias)</v>
      </c>
      <c r="E225" s="6" t="str">
        <f>'Base Oficial'!D225</f>
        <v>CAJERO</v>
      </c>
      <c r="F225" s="4" t="str">
        <f>IF(COUNTIFS('Base Exámenes'!$C$5:$C$154, A225, 'Base Exámenes'!$E$5:$E$154, "&lt;&gt;")&gt;0, "Completado", "Pendiente")</f>
        <v>Completado</v>
      </c>
      <c r="G225" s="23">
        <f>IFERROR(INDEX('Base Exámenes'!$D$5:$D$154, MATCH(A225, 'Base Exámenes'!$C$5:$C$154, 0)), "")</f>
        <v>46296.44304398148</v>
      </c>
      <c r="H225" s="23">
        <f>IFERROR(INDEX('Base Exámenes'!$E$5:$E$154, MATCH(A225, 'Base Exámenes'!$C$5:$C$154, 0)), "")</f>
        <v>46296.44540509259</v>
      </c>
      <c r="I225" s="24">
        <f>IFERROR(INDEX('Base Exámenes'!$F$5:$F$154, MATCH(A225, 'Base Exámenes'!$C$5:$C$154, 0)), "")</f>
        <v>3.4</v>
      </c>
      <c r="J225" s="6">
        <f>IFERROR(INDEX('Base Exámenes'!$G$5:$G$154, MATCH(A225, 'Base Exámenes'!$C$5:$C$154, 0)), "")</f>
        <v>100</v>
      </c>
      <c r="K225" s="6" t="str">
        <f>IFERROR(INDEX('Base Exámenes'!$H$5:$H$154, MATCH(A225, 'Base Exámenes'!$C$5:$C$154, 0)), "anonymous")</f>
        <v>anonymous</v>
      </c>
    </row>
    <row r="226">
      <c r="A226" s="4" t="str">
        <f>'Base Oficial'!A226</f>
        <v>777</v>
      </c>
      <c r="B226" s="6" t="str">
        <f>'Base Oficial'!B226</f>
        <v>MARCELINA YAMILETH LOPEZ VASQUEZ </v>
      </c>
      <c r="C226" s="6" t="str">
        <f>'Base Oficial'!F226</f>
        <v>AGENCIA SAN  MIGUEL  </v>
      </c>
      <c r="D226" s="6" t="str">
        <f>'Base Oficial'!G226</f>
        <v>Gerencia de Negocios (Agencias)</v>
      </c>
      <c r="E226" s="6" t="str">
        <f>'Base Oficial'!D226</f>
        <v>CAJERO</v>
      </c>
      <c r="F226" s="4" t="str">
        <f>IF(COUNTIFS('Base Exámenes'!$C$5:$C$154, A226, 'Base Exámenes'!$E$5:$E$154, "&lt;&gt;")&gt;0, "Completado", "Pendiente")</f>
        <v>Completado</v>
      </c>
      <c r="G226" s="23">
        <f>IFERROR(INDEX('Base Exámenes'!$D$5:$D$154, MATCH(A226, 'Base Exámenes'!$C$5:$C$154, 0)), "")</f>
        <v>46296.45601851852</v>
      </c>
      <c r="H226" s="23">
        <f>IFERROR(INDEX('Base Exámenes'!$E$5:$E$154, MATCH(A226, 'Base Exámenes'!$C$5:$C$154, 0)), "")</f>
        <v>46296.45806712963</v>
      </c>
      <c r="I226" s="24">
        <f>IFERROR(INDEX('Base Exámenes'!$F$5:$F$154, MATCH(A226, 'Base Exámenes'!$C$5:$C$154, 0)), "")</f>
        <v>2.95</v>
      </c>
      <c r="J226" s="6">
        <f>IFERROR(INDEX('Base Exámenes'!$G$5:$G$154, MATCH(A226, 'Base Exámenes'!$C$5:$C$154, 0)), "")</f>
        <v>100</v>
      </c>
      <c r="K226" s="6" t="str">
        <f>IFERROR(INDEX('Base Exámenes'!$H$5:$H$154, MATCH(A226, 'Base Exámenes'!$C$5:$C$154, 0)), "anonymous")</f>
        <v>anonymous</v>
      </c>
    </row>
    <row r="227">
      <c r="A227" s="4" t="str">
        <f>'Base Oficial'!A227</f>
        <v>807</v>
      </c>
      <c r="B227" s="6" t="str">
        <f>'Base Oficial'!B227</f>
        <v>MARCELA GUADALUPE CRESPO BENAVIDEZ </v>
      </c>
      <c r="C227" s="6" t="str">
        <f>'Base Oficial'!F227</f>
        <v>AGENCIA SAN  MIGUEL  </v>
      </c>
      <c r="D227" s="6" t="str">
        <f>'Base Oficial'!G227</f>
        <v>Gerencia de Negocios (Agencias)</v>
      </c>
      <c r="E227" s="6" t="str">
        <f>'Base Oficial'!D227</f>
        <v>EJECUTIVA DE SEGUROS</v>
      </c>
      <c r="F227" s="4" t="str">
        <f>IF(COUNTIFS('Base Exámenes'!$C$5:$C$154, A227, 'Base Exámenes'!$E$5:$E$154, "&lt;&gt;")&gt;0, "Completado", "Pendiente")</f>
        <v>Completado</v>
      </c>
      <c r="G227" s="23">
        <f>IFERROR(INDEX('Base Exámenes'!$D$5:$D$154, MATCH(A227, 'Base Exámenes'!$C$5:$C$154, 0)), "")</f>
        <v>46296.44934027778</v>
      </c>
      <c r="H227" s="23">
        <f>IFERROR(INDEX('Base Exámenes'!$E$5:$E$154, MATCH(A227, 'Base Exámenes'!$C$5:$C$154, 0)), "")</f>
        <v>46296.45224537037</v>
      </c>
      <c r="I227" s="24">
        <f>IFERROR(INDEX('Base Exámenes'!$F$5:$F$154, MATCH(A227, 'Base Exámenes'!$C$5:$C$154, 0)), "")</f>
        <v>4.18333333333333</v>
      </c>
      <c r="J227" s="6">
        <f>IFERROR(INDEX('Base Exámenes'!$G$5:$G$154, MATCH(A227, 'Base Exámenes'!$C$5:$C$154, 0)), "")</f>
        <v>100</v>
      </c>
      <c r="K227" s="6" t="str">
        <f>IFERROR(INDEX('Base Exámenes'!$H$5:$H$154, MATCH(A227, 'Base Exámenes'!$C$5:$C$154, 0)), "anonymous")</f>
        <v>anonymous</v>
      </c>
    </row>
    <row r="228">
      <c r="A228" s="4" t="str">
        <f>'Base Oficial'!A228</f>
        <v>861</v>
      </c>
      <c r="B228" s="6" t="str">
        <f>'Base Oficial'!B228</f>
        <v>SANDRA MARINA  BERRIOS SANTOS </v>
      </c>
      <c r="C228" s="6" t="str">
        <f>'Base Oficial'!F228</f>
        <v>AGENCIA SAN  MIGUEL  </v>
      </c>
      <c r="D228" s="6" t="str">
        <f>'Base Oficial'!G228</f>
        <v>Gerencia de Negocios (Agencias)</v>
      </c>
      <c r="E228" s="6" t="str">
        <f>'Base Oficial'!D228</f>
        <v>CAJERO</v>
      </c>
      <c r="F228" s="4" t="str">
        <f>IF(COUNTIFS('Base Exámenes'!$C$5:$C$154, A228, 'Base Exámenes'!$E$5:$E$154, "&lt;&gt;")&gt;0, "Completado", "Pendiente")</f>
        <v>Pendiente</v>
      </c>
      <c r="G228" s="23" t="str">
        <f>IFERROR(INDEX('Base Exámenes'!$D$5:$D$154, MATCH(A228, 'Base Exámenes'!$C$5:$C$154, 0)), "")</f>
        <v/>
      </c>
      <c r="H228" s="23" t="str">
        <f>IFERROR(INDEX('Base Exámenes'!$E$5:$E$154, MATCH(A228, 'Base Exámenes'!$C$5:$C$154, 0)), "")</f>
        <v/>
      </c>
      <c r="I228" s="24" t="str">
        <f>IFERROR(INDEX('Base Exámenes'!$F$5:$F$154, MATCH(A228, 'Base Exámenes'!$C$5:$C$154, 0)), "")</f>
        <v/>
      </c>
      <c r="J228" s="6" t="str">
        <f>IFERROR(INDEX('Base Exámenes'!$G$5:$G$154, MATCH(A228, 'Base Exámenes'!$C$5:$C$154, 0)), "")</f>
        <v/>
      </c>
      <c r="K228" s="6" t="str">
        <f>IFERROR(INDEX('Base Exámenes'!$H$5:$H$154, MATCH(A228, 'Base Exámenes'!$C$5:$C$154, 0)), "anonymous")</f>
        <v>anonymous</v>
      </c>
    </row>
    <row r="229">
      <c r="A229" s="4" t="str">
        <f>'Base Oficial'!A229</f>
        <v>168</v>
      </c>
      <c r="B229" s="6" t="str">
        <f>'Base Oficial'!B229</f>
        <v>ANA MARIA GIRON </v>
      </c>
      <c r="C229" s="6" t="str">
        <f>'Base Oficial'!F229</f>
        <v>AGENCIA SANTA  ANA  </v>
      </c>
      <c r="D229" s="6" t="str">
        <f>'Base Oficial'!G229</f>
        <v>Gerencia de Negocios (Agencias)</v>
      </c>
      <c r="E229" s="6" t="str">
        <f>'Base Oficial'!D229</f>
        <v>EJECUTIVO DE NEGOCIOS</v>
      </c>
      <c r="F229" s="4" t="str">
        <f>IF(COUNTIFS('Base Exámenes'!$C$5:$C$154, A229, 'Base Exámenes'!$E$5:$E$154, "&lt;&gt;")&gt;0, "Completado", "Pendiente")</f>
        <v>Pendiente</v>
      </c>
      <c r="G229" s="23" t="str">
        <f>IFERROR(INDEX('Base Exámenes'!$D$5:$D$154, MATCH(A229, 'Base Exámenes'!$C$5:$C$154, 0)), "")</f>
        <v/>
      </c>
      <c r="H229" s="23" t="str">
        <f>IFERROR(INDEX('Base Exámenes'!$E$5:$E$154, MATCH(A229, 'Base Exámenes'!$C$5:$C$154, 0)), "")</f>
        <v/>
      </c>
      <c r="I229" s="24" t="str">
        <f>IFERROR(INDEX('Base Exámenes'!$F$5:$F$154, MATCH(A229, 'Base Exámenes'!$C$5:$C$154, 0)), "")</f>
        <v/>
      </c>
      <c r="J229" s="6" t="str">
        <f>IFERROR(INDEX('Base Exámenes'!$G$5:$G$154, MATCH(A229, 'Base Exámenes'!$C$5:$C$154, 0)), "")</f>
        <v/>
      </c>
      <c r="K229" s="6" t="str">
        <f>IFERROR(INDEX('Base Exámenes'!$H$5:$H$154, MATCH(A229, 'Base Exámenes'!$C$5:$C$154, 0)), "anonymous")</f>
        <v>anonymous</v>
      </c>
    </row>
    <row r="230">
      <c r="A230" s="4" t="str">
        <f>'Base Oficial'!A230</f>
        <v>295</v>
      </c>
      <c r="B230" s="6" t="str">
        <f>'Base Oficial'!B230</f>
        <v>GLENDA MARAYA SALAZAR GONZALEZ </v>
      </c>
      <c r="C230" s="6" t="str">
        <f>'Base Oficial'!F230</f>
        <v>AGENCIA SANTA  ANA  </v>
      </c>
      <c r="D230" s="6" t="str">
        <f>'Base Oficial'!G230</f>
        <v>Gerencia de Negocios (Agencias)</v>
      </c>
      <c r="E230" s="6" t="str">
        <f>'Base Oficial'!D230</f>
        <v>JEFE DE AGENCIA  </v>
      </c>
      <c r="F230" s="4" t="str">
        <f>IF(COUNTIFS('Base Exámenes'!$C$5:$C$154, A230, 'Base Exámenes'!$E$5:$E$154, "&lt;&gt;")&gt;0, "Completado", "Pendiente")</f>
        <v>Pendiente</v>
      </c>
      <c r="G230" s="23" t="str">
        <f>IFERROR(INDEX('Base Exámenes'!$D$5:$D$154, MATCH(A230, 'Base Exámenes'!$C$5:$C$154, 0)), "")</f>
        <v/>
      </c>
      <c r="H230" s="23" t="str">
        <f>IFERROR(INDEX('Base Exámenes'!$E$5:$E$154, MATCH(A230, 'Base Exámenes'!$C$5:$C$154, 0)), "")</f>
        <v/>
      </c>
      <c r="I230" s="24" t="str">
        <f>IFERROR(INDEX('Base Exámenes'!$F$5:$F$154, MATCH(A230, 'Base Exámenes'!$C$5:$C$154, 0)), "")</f>
        <v/>
      </c>
      <c r="J230" s="6" t="str">
        <f>IFERROR(INDEX('Base Exámenes'!$G$5:$G$154, MATCH(A230, 'Base Exámenes'!$C$5:$C$154, 0)), "")</f>
        <v/>
      </c>
      <c r="K230" s="6" t="str">
        <f>IFERROR(INDEX('Base Exámenes'!$H$5:$H$154, MATCH(A230, 'Base Exámenes'!$C$5:$C$154, 0)), "anonymous")</f>
        <v>anonymous</v>
      </c>
    </row>
    <row r="231">
      <c r="A231" s="4" t="str">
        <f>'Base Oficial'!A231</f>
        <v>312</v>
      </c>
      <c r="B231" s="6" t="str">
        <f>'Base Oficial'!B231</f>
        <v>JEANNETTE ANGELINNE HERNANDEZ MEJIA </v>
      </c>
      <c r="C231" s="6" t="str">
        <f>'Base Oficial'!F231</f>
        <v>AGENCIA SANTA  ANA  </v>
      </c>
      <c r="D231" s="6" t="str">
        <f>'Base Oficial'!G231</f>
        <v>Gerencia de Negocios (Agencias)</v>
      </c>
      <c r="E231" s="6" t="str">
        <f>'Base Oficial'!D231</f>
        <v>SUBJEFE DE  AGENCIA</v>
      </c>
      <c r="F231" s="4" t="str">
        <f>IF(COUNTIFS('Base Exámenes'!$C$5:$C$154, A231, 'Base Exámenes'!$E$5:$E$154, "&lt;&gt;")&gt;0, "Completado", "Pendiente")</f>
        <v>Pendiente</v>
      </c>
      <c r="G231" s="23" t="str">
        <f>IFERROR(INDEX('Base Exámenes'!$D$5:$D$154, MATCH(A231, 'Base Exámenes'!$C$5:$C$154, 0)), "")</f>
        <v/>
      </c>
      <c r="H231" s="23" t="str">
        <f>IFERROR(INDEX('Base Exámenes'!$E$5:$E$154, MATCH(A231, 'Base Exámenes'!$C$5:$C$154, 0)), "")</f>
        <v/>
      </c>
      <c r="I231" s="24" t="str">
        <f>IFERROR(INDEX('Base Exámenes'!$F$5:$F$154, MATCH(A231, 'Base Exámenes'!$C$5:$C$154, 0)), "")</f>
        <v/>
      </c>
      <c r="J231" s="6" t="str">
        <f>IFERROR(INDEX('Base Exámenes'!$G$5:$G$154, MATCH(A231, 'Base Exámenes'!$C$5:$C$154, 0)), "")</f>
        <v/>
      </c>
      <c r="K231" s="6" t="str">
        <f>IFERROR(INDEX('Base Exámenes'!$H$5:$H$154, MATCH(A231, 'Base Exámenes'!$C$5:$C$154, 0)), "anonymous")</f>
        <v>anonymous</v>
      </c>
    </row>
    <row r="232">
      <c r="A232" s="4" t="str">
        <f>'Base Oficial'!A232</f>
        <v>747</v>
      </c>
      <c r="B232" s="6" t="str">
        <f>'Base Oficial'!B232</f>
        <v>IRVIN ADEMIR PERAZA MOLINA </v>
      </c>
      <c r="C232" s="6" t="str">
        <f>'Base Oficial'!F232</f>
        <v>AGENCIA SANTA  ANA  </v>
      </c>
      <c r="D232" s="6" t="str">
        <f>'Base Oficial'!G232</f>
        <v>Gerencia de Negocios (Agencias)</v>
      </c>
      <c r="E232" s="6" t="str">
        <f>'Base Oficial'!D232</f>
        <v>EJECUTIVO DE SEGUROS</v>
      </c>
      <c r="F232" s="4" t="str">
        <f>IF(COUNTIFS('Base Exámenes'!$C$5:$C$154, A232, 'Base Exámenes'!$E$5:$E$154, "&lt;&gt;")&gt;0, "Completado", "Pendiente")</f>
        <v>Pendiente</v>
      </c>
      <c r="G232" s="23" t="str">
        <f>IFERROR(INDEX('Base Exámenes'!$D$5:$D$154, MATCH(A232, 'Base Exámenes'!$C$5:$C$154, 0)), "")</f>
        <v/>
      </c>
      <c r="H232" s="23" t="str">
        <f>IFERROR(INDEX('Base Exámenes'!$E$5:$E$154, MATCH(A232, 'Base Exámenes'!$C$5:$C$154, 0)), "")</f>
        <v/>
      </c>
      <c r="I232" s="24" t="str">
        <f>IFERROR(INDEX('Base Exámenes'!$F$5:$F$154, MATCH(A232, 'Base Exámenes'!$C$5:$C$154, 0)), "")</f>
        <v/>
      </c>
      <c r="J232" s="6" t="str">
        <f>IFERROR(INDEX('Base Exámenes'!$G$5:$G$154, MATCH(A232, 'Base Exámenes'!$C$5:$C$154, 0)), "")</f>
        <v/>
      </c>
      <c r="K232" s="6" t="str">
        <f>IFERROR(INDEX('Base Exámenes'!$H$5:$H$154, MATCH(A232, 'Base Exámenes'!$C$5:$C$154, 0)), "anonymous")</f>
        <v>anonymous</v>
      </c>
    </row>
    <row r="233">
      <c r="A233" s="4" t="str">
        <f>'Base Oficial'!A233</f>
        <v>818</v>
      </c>
      <c r="B233" s="6" t="str">
        <f>'Base Oficial'!B233</f>
        <v>ANDREA YAMILETH ESCOBAR CHICA </v>
      </c>
      <c r="C233" s="6" t="str">
        <f>'Base Oficial'!F233</f>
        <v>AGENCIA SANTA  ANA  </v>
      </c>
      <c r="D233" s="6" t="str">
        <f>'Base Oficial'!G233</f>
        <v>Gerencia de Negocios (Agencias)</v>
      </c>
      <c r="E233" s="6" t="str">
        <f>'Base Oficial'!D233</f>
        <v>CAJERO</v>
      </c>
      <c r="F233" s="4" t="str">
        <f>IF(COUNTIFS('Base Exámenes'!$C$5:$C$154, A233, 'Base Exámenes'!$E$5:$E$154, "&lt;&gt;")&gt;0, "Completado", "Pendiente")</f>
        <v>Pendiente</v>
      </c>
      <c r="G233" s="23" t="str">
        <f>IFERROR(INDEX('Base Exámenes'!$D$5:$D$154, MATCH(A233, 'Base Exámenes'!$C$5:$C$154, 0)), "")</f>
        <v/>
      </c>
      <c r="H233" s="23" t="str">
        <f>IFERROR(INDEX('Base Exámenes'!$E$5:$E$154, MATCH(A233, 'Base Exámenes'!$C$5:$C$154, 0)), "")</f>
        <v/>
      </c>
      <c r="I233" s="24" t="str">
        <f>IFERROR(INDEX('Base Exámenes'!$F$5:$F$154, MATCH(A233, 'Base Exámenes'!$C$5:$C$154, 0)), "")</f>
        <v/>
      </c>
      <c r="J233" s="6" t="str">
        <f>IFERROR(INDEX('Base Exámenes'!$G$5:$G$154, MATCH(A233, 'Base Exámenes'!$C$5:$C$154, 0)), "")</f>
        <v/>
      </c>
      <c r="K233" s="6" t="str">
        <f>IFERROR(INDEX('Base Exámenes'!$H$5:$H$154, MATCH(A233, 'Base Exámenes'!$C$5:$C$154, 0)), "anonymous")</f>
        <v>anonymous</v>
      </c>
    </row>
    <row r="234">
      <c r="A234" s="4" t="str">
        <f>'Base Oficial'!A234</f>
        <v>840</v>
      </c>
      <c r="B234" s="6" t="str">
        <f>'Base Oficial'!B234</f>
        <v>SOFIA AZMINIA MENA ARGUETA </v>
      </c>
      <c r="C234" s="6" t="str">
        <f>'Base Oficial'!F234</f>
        <v>AGENCIA SANTA  ANA  </v>
      </c>
      <c r="D234" s="6" t="str">
        <f>'Base Oficial'!G234</f>
        <v>Gerencia de Negocios (Agencias)</v>
      </c>
      <c r="E234" s="6" t="str">
        <f>'Base Oficial'!D234</f>
        <v>CAJERO</v>
      </c>
      <c r="F234" s="4" t="str">
        <f>IF(COUNTIFS('Base Exámenes'!$C$5:$C$154, A234, 'Base Exámenes'!$E$5:$E$154, "&lt;&gt;")&gt;0, "Completado", "Pendiente")</f>
        <v>Pendiente</v>
      </c>
      <c r="G234" s="23" t="str">
        <f>IFERROR(INDEX('Base Exámenes'!$D$5:$D$154, MATCH(A234, 'Base Exámenes'!$C$5:$C$154, 0)), "")</f>
        <v/>
      </c>
      <c r="H234" s="23" t="str">
        <f>IFERROR(INDEX('Base Exámenes'!$E$5:$E$154, MATCH(A234, 'Base Exámenes'!$C$5:$C$154, 0)), "")</f>
        <v/>
      </c>
      <c r="I234" s="24" t="str">
        <f>IFERROR(INDEX('Base Exámenes'!$F$5:$F$154, MATCH(A234, 'Base Exámenes'!$C$5:$C$154, 0)), "")</f>
        <v/>
      </c>
      <c r="J234" s="6" t="str">
        <f>IFERROR(INDEX('Base Exámenes'!$G$5:$G$154, MATCH(A234, 'Base Exámenes'!$C$5:$C$154, 0)), "")</f>
        <v/>
      </c>
      <c r="K234" s="6" t="str">
        <f>IFERROR(INDEX('Base Exámenes'!$H$5:$H$154, MATCH(A234, 'Base Exámenes'!$C$5:$C$154, 0)), "anonymous")</f>
        <v>anonymous</v>
      </c>
    </row>
    <row r="235">
      <c r="A235" s="4" t="str">
        <f>'Base Oficial'!A235</f>
        <v>910</v>
      </c>
      <c r="B235" s="6" t="str">
        <f>'Base Oficial'!B235</f>
        <v>JOSE CRISTOBAL LOPEZ ESQUIVEL </v>
      </c>
      <c r="C235" s="6" t="str">
        <f>'Base Oficial'!F235</f>
        <v>AGENCIA SANTA  ANA  </v>
      </c>
      <c r="D235" s="6" t="str">
        <f>'Base Oficial'!G235</f>
        <v>Gerencia de Negocios (Agencias)</v>
      </c>
      <c r="E235" s="6" t="str">
        <f>'Base Oficial'!D235</f>
        <v>MENSAJERO</v>
      </c>
      <c r="F235" s="4" t="str">
        <f>IF(COUNTIFS('Base Exámenes'!$C$5:$C$154, A235, 'Base Exámenes'!$E$5:$E$154, "&lt;&gt;")&gt;0, "Completado", "Pendiente")</f>
        <v>Pendiente</v>
      </c>
      <c r="G235" s="23" t="str">
        <f>IFERROR(INDEX('Base Exámenes'!$D$5:$D$154, MATCH(A235, 'Base Exámenes'!$C$5:$C$154, 0)), "")</f>
        <v/>
      </c>
      <c r="H235" s="23" t="str">
        <f>IFERROR(INDEX('Base Exámenes'!$E$5:$E$154, MATCH(A235, 'Base Exámenes'!$C$5:$C$154, 0)), "")</f>
        <v/>
      </c>
      <c r="I235" s="24" t="str">
        <f>IFERROR(INDEX('Base Exámenes'!$F$5:$F$154, MATCH(A235, 'Base Exámenes'!$C$5:$C$154, 0)), "")</f>
        <v/>
      </c>
      <c r="J235" s="6" t="str">
        <f>IFERROR(INDEX('Base Exámenes'!$G$5:$G$154, MATCH(A235, 'Base Exámenes'!$C$5:$C$154, 0)), "")</f>
        <v/>
      </c>
      <c r="K235" s="6" t="str">
        <f>IFERROR(INDEX('Base Exámenes'!$H$5:$H$154, MATCH(A235, 'Base Exámenes'!$C$5:$C$154, 0)), "anonymous")</f>
        <v>anonymous</v>
      </c>
    </row>
    <row r="236">
      <c r="A236" s="4" t="str">
        <f>'Base Oficial'!A236</f>
        <v>954</v>
      </c>
      <c r="B236" s="6" t="str">
        <f>'Base Oficial'!B236</f>
        <v>LUIS GERARDO DUEÑAS VALLE </v>
      </c>
      <c r="C236" s="6" t="str">
        <f>'Base Oficial'!F236</f>
        <v>AGENCIA SANTA  ANA  </v>
      </c>
      <c r="D236" s="6" t="str">
        <f>'Base Oficial'!G236</f>
        <v>Gerencia de Negocios (Agencias)</v>
      </c>
      <c r="E236" s="6" t="str">
        <f>'Base Oficial'!D236</f>
        <v>CAJERO</v>
      </c>
      <c r="F236" s="4" t="str">
        <f>IF(COUNTIFS('Base Exámenes'!$C$5:$C$154, A236, 'Base Exámenes'!$E$5:$E$154, "&lt;&gt;")&gt;0, "Completado", "Pendiente")</f>
        <v>Pendiente</v>
      </c>
      <c r="G236" s="23" t="str">
        <f>IFERROR(INDEX('Base Exámenes'!$D$5:$D$154, MATCH(A236, 'Base Exámenes'!$C$5:$C$154, 0)), "")</f>
        <v/>
      </c>
      <c r="H236" s="23" t="str">
        <f>IFERROR(INDEX('Base Exámenes'!$E$5:$E$154, MATCH(A236, 'Base Exámenes'!$C$5:$C$154, 0)), "")</f>
        <v/>
      </c>
      <c r="I236" s="24" t="str">
        <f>IFERROR(INDEX('Base Exámenes'!$F$5:$F$154, MATCH(A236, 'Base Exámenes'!$C$5:$C$154, 0)), "")</f>
        <v/>
      </c>
      <c r="J236" s="6" t="str">
        <f>IFERROR(INDEX('Base Exámenes'!$G$5:$G$154, MATCH(A236, 'Base Exámenes'!$C$5:$C$154, 0)), "")</f>
        <v/>
      </c>
      <c r="K236" s="6" t="str">
        <f>IFERROR(INDEX('Base Exámenes'!$H$5:$H$154, MATCH(A236, 'Base Exámenes'!$C$5:$C$154, 0)), "anonymous")</f>
        <v>anonymous</v>
      </c>
    </row>
    <row r="237">
      <c r="A237" s="4" t="str">
        <f>'Base Oficial'!A237</f>
        <v>287</v>
      </c>
      <c r="B237" s="6" t="str">
        <f>'Base Oficial'!B237</f>
        <v>MARIA ANGELICA ESCOBAR RENDEROS</v>
      </c>
      <c r="C237" s="6" t="str">
        <f>'Base Oficial'!F237</f>
        <v>AGENCIA SONSONATE  </v>
      </c>
      <c r="D237" s="6" t="str">
        <f>'Base Oficial'!G237</f>
        <v>Gerencia de Negocios (Agencias)</v>
      </c>
      <c r="E237" s="6" t="str">
        <f>'Base Oficial'!D237</f>
        <v>JEFE DE AGENCIA  </v>
      </c>
      <c r="F237" s="4" t="str">
        <f>IF(COUNTIFS('Base Exámenes'!$C$5:$C$154, A237, 'Base Exámenes'!$E$5:$E$154, "&lt;&gt;")&gt;0, "Completado", "Pendiente")</f>
        <v>Pendiente</v>
      </c>
      <c r="G237" s="23" t="str">
        <f>IFERROR(INDEX('Base Exámenes'!$D$5:$D$154, MATCH(A237, 'Base Exámenes'!$C$5:$C$154, 0)), "")</f>
        <v/>
      </c>
      <c r="H237" s="23" t="str">
        <f>IFERROR(INDEX('Base Exámenes'!$E$5:$E$154, MATCH(A237, 'Base Exámenes'!$C$5:$C$154, 0)), "")</f>
        <v/>
      </c>
      <c r="I237" s="24" t="str">
        <f>IFERROR(INDEX('Base Exámenes'!$F$5:$F$154, MATCH(A237, 'Base Exámenes'!$C$5:$C$154, 0)), "")</f>
        <v/>
      </c>
      <c r="J237" s="6" t="str">
        <f>IFERROR(INDEX('Base Exámenes'!$G$5:$G$154, MATCH(A237, 'Base Exámenes'!$C$5:$C$154, 0)), "")</f>
        <v/>
      </c>
      <c r="K237" s="6" t="str">
        <f>IFERROR(INDEX('Base Exámenes'!$H$5:$H$154, MATCH(A237, 'Base Exámenes'!$C$5:$C$154, 0)), "anonymous")</f>
        <v>anonymous</v>
      </c>
    </row>
    <row r="238">
      <c r="A238" s="4" t="str">
        <f>'Base Oficial'!A238</f>
        <v>448</v>
      </c>
      <c r="B238" s="6" t="str">
        <f>'Base Oficial'!B238</f>
        <v>JOSE ALEXANDER TORRES PEREZ </v>
      </c>
      <c r="C238" s="6" t="str">
        <f>'Base Oficial'!F238</f>
        <v>AGENCIA SONSONATE  </v>
      </c>
      <c r="D238" s="6" t="str">
        <f>'Base Oficial'!G238</f>
        <v>Gerencia de Negocios (Agencias)</v>
      </c>
      <c r="E238" s="6" t="str">
        <f>'Base Oficial'!D238</f>
        <v>MENSAJERO</v>
      </c>
      <c r="F238" s="4" t="str">
        <f>IF(COUNTIFS('Base Exámenes'!$C$5:$C$154, A238, 'Base Exámenes'!$E$5:$E$154, "&lt;&gt;")&gt;0, "Completado", "Pendiente")</f>
        <v>Pendiente</v>
      </c>
      <c r="G238" s="23" t="str">
        <f>IFERROR(INDEX('Base Exámenes'!$D$5:$D$154, MATCH(A238, 'Base Exámenes'!$C$5:$C$154, 0)), "")</f>
        <v/>
      </c>
      <c r="H238" s="23" t="str">
        <f>IFERROR(INDEX('Base Exámenes'!$E$5:$E$154, MATCH(A238, 'Base Exámenes'!$C$5:$C$154, 0)), "")</f>
        <v/>
      </c>
      <c r="I238" s="24" t="str">
        <f>IFERROR(INDEX('Base Exámenes'!$F$5:$F$154, MATCH(A238, 'Base Exámenes'!$C$5:$C$154, 0)), "")</f>
        <v/>
      </c>
      <c r="J238" s="6" t="str">
        <f>IFERROR(INDEX('Base Exámenes'!$G$5:$G$154, MATCH(A238, 'Base Exámenes'!$C$5:$C$154, 0)), "")</f>
        <v/>
      </c>
      <c r="K238" s="6" t="str">
        <f>IFERROR(INDEX('Base Exámenes'!$H$5:$H$154, MATCH(A238, 'Base Exámenes'!$C$5:$C$154, 0)), "anonymous")</f>
        <v>anonymous</v>
      </c>
    </row>
    <row r="239">
      <c r="A239" s="4" t="str">
        <f>'Base Oficial'!A239</f>
        <v>526</v>
      </c>
      <c r="B239" s="6" t="str">
        <f>'Base Oficial'!B239</f>
        <v>XIOMARA BEATRIZ MARTINEZ SERMEÑO </v>
      </c>
      <c r="C239" s="6" t="str">
        <f>'Base Oficial'!F239</f>
        <v>AGENCIA SONSONATE  </v>
      </c>
      <c r="D239" s="6" t="str">
        <f>'Base Oficial'!G239</f>
        <v>Gerencia de Negocios (Agencias)</v>
      </c>
      <c r="E239" s="6" t="str">
        <f>'Base Oficial'!D239</f>
        <v>SUBJEFE DE  AGENCIA</v>
      </c>
      <c r="F239" s="4" t="str">
        <f>IF(COUNTIFS('Base Exámenes'!$C$5:$C$154, A239, 'Base Exámenes'!$E$5:$E$154, "&lt;&gt;")&gt;0, "Completado", "Pendiente")</f>
        <v>Pendiente</v>
      </c>
      <c r="G239" s="23" t="str">
        <f>IFERROR(INDEX('Base Exámenes'!$D$5:$D$154, MATCH(A239, 'Base Exámenes'!$C$5:$C$154, 0)), "")</f>
        <v/>
      </c>
      <c r="H239" s="23" t="str">
        <f>IFERROR(INDEX('Base Exámenes'!$E$5:$E$154, MATCH(A239, 'Base Exámenes'!$C$5:$C$154, 0)), "")</f>
        <v/>
      </c>
      <c r="I239" s="24" t="str">
        <f>IFERROR(INDEX('Base Exámenes'!$F$5:$F$154, MATCH(A239, 'Base Exámenes'!$C$5:$C$154, 0)), "")</f>
        <v/>
      </c>
      <c r="J239" s="6" t="str">
        <f>IFERROR(INDEX('Base Exámenes'!$G$5:$G$154, MATCH(A239, 'Base Exámenes'!$C$5:$C$154, 0)), "")</f>
        <v/>
      </c>
      <c r="K239" s="6" t="str">
        <f>IFERROR(INDEX('Base Exámenes'!$H$5:$H$154, MATCH(A239, 'Base Exámenes'!$C$5:$C$154, 0)), "anonymous")</f>
        <v>anonymous</v>
      </c>
    </row>
    <row r="240">
      <c r="A240" s="4" t="str">
        <f>'Base Oficial'!A240</f>
        <v>559</v>
      </c>
      <c r="B240" s="6" t="str">
        <f>'Base Oficial'!B240</f>
        <v>JOSUE ALEXANDER PEREZ HENRIQUEZ </v>
      </c>
      <c r="C240" s="6" t="str">
        <f>'Base Oficial'!F240</f>
        <v>AGENCIA SONSONATE  </v>
      </c>
      <c r="D240" s="6" t="str">
        <f>'Base Oficial'!G240</f>
        <v>Gerencia de Negocios (Agencias)</v>
      </c>
      <c r="E240" s="6" t="str">
        <f>'Base Oficial'!D240</f>
        <v>EJECUTIVO DE NEGOCIOS</v>
      </c>
      <c r="F240" s="4" t="str">
        <f>IF(COUNTIFS('Base Exámenes'!$C$5:$C$154, A240, 'Base Exámenes'!$E$5:$E$154, "&lt;&gt;")&gt;0, "Completado", "Pendiente")</f>
        <v>Pendiente</v>
      </c>
      <c r="G240" s="23" t="str">
        <f>IFERROR(INDEX('Base Exámenes'!$D$5:$D$154, MATCH(A240, 'Base Exámenes'!$C$5:$C$154, 0)), "")</f>
        <v/>
      </c>
      <c r="H240" s="23" t="str">
        <f>IFERROR(INDEX('Base Exámenes'!$E$5:$E$154, MATCH(A240, 'Base Exámenes'!$C$5:$C$154, 0)), "")</f>
        <v/>
      </c>
      <c r="I240" s="24" t="str">
        <f>IFERROR(INDEX('Base Exámenes'!$F$5:$F$154, MATCH(A240, 'Base Exámenes'!$C$5:$C$154, 0)), "")</f>
        <v/>
      </c>
      <c r="J240" s="6" t="str">
        <f>IFERROR(INDEX('Base Exámenes'!$G$5:$G$154, MATCH(A240, 'Base Exámenes'!$C$5:$C$154, 0)), "")</f>
        <v/>
      </c>
      <c r="K240" s="6" t="str">
        <f>IFERROR(INDEX('Base Exámenes'!$H$5:$H$154, MATCH(A240, 'Base Exámenes'!$C$5:$C$154, 0)), "anonymous")</f>
        <v>anonymous</v>
      </c>
    </row>
    <row r="241">
      <c r="A241" s="4" t="str">
        <f>'Base Oficial'!A241</f>
        <v>575</v>
      </c>
      <c r="B241" s="6" t="str">
        <f>'Base Oficial'!B241</f>
        <v>JESSICA YAMILETH LEIVA VASQUEZ </v>
      </c>
      <c r="C241" s="6" t="str">
        <f>'Base Oficial'!F241</f>
        <v>AGENCIA SONSONATE  </v>
      </c>
      <c r="D241" s="6" t="str">
        <f>'Base Oficial'!G241</f>
        <v>Gerencia de Negocios (Agencias)</v>
      </c>
      <c r="E241" s="6" t="str">
        <f>'Base Oficial'!D241</f>
        <v>EJECUTIVA DE SEGUROS</v>
      </c>
      <c r="F241" s="4" t="str">
        <f>IF(COUNTIFS('Base Exámenes'!$C$5:$C$154, A241, 'Base Exámenes'!$E$5:$E$154, "&lt;&gt;")&gt;0, "Completado", "Pendiente")</f>
        <v>Pendiente</v>
      </c>
      <c r="G241" s="23" t="str">
        <f>IFERROR(INDEX('Base Exámenes'!$D$5:$D$154, MATCH(A241, 'Base Exámenes'!$C$5:$C$154, 0)), "")</f>
        <v/>
      </c>
      <c r="H241" s="23" t="str">
        <f>IFERROR(INDEX('Base Exámenes'!$E$5:$E$154, MATCH(A241, 'Base Exámenes'!$C$5:$C$154, 0)), "")</f>
        <v/>
      </c>
      <c r="I241" s="24" t="str">
        <f>IFERROR(INDEX('Base Exámenes'!$F$5:$F$154, MATCH(A241, 'Base Exámenes'!$C$5:$C$154, 0)), "")</f>
        <v/>
      </c>
      <c r="J241" s="6" t="str">
        <f>IFERROR(INDEX('Base Exámenes'!$G$5:$G$154, MATCH(A241, 'Base Exámenes'!$C$5:$C$154, 0)), "")</f>
        <v/>
      </c>
      <c r="K241" s="6" t="str">
        <f>IFERROR(INDEX('Base Exámenes'!$H$5:$H$154, MATCH(A241, 'Base Exámenes'!$C$5:$C$154, 0)), "anonymous")</f>
        <v>anonymous</v>
      </c>
    </row>
    <row r="242">
      <c r="A242" s="4" t="str">
        <f>'Base Oficial'!A242</f>
        <v>755</v>
      </c>
      <c r="B242" s="6" t="str">
        <f>'Base Oficial'!B242</f>
        <v>MIGUEL ANGEL LEON MENA </v>
      </c>
      <c r="C242" s="6" t="str">
        <f>'Base Oficial'!F242</f>
        <v>AGENCIA SONSONATE  </v>
      </c>
      <c r="D242" s="6" t="str">
        <f>'Base Oficial'!G242</f>
        <v>Gerencia de Negocios (Agencias)</v>
      </c>
      <c r="E242" s="6" t="str">
        <f>'Base Oficial'!D242</f>
        <v>CAJERO</v>
      </c>
      <c r="F242" s="4" t="str">
        <f>IF(COUNTIFS('Base Exámenes'!$C$5:$C$154, A242, 'Base Exámenes'!$E$5:$E$154, "&lt;&gt;")&gt;0, "Completado", "Pendiente")</f>
        <v>Pendiente</v>
      </c>
      <c r="G242" s="23" t="str">
        <f>IFERROR(INDEX('Base Exámenes'!$D$5:$D$154, MATCH(A242, 'Base Exámenes'!$C$5:$C$154, 0)), "")</f>
        <v/>
      </c>
      <c r="H242" s="23" t="str">
        <f>IFERROR(INDEX('Base Exámenes'!$E$5:$E$154, MATCH(A242, 'Base Exámenes'!$C$5:$C$154, 0)), "")</f>
        <v/>
      </c>
      <c r="I242" s="24" t="str">
        <f>IFERROR(INDEX('Base Exámenes'!$F$5:$F$154, MATCH(A242, 'Base Exámenes'!$C$5:$C$154, 0)), "")</f>
        <v/>
      </c>
      <c r="J242" s="6" t="str">
        <f>IFERROR(INDEX('Base Exámenes'!$G$5:$G$154, MATCH(A242, 'Base Exámenes'!$C$5:$C$154, 0)), "")</f>
        <v/>
      </c>
      <c r="K242" s="6" t="str">
        <f>IFERROR(INDEX('Base Exámenes'!$H$5:$H$154, MATCH(A242, 'Base Exámenes'!$C$5:$C$154, 0)), "anonymous")</f>
        <v>anonymous</v>
      </c>
    </row>
    <row r="243">
      <c r="A243" s="4" t="str">
        <f>'Base Oficial'!A243</f>
        <v>849</v>
      </c>
      <c r="B243" s="6" t="str">
        <f>'Base Oficial'!B243</f>
        <v>KARLA MARCELA  ESCOBAR TRIGUEROS </v>
      </c>
      <c r="C243" s="6" t="str">
        <f>'Base Oficial'!F243</f>
        <v>AGENCIA SONSONATE  </v>
      </c>
      <c r="D243" s="6" t="str">
        <f>'Base Oficial'!G243</f>
        <v>Gerencia de Negocios (Agencias)</v>
      </c>
      <c r="E243" s="6" t="str">
        <f>'Base Oficial'!D243</f>
        <v>CAJERO</v>
      </c>
      <c r="F243" s="4" t="str">
        <f>IF(COUNTIFS('Base Exámenes'!$C$5:$C$154, A243, 'Base Exámenes'!$E$5:$E$154, "&lt;&gt;")&gt;0, "Completado", "Pendiente")</f>
        <v>Pendiente</v>
      </c>
      <c r="G243" s="23" t="str">
        <f>IFERROR(INDEX('Base Exámenes'!$D$5:$D$154, MATCH(A243, 'Base Exámenes'!$C$5:$C$154, 0)), "")</f>
        <v/>
      </c>
      <c r="H243" s="23" t="str">
        <f>IFERROR(INDEX('Base Exámenes'!$E$5:$E$154, MATCH(A243, 'Base Exámenes'!$C$5:$C$154, 0)), "")</f>
        <v/>
      </c>
      <c r="I243" s="24" t="str">
        <f>IFERROR(INDEX('Base Exámenes'!$F$5:$F$154, MATCH(A243, 'Base Exámenes'!$C$5:$C$154, 0)), "")</f>
        <v/>
      </c>
      <c r="J243" s="6" t="str">
        <f>IFERROR(INDEX('Base Exámenes'!$G$5:$G$154, MATCH(A243, 'Base Exámenes'!$C$5:$C$154, 0)), "")</f>
        <v/>
      </c>
      <c r="K243" s="6" t="str">
        <f>IFERROR(INDEX('Base Exámenes'!$H$5:$H$154, MATCH(A243, 'Base Exámenes'!$C$5:$C$154, 0)), "anonymous")</f>
        <v>anonymous</v>
      </c>
    </row>
    <row r="244">
      <c r="A244" s="4" t="str">
        <f>'Base Oficial'!A244</f>
        <v>159</v>
      </c>
      <c r="B244" s="6" t="str">
        <f>'Base Oficial'!B244</f>
        <v>PATRICIA GUADALUPE GUARDADO OSEGUEDA </v>
      </c>
      <c r="C244" s="6" t="str">
        <f>'Base Oficial'!F244</f>
        <v>AGENCIA MERLIOT  </v>
      </c>
      <c r="D244" s="6" t="str">
        <f>'Base Oficial'!G244</f>
        <v>Gerencia de Negocios (Agencias)</v>
      </c>
      <c r="E244" s="6" t="str">
        <f>'Base Oficial'!D244</f>
        <v>EJECUTIVO DE NEGOCIOS</v>
      </c>
      <c r="F244" s="4" t="str">
        <f>IF(COUNTIFS('Base Exámenes'!$C$5:$C$154, A244, 'Base Exámenes'!$E$5:$E$154, "&lt;&gt;")&gt;0, "Completado", "Pendiente")</f>
        <v>Completado</v>
      </c>
      <c r="G244" s="23">
        <f>IFERROR(INDEX('Base Exámenes'!$D$5:$D$154, MATCH(A244, 'Base Exámenes'!$C$5:$C$154, 0)), "")</f>
        <v>46303.39310185185</v>
      </c>
      <c r="H244" s="23">
        <f>IFERROR(INDEX('Base Exámenes'!$E$5:$E$154, MATCH(A244, 'Base Exámenes'!$C$5:$C$154, 0)), "")</f>
        <v>46303.39640046296</v>
      </c>
      <c r="I244" s="24">
        <f>IFERROR(INDEX('Base Exámenes'!$F$5:$F$154, MATCH(A244, 'Base Exámenes'!$C$5:$C$154, 0)), "")</f>
        <v>4.75</v>
      </c>
      <c r="J244" s="6">
        <f>IFERROR(INDEX('Base Exámenes'!$G$5:$G$154, MATCH(A244, 'Base Exámenes'!$C$5:$C$154, 0)), "")</f>
        <v>100</v>
      </c>
      <c r="K244" s="6" t="str">
        <f>IFERROR(INDEX('Base Exámenes'!$H$5:$H$154, MATCH(A244, 'Base Exámenes'!$C$5:$C$154, 0)), "anonymous")</f>
        <v>anonymous</v>
      </c>
    </row>
    <row r="245">
      <c r="A245" s="4" t="str">
        <f>'Base Oficial'!A245</f>
        <v>251</v>
      </c>
      <c r="B245" s="6" t="str">
        <f>'Base Oficial'!B245</f>
        <v>NURIA LISSETH AGUILAR AGUILAR </v>
      </c>
      <c r="C245" s="6" t="str">
        <f>'Base Oficial'!F245</f>
        <v>AGENCIA MERLIOT  </v>
      </c>
      <c r="D245" s="6" t="str">
        <f>'Base Oficial'!G245</f>
        <v>Gerencia de Negocios (Agencias)</v>
      </c>
      <c r="E245" s="6" t="str">
        <f>'Base Oficial'!D245</f>
        <v>EJECUTIVO DE NEGOCIOS</v>
      </c>
      <c r="F245" s="4" t="str">
        <f>IF(COUNTIFS('Base Exámenes'!$C$5:$C$154, A245, 'Base Exámenes'!$E$5:$E$154, "&lt;&gt;")&gt;0, "Completado", "Pendiente")</f>
        <v>Completado</v>
      </c>
      <c r="G245" s="23">
        <f>IFERROR(INDEX('Base Exámenes'!$D$5:$D$154, MATCH(A245, 'Base Exámenes'!$C$5:$C$154, 0)), "")</f>
        <v>46303.45815972222</v>
      </c>
      <c r="H245" s="23">
        <f>IFERROR(INDEX('Base Exámenes'!$E$5:$E$154, MATCH(A245, 'Base Exámenes'!$C$5:$C$154, 0)), "")</f>
        <v>46303.46199074074</v>
      </c>
      <c r="I245" s="24">
        <f>IFERROR(INDEX('Base Exámenes'!$F$5:$F$154, MATCH(A245, 'Base Exámenes'!$C$5:$C$154, 0)), "")</f>
        <v>5.51666666666667</v>
      </c>
      <c r="J245" s="6">
        <f>IFERROR(INDEX('Base Exámenes'!$G$5:$G$154, MATCH(A245, 'Base Exámenes'!$C$5:$C$154, 0)), "")</f>
        <v>100</v>
      </c>
      <c r="K245" s="6" t="str">
        <f>IFERROR(INDEX('Base Exámenes'!$H$5:$H$154, MATCH(A245, 'Base Exámenes'!$C$5:$C$154, 0)), "anonymous")</f>
        <v>anonymous</v>
      </c>
    </row>
    <row r="246">
      <c r="A246" s="4" t="str">
        <f>'Base Oficial'!A246</f>
        <v>343</v>
      </c>
      <c r="B246" s="6" t="str">
        <f>'Base Oficial'!B246</f>
        <v>FATIMA BERENICE MEDINA  ESCALANTE</v>
      </c>
      <c r="C246" s="6" t="str">
        <f>'Base Oficial'!F246</f>
        <v>AGENCIA MERLIOT  </v>
      </c>
      <c r="D246" s="6" t="str">
        <f>'Base Oficial'!G246</f>
        <v>Gerencia de Negocios (Agencias)</v>
      </c>
      <c r="E246" s="6" t="str">
        <f>'Base Oficial'!D246</f>
        <v>JEFE DE AGENCIA  </v>
      </c>
      <c r="F246" s="4" t="str">
        <f>IF(COUNTIFS('Base Exámenes'!$C$5:$C$154, A246, 'Base Exámenes'!$E$5:$E$154, "&lt;&gt;")&gt;0, "Completado", "Pendiente")</f>
        <v>Completado</v>
      </c>
      <c r="G246" s="23">
        <f>IFERROR(INDEX('Base Exámenes'!$D$5:$D$154, MATCH(A246, 'Base Exámenes'!$C$5:$C$154, 0)), "")</f>
        <v>46302.700208333335</v>
      </c>
      <c r="H246" s="23">
        <f>IFERROR(INDEX('Base Exámenes'!$E$5:$E$154, MATCH(A246, 'Base Exámenes'!$C$5:$C$154, 0)), "")</f>
        <v>46302.70259259259</v>
      </c>
      <c r="I246" s="24">
        <f>IFERROR(INDEX('Base Exámenes'!$F$5:$F$154, MATCH(A246, 'Base Exámenes'!$C$5:$C$154, 0)), "")</f>
        <v>3.43333333333333</v>
      </c>
      <c r="J246" s="6">
        <f>IFERROR(INDEX('Base Exámenes'!$G$5:$G$154, MATCH(A246, 'Base Exámenes'!$C$5:$C$154, 0)), "")</f>
        <v>100</v>
      </c>
      <c r="K246" s="6" t="str">
        <f>IFERROR(INDEX('Base Exámenes'!$H$5:$H$154, MATCH(A246, 'Base Exámenes'!$C$5:$C$154, 0)), "anonymous")</f>
        <v>anonymous</v>
      </c>
    </row>
    <row r="247">
      <c r="A247" s="4" t="str">
        <f>'Base Oficial'!A247</f>
        <v>657</v>
      </c>
      <c r="B247" s="6" t="str">
        <f>'Base Oficial'!B247</f>
        <v>CLELIA DESIREE CAMPOS COSS</v>
      </c>
      <c r="C247" s="6" t="str">
        <f>'Base Oficial'!F247</f>
        <v>AGENCIA MERLIOT  </v>
      </c>
      <c r="D247" s="6" t="str">
        <f>'Base Oficial'!G247</f>
        <v>Gerencia de Negocios (Agencias)</v>
      </c>
      <c r="E247" s="6" t="str">
        <f>'Base Oficial'!D247</f>
        <v>SERVICIOS VARIOS</v>
      </c>
      <c r="F247" s="4" t="str">
        <f>IF(COUNTIFS('Base Exámenes'!$C$5:$C$154, A247, 'Base Exámenes'!$E$5:$E$154, "&lt;&gt;")&gt;0, "Completado", "Pendiente")</f>
        <v>Pendiente</v>
      </c>
      <c r="G247" s="23" t="str">
        <f>IFERROR(INDEX('Base Exámenes'!$D$5:$D$154, MATCH(A247, 'Base Exámenes'!$C$5:$C$154, 0)), "")</f>
        <v/>
      </c>
      <c r="H247" s="23" t="str">
        <f>IFERROR(INDEX('Base Exámenes'!$E$5:$E$154, MATCH(A247, 'Base Exámenes'!$C$5:$C$154, 0)), "")</f>
        <v/>
      </c>
      <c r="I247" s="24" t="str">
        <f>IFERROR(INDEX('Base Exámenes'!$F$5:$F$154, MATCH(A247, 'Base Exámenes'!$C$5:$C$154, 0)), "")</f>
        <v/>
      </c>
      <c r="J247" s="6" t="str">
        <f>IFERROR(INDEX('Base Exámenes'!$G$5:$G$154, MATCH(A247, 'Base Exámenes'!$C$5:$C$154, 0)), "")</f>
        <v/>
      </c>
      <c r="K247" s="6" t="str">
        <f>IFERROR(INDEX('Base Exámenes'!$H$5:$H$154, MATCH(A247, 'Base Exámenes'!$C$5:$C$154, 0)), "anonymous")</f>
        <v>anonymous</v>
      </c>
    </row>
    <row r="248">
      <c r="A248" s="4" t="str">
        <f>'Base Oficial'!A248</f>
        <v>671</v>
      </c>
      <c r="B248" s="6" t="str">
        <f>'Base Oficial'!B248</f>
        <v>MILTON ALEXANDER CUELLAR GARCIA </v>
      </c>
      <c r="C248" s="6" t="str">
        <f>'Base Oficial'!F248</f>
        <v>AGENCIA MERLIOT  </v>
      </c>
      <c r="D248" s="6" t="str">
        <f>'Base Oficial'!G248</f>
        <v>Gerencia de Negocios (Agencias)</v>
      </c>
      <c r="E248" s="6" t="str">
        <f>'Base Oficial'!D248</f>
        <v>CAJERO</v>
      </c>
      <c r="F248" s="4" t="str">
        <f>IF(COUNTIFS('Base Exámenes'!$C$5:$C$154, A248, 'Base Exámenes'!$E$5:$E$154, "&lt;&gt;")&gt;0, "Completado", "Pendiente")</f>
        <v>Completado</v>
      </c>
      <c r="G248" s="23">
        <f>IFERROR(INDEX('Base Exámenes'!$D$5:$D$154, MATCH(A248, 'Base Exámenes'!$C$5:$C$154, 0)), "")</f>
        <v>46296.54665509259</v>
      </c>
      <c r="H248" s="23">
        <f>IFERROR(INDEX('Base Exámenes'!$E$5:$E$154, MATCH(A248, 'Base Exámenes'!$C$5:$C$154, 0)), "")</f>
        <v>46296.55247685185</v>
      </c>
      <c r="I248" s="24">
        <f>IFERROR(INDEX('Base Exámenes'!$F$5:$F$154, MATCH(A248, 'Base Exámenes'!$C$5:$C$154, 0)), "")</f>
        <v>8.38333333333333</v>
      </c>
      <c r="J248" s="6">
        <f>IFERROR(INDEX('Base Exámenes'!$G$5:$G$154, MATCH(A248, 'Base Exámenes'!$C$5:$C$154, 0)), "")</f>
        <v>70</v>
      </c>
      <c r="K248" s="6" t="str">
        <f>IFERROR(INDEX('Base Exámenes'!$H$5:$H$154, MATCH(A248, 'Base Exámenes'!$C$5:$C$154, 0)), "anonymous")</f>
        <v>anonymous</v>
      </c>
    </row>
    <row r="249">
      <c r="A249" s="4" t="str">
        <f>'Base Oficial'!A249</f>
        <v>700</v>
      </c>
      <c r="B249" s="6" t="str">
        <f>'Base Oficial'!B249</f>
        <v>JENNIFFER MIREYA AYALA ZEPEDA </v>
      </c>
      <c r="C249" s="6" t="str">
        <f>'Base Oficial'!F249</f>
        <v>AGENCIA MERLIOT  </v>
      </c>
      <c r="D249" s="6" t="str">
        <f>'Base Oficial'!G249</f>
        <v>Gerencia de Negocios (Agencias)</v>
      </c>
      <c r="E249" s="6" t="str">
        <f>'Base Oficial'!D249</f>
        <v>SUBJEFE DE  AGENCIA</v>
      </c>
      <c r="F249" s="4" t="str">
        <f>IF(COUNTIFS('Base Exámenes'!$C$5:$C$154, A249, 'Base Exámenes'!$E$5:$E$154, "&lt;&gt;")&gt;0, "Completado", "Pendiente")</f>
        <v>Completado</v>
      </c>
      <c r="G249" s="23">
        <f>IFERROR(INDEX('Base Exámenes'!$D$5:$D$154, MATCH(A249, 'Base Exámenes'!$C$5:$C$154, 0)), "")</f>
        <v>46302.55385416667</v>
      </c>
      <c r="H249" s="23">
        <f>IFERROR(INDEX('Base Exámenes'!$E$5:$E$154, MATCH(A249, 'Base Exámenes'!$C$5:$C$154, 0)), "")</f>
        <v>46302.561886574076</v>
      </c>
      <c r="I249" s="24">
        <f>IFERROR(INDEX('Base Exámenes'!$F$5:$F$154, MATCH(A249, 'Base Exámenes'!$C$5:$C$154, 0)), "")</f>
        <v>11.5666666666667</v>
      </c>
      <c r="J249" s="6">
        <f>IFERROR(INDEX('Base Exámenes'!$G$5:$G$154, MATCH(A249, 'Base Exámenes'!$C$5:$C$154, 0)), "")</f>
        <v>100</v>
      </c>
      <c r="K249" s="6" t="str">
        <f>IFERROR(INDEX('Base Exámenes'!$H$5:$H$154, MATCH(A249, 'Base Exámenes'!$C$5:$C$154, 0)), "anonymous")</f>
        <v>anonymous</v>
      </c>
    </row>
    <row r="250">
      <c r="A250" s="4" t="str">
        <f>'Base Oficial'!A250</f>
        <v>827</v>
      </c>
      <c r="B250" s="6" t="str">
        <f>'Base Oficial'!B250</f>
        <v>KELLY IDALIA CHAVEZ ABREGO </v>
      </c>
      <c r="C250" s="6" t="str">
        <f>'Base Oficial'!F250</f>
        <v>AGENCIA MERLIOT  </v>
      </c>
      <c r="D250" s="6" t="str">
        <f>'Base Oficial'!G250</f>
        <v>Gerencia de Negocios (Agencias)</v>
      </c>
      <c r="E250" s="6" t="str">
        <f>'Base Oficial'!D250</f>
        <v>CAJERO</v>
      </c>
      <c r="F250" s="4" t="str">
        <f>IF(COUNTIFS('Base Exámenes'!$C$5:$C$154, A250, 'Base Exámenes'!$E$5:$E$154, "&lt;&gt;")&gt;0, "Completado", "Pendiente")</f>
        <v>Completado</v>
      </c>
      <c r="G250" s="23">
        <f>IFERROR(INDEX('Base Exámenes'!$D$5:$D$154, MATCH(A250, 'Base Exámenes'!$C$5:$C$154, 0)), "")</f>
        <v>46302.5837962963</v>
      </c>
      <c r="H250" s="23">
        <f>IFERROR(INDEX('Base Exámenes'!$E$5:$E$154, MATCH(A250, 'Base Exámenes'!$C$5:$C$154, 0)), "")</f>
        <v>46302.58609953704</v>
      </c>
      <c r="I250" s="24">
        <f>IFERROR(INDEX('Base Exámenes'!$F$5:$F$154, MATCH(A250, 'Base Exámenes'!$C$5:$C$154, 0)), "")</f>
        <v>3.31666666666667</v>
      </c>
      <c r="J250" s="6">
        <f>IFERROR(INDEX('Base Exámenes'!$G$5:$G$154, MATCH(A250, 'Base Exámenes'!$C$5:$C$154, 0)), "")</f>
        <v>100</v>
      </c>
      <c r="K250" s="6" t="str">
        <f>IFERROR(INDEX('Base Exámenes'!$H$5:$H$154, MATCH(A250, 'Base Exámenes'!$C$5:$C$154, 0)), "anonymous")</f>
        <v>anonymous</v>
      </c>
    </row>
    <row r="251">
      <c r="A251" s="4" t="str">
        <f>'Base Oficial'!A251</f>
        <v>892</v>
      </c>
      <c r="B251" s="6" t="str">
        <f>'Base Oficial'!B251</f>
        <v>DIANA VANESSA RODRIGUEZ SORIANO </v>
      </c>
      <c r="C251" s="6" t="str">
        <f>'Base Oficial'!F251</f>
        <v>AGENCIA MERLIOT  </v>
      </c>
      <c r="D251" s="6" t="str">
        <f>'Base Oficial'!G251</f>
        <v>Gerencia de Negocios (Agencias)</v>
      </c>
      <c r="E251" s="6" t="str">
        <f>'Base Oficial'!D251</f>
        <v>EJECUTIVA DE SEGUROS</v>
      </c>
      <c r="F251" s="4" t="str">
        <f>IF(COUNTIFS('Base Exámenes'!$C$5:$C$154, A251, 'Base Exámenes'!$E$5:$E$154, "&lt;&gt;")&gt;0, "Completado", "Pendiente")</f>
        <v>Completado</v>
      </c>
      <c r="G251" s="23">
        <f>IFERROR(INDEX('Base Exámenes'!$D$5:$D$154, MATCH(A251, 'Base Exámenes'!$C$5:$C$154, 0)), "")</f>
        <v>46303.38890046296</v>
      </c>
      <c r="H251" s="23">
        <f>IFERROR(INDEX('Base Exámenes'!$E$5:$E$154, MATCH(A251, 'Base Exámenes'!$C$5:$C$154, 0)), "")</f>
        <v>46303.39013888889</v>
      </c>
      <c r="I251" s="24">
        <f>IFERROR(INDEX('Base Exámenes'!$F$5:$F$154, MATCH(A251, 'Base Exámenes'!$C$5:$C$154, 0)), "")</f>
        <v>1.78333333333333</v>
      </c>
      <c r="J251" s="6">
        <f>IFERROR(INDEX('Base Exámenes'!$G$5:$G$154, MATCH(A251, 'Base Exámenes'!$C$5:$C$154, 0)), "")</f>
        <v>100</v>
      </c>
      <c r="K251" s="6" t="str">
        <f>IFERROR(INDEX('Base Exámenes'!$H$5:$H$154, MATCH(A251, 'Base Exámenes'!$C$5:$C$154, 0)), "anonymous")</f>
        <v>anonymous</v>
      </c>
    </row>
    <row r="252">
      <c r="A252" s="4" t="str">
        <f>'Base Oficial'!A252</f>
        <v>909</v>
      </c>
      <c r="B252" s="6" t="str">
        <f>'Base Oficial'!B252</f>
        <v>GLADYS LISETH HERNANDEZ CRUZ </v>
      </c>
      <c r="C252" s="6" t="str">
        <f>'Base Oficial'!F252</f>
        <v>AGENCIA MERLIOT  </v>
      </c>
      <c r="D252" s="6" t="str">
        <f>'Base Oficial'!G252</f>
        <v>Gerencia de Negocios (Agencias)</v>
      </c>
      <c r="E252" s="6" t="str">
        <f>'Base Oficial'!D252</f>
        <v>CAJERO</v>
      </c>
      <c r="F252" s="4" t="str">
        <f>IF(COUNTIFS('Base Exámenes'!$C$5:$C$154, A252, 'Base Exámenes'!$E$5:$E$154, "&lt;&gt;")&gt;0, "Completado", "Pendiente")</f>
        <v>Completado</v>
      </c>
      <c r="G252" s="23">
        <f>IFERROR(INDEX('Base Exámenes'!$D$5:$D$154, MATCH(A252, 'Base Exámenes'!$C$5:$C$154, 0)), "")</f>
        <v>46302.70101851852</v>
      </c>
      <c r="H252" s="23">
        <f>IFERROR(INDEX('Base Exámenes'!$E$5:$E$154, MATCH(A252, 'Base Exámenes'!$C$5:$C$154, 0)), "")</f>
        <v>46302.70457175926</v>
      </c>
      <c r="I252" s="24">
        <f>IFERROR(INDEX('Base Exámenes'!$F$5:$F$154, MATCH(A252, 'Base Exámenes'!$C$5:$C$154, 0)), "")</f>
        <v>5.11666666666667</v>
      </c>
      <c r="J252" s="6">
        <f>IFERROR(INDEX('Base Exámenes'!$G$5:$G$154, MATCH(A252, 'Base Exámenes'!$C$5:$C$154, 0)), "")</f>
        <v>100</v>
      </c>
      <c r="K252" s="6" t="str">
        <f>IFERROR(INDEX('Base Exámenes'!$H$5:$H$154, MATCH(A252, 'Base Exámenes'!$C$5:$C$154, 0)), "anonymous")</f>
        <v>anonymous</v>
      </c>
    </row>
    <row r="253">
      <c r="A253" s="4" t="str">
        <f>'Base Oficial'!A253</f>
        <v>922</v>
      </c>
      <c r="B253" s="6" t="str">
        <f>'Base Oficial'!B253</f>
        <v>MADELINE ADRIANA GOMEZ GARCIA </v>
      </c>
      <c r="C253" s="6" t="str">
        <f>'Base Oficial'!F253</f>
        <v>AGENCIA MERLIOT  </v>
      </c>
      <c r="D253" s="6" t="str">
        <f>'Base Oficial'!G253</f>
        <v>Gerencia de Negocios (Agencias)</v>
      </c>
      <c r="E253" s="6" t="str">
        <f>'Base Oficial'!D253</f>
        <v>CAJERO</v>
      </c>
      <c r="F253" s="4" t="str">
        <f>IF(COUNTIFS('Base Exámenes'!$C$5:$C$154, A253, 'Base Exámenes'!$E$5:$E$154, "&lt;&gt;")&gt;0, "Completado", "Pendiente")</f>
        <v>Completado</v>
      </c>
      <c r="G253" s="23">
        <f>IFERROR(INDEX('Base Exámenes'!$D$5:$D$154, MATCH(A253, 'Base Exámenes'!$C$5:$C$154, 0)), "")</f>
        <v>46302.57461805556</v>
      </c>
      <c r="H253" s="23">
        <f>IFERROR(INDEX('Base Exámenes'!$E$5:$E$154, MATCH(A253, 'Base Exámenes'!$C$5:$C$154, 0)), "")</f>
        <v>46302.57753472222</v>
      </c>
      <c r="I253" s="24">
        <f>IFERROR(INDEX('Base Exámenes'!$F$5:$F$154, MATCH(A253, 'Base Exámenes'!$C$5:$C$154, 0)), "")</f>
        <v>4.2</v>
      </c>
      <c r="J253" s="6">
        <f>IFERROR(INDEX('Base Exámenes'!$G$5:$G$154, MATCH(A253, 'Base Exámenes'!$C$5:$C$154, 0)), "")</f>
        <v>100</v>
      </c>
      <c r="K253" s="6" t="str">
        <f>IFERROR(INDEX('Base Exámenes'!$H$5:$H$154, MATCH(A253, 'Base Exámenes'!$C$5:$C$154, 0)), "anonymous")</f>
        <v>anonymous</v>
      </c>
    </row>
    <row r="254">
      <c r="A254" s="4" t="str">
        <f>'Base Oficial'!A254</f>
        <v>936</v>
      </c>
      <c r="B254" s="6" t="str">
        <f>'Base Oficial'!B254</f>
        <v>MARISELA GUADALUPE MEJIA CRUZ </v>
      </c>
      <c r="C254" s="6" t="str">
        <f>'Base Oficial'!F254</f>
        <v>AGENCIA MERLIOT  </v>
      </c>
      <c r="D254" s="6" t="str">
        <f>'Base Oficial'!G254</f>
        <v>Gerencia de Negocios (Agencias)</v>
      </c>
      <c r="E254" s="6" t="str">
        <f>'Base Oficial'!D254</f>
        <v>CAJERO</v>
      </c>
      <c r="F254" s="4" t="str">
        <f>IF(COUNTIFS('Base Exámenes'!$C$5:$C$154, A254, 'Base Exámenes'!$E$5:$E$154, "&lt;&gt;")&gt;0, "Completado", "Pendiente")</f>
        <v>Completado</v>
      </c>
      <c r="G254" s="23">
        <f>IFERROR(INDEX('Base Exámenes'!$D$5:$D$154, MATCH(A254, 'Base Exámenes'!$C$5:$C$154, 0)), "")</f>
        <v>46302.63322916667</v>
      </c>
      <c r="H254" s="23">
        <f>IFERROR(INDEX('Base Exámenes'!$E$5:$E$154, MATCH(A254, 'Base Exámenes'!$C$5:$C$154, 0)), "")</f>
        <v>46302.637037037035</v>
      </c>
      <c r="I254" s="24">
        <f>IFERROR(INDEX('Base Exámenes'!$F$5:$F$154, MATCH(A254, 'Base Exámenes'!$C$5:$C$154, 0)), "")</f>
        <v>5.48333333333333</v>
      </c>
      <c r="J254" s="6">
        <f>IFERROR(INDEX('Base Exámenes'!$G$5:$G$154, MATCH(A254, 'Base Exámenes'!$C$5:$C$154, 0)), "")</f>
        <v>100</v>
      </c>
      <c r="K254" s="6" t="str">
        <f>IFERROR(INDEX('Base Exámenes'!$H$5:$H$154, MATCH(A254, 'Base Exámenes'!$C$5:$C$154, 0)), "anonymous")</f>
        <v>anonymous</v>
      </c>
    </row>
    <row r="255">
      <c r="A255" s="4" t="str">
        <f>'Base Oficial'!A255</f>
        <v>944</v>
      </c>
      <c r="B255" s="6" t="str">
        <f>'Base Oficial'!B255</f>
        <v>JOSSELYN  IVONNE GARCIA  HERNANDEZ  </v>
      </c>
      <c r="C255" s="6" t="str">
        <f>'Base Oficial'!F255</f>
        <v>AGENCIA MERLIOT  </v>
      </c>
      <c r="D255" s="6" t="str">
        <f>'Base Oficial'!G255</f>
        <v>Gerencia de Negocios (Agencias)</v>
      </c>
      <c r="E255" s="6" t="str">
        <f>'Base Oficial'!D255</f>
        <v>AUXILIAR DE ATENCION A  ASOCIADOS</v>
      </c>
      <c r="F255" s="4" t="str">
        <f>IF(COUNTIFS('Base Exámenes'!$C$5:$C$154, A255, 'Base Exámenes'!$E$5:$E$154, "&lt;&gt;")&gt;0, "Completado", "Pendiente")</f>
        <v>Completado</v>
      </c>
      <c r="G255" s="23">
        <f>IFERROR(INDEX('Base Exámenes'!$D$5:$D$154, MATCH(A255, 'Base Exámenes'!$C$5:$C$154, 0)), "")</f>
        <v>46296.64094907408</v>
      </c>
      <c r="H255" s="23">
        <f>IFERROR(INDEX('Base Exámenes'!$E$5:$E$154, MATCH(A255, 'Base Exámenes'!$C$5:$C$154, 0)), "")</f>
        <v>46296.67511574074</v>
      </c>
      <c r="I255" s="24">
        <f>IFERROR(INDEX('Base Exámenes'!$F$5:$F$154, MATCH(A255, 'Base Exámenes'!$C$5:$C$154, 0)), "")</f>
        <v>49.2</v>
      </c>
      <c r="J255" s="6">
        <f>IFERROR(INDEX('Base Exámenes'!$G$5:$G$154, MATCH(A255, 'Base Exámenes'!$C$5:$C$154, 0)), "")</f>
        <v>75</v>
      </c>
      <c r="K255" s="6" t="str">
        <f>IFERROR(INDEX('Base Exámenes'!$H$5:$H$154, MATCH(A255, 'Base Exámenes'!$C$5:$C$154, 0)), "anonymous")</f>
        <v>anonymous</v>
      </c>
    </row>
    <row r="256">
      <c r="A256" s="4" t="str">
        <f>'Base Oficial'!A256</f>
        <v>967</v>
      </c>
      <c r="B256" s="6" t="str">
        <f>'Base Oficial'!B256</f>
        <v>MAVERICK JOSSIMAR GONZALEZ  MUÑOZ </v>
      </c>
      <c r="C256" s="6" t="str">
        <f>'Base Oficial'!F256</f>
        <v>AGENCIA MERLIOT  </v>
      </c>
      <c r="D256" s="6" t="str">
        <f>'Base Oficial'!G256</f>
        <v>Gerencia de Negocios (Agencias)</v>
      </c>
      <c r="E256" s="6" t="str">
        <f>'Base Oficial'!D256</f>
        <v>CAJERO</v>
      </c>
      <c r="F256" s="4" t="str">
        <f>IF(COUNTIFS('Base Exámenes'!$C$5:$C$154, A256, 'Base Exámenes'!$E$5:$E$154, "&lt;&gt;")&gt;0, "Completado", "Pendiente")</f>
        <v>Completado</v>
      </c>
      <c r="G256" s="23">
        <f>IFERROR(INDEX('Base Exámenes'!$D$5:$D$154, MATCH(A256, 'Base Exámenes'!$C$5:$C$154, 0)), "")</f>
        <v>46302.58623842592</v>
      </c>
      <c r="H256" s="23">
        <f>IFERROR(INDEX('Base Exámenes'!$E$5:$E$154, MATCH(A256, 'Base Exámenes'!$C$5:$C$154, 0)), "")</f>
        <v>46302.58998842593</v>
      </c>
      <c r="I256" s="24">
        <f>IFERROR(INDEX('Base Exámenes'!$F$5:$F$154, MATCH(A256, 'Base Exámenes'!$C$5:$C$154, 0)), "")</f>
        <v>5.4</v>
      </c>
      <c r="J256" s="6">
        <f>IFERROR(INDEX('Base Exámenes'!$G$5:$G$154, MATCH(A256, 'Base Exámenes'!$C$5:$C$154, 0)), "")</f>
        <v>100</v>
      </c>
      <c r="K256" s="6" t="str">
        <f>IFERROR(INDEX('Base Exámenes'!$H$5:$H$154, MATCH(A256, 'Base Exámenes'!$C$5:$C$154, 0)), "anonymous")</f>
        <v>anonymous</v>
      </c>
    </row>
    <row r="257">
      <c r="A257" s="4" t="str">
        <f>'Base Oficial'!A257</f>
        <v>19</v>
      </c>
      <c r="B257" s="6" t="str">
        <f>'Base Oficial'!B257</f>
        <v>ANA MARGARITA SERRANO RUBIO</v>
      </c>
      <c r="C257" s="6" t="str">
        <f>'Base Oficial'!F257</f>
        <v>AGENCIA COLONIA MEDICA  </v>
      </c>
      <c r="D257" s="6" t="str">
        <f>'Base Oficial'!G257</f>
        <v>Gerencia de Negocios (Agencias)</v>
      </c>
      <c r="E257" s="6" t="str">
        <f>'Base Oficial'!D257</f>
        <v>CAJERO</v>
      </c>
      <c r="F257" s="4" t="str">
        <f>IF(COUNTIFS('Base Exámenes'!$C$5:$C$154, A257, 'Base Exámenes'!$E$5:$E$154, "&lt;&gt;")&gt;0, "Completado", "Pendiente")</f>
        <v>Pendiente</v>
      </c>
      <c r="G257" s="23" t="str">
        <f>IFERROR(INDEX('Base Exámenes'!$D$5:$D$154, MATCH(A257, 'Base Exámenes'!$C$5:$C$154, 0)), "")</f>
        <v/>
      </c>
      <c r="H257" s="23" t="str">
        <f>IFERROR(INDEX('Base Exámenes'!$E$5:$E$154, MATCH(A257, 'Base Exámenes'!$C$5:$C$154, 0)), "")</f>
        <v/>
      </c>
      <c r="I257" s="24" t="str">
        <f>IFERROR(INDEX('Base Exámenes'!$F$5:$F$154, MATCH(A257, 'Base Exámenes'!$C$5:$C$154, 0)), "")</f>
        <v/>
      </c>
      <c r="J257" s="6" t="str">
        <f>IFERROR(INDEX('Base Exámenes'!$G$5:$G$154, MATCH(A257, 'Base Exámenes'!$C$5:$C$154, 0)), "")</f>
        <v/>
      </c>
      <c r="K257" s="6" t="str">
        <f>IFERROR(INDEX('Base Exámenes'!$H$5:$H$154, MATCH(A257, 'Base Exámenes'!$C$5:$C$154, 0)), "anonymous")</f>
        <v>anonymous</v>
      </c>
    </row>
    <row r="258">
      <c r="A258" s="4" t="str">
        <f>'Base Oficial'!A258</f>
        <v>89</v>
      </c>
      <c r="B258" s="6" t="str">
        <f>'Base Oficial'!B258</f>
        <v>PATRICIA JEANNETTE FLORES MARTINEZ </v>
      </c>
      <c r="C258" s="6" t="str">
        <f>'Base Oficial'!F258</f>
        <v>AGENCIA COLONIA MEDICA  </v>
      </c>
      <c r="D258" s="6" t="str">
        <f>'Base Oficial'!G258</f>
        <v>Gerencia de Negocios (Agencias)</v>
      </c>
      <c r="E258" s="6" t="str">
        <f>'Base Oficial'!D258</f>
        <v>AUXILIAR DE OPERACIONES Y ATENCION EN  AGENCIA</v>
      </c>
      <c r="F258" s="4" t="str">
        <f>IF(COUNTIFS('Base Exámenes'!$C$5:$C$154, A258, 'Base Exámenes'!$E$5:$E$154, "&lt;&gt;")&gt;0, "Completado", "Pendiente")</f>
        <v>Completado</v>
      </c>
      <c r="G258" s="23">
        <f>IFERROR(INDEX('Base Exámenes'!$D$5:$D$154, MATCH(A258, 'Base Exámenes'!$C$5:$C$154, 0)), "")</f>
        <v>46302.64388888889</v>
      </c>
      <c r="H258" s="23">
        <f>IFERROR(INDEX('Base Exámenes'!$E$5:$E$154, MATCH(A258, 'Base Exámenes'!$C$5:$C$154, 0)), "")</f>
        <v>46302.64712962963</v>
      </c>
      <c r="I258" s="24">
        <f>IFERROR(INDEX('Base Exámenes'!$F$5:$F$154, MATCH(A258, 'Base Exámenes'!$C$5:$C$154, 0)), "")</f>
        <v>4.66666666666667</v>
      </c>
      <c r="J258" s="6">
        <f>IFERROR(INDEX('Base Exámenes'!$G$5:$G$154, MATCH(A258, 'Base Exámenes'!$C$5:$C$154, 0)), "")</f>
        <v>100</v>
      </c>
      <c r="K258" s="6" t="str">
        <f>IFERROR(INDEX('Base Exámenes'!$H$5:$H$154, MATCH(A258, 'Base Exámenes'!$C$5:$C$154, 0)), "anonymous")</f>
        <v>anonymous</v>
      </c>
    </row>
    <row r="259">
      <c r="A259" s="4" t="str">
        <f>'Base Oficial'!A259</f>
        <v>179</v>
      </c>
      <c r="B259" s="6" t="str">
        <f>'Base Oficial'!B259</f>
        <v>JULIO RAFAEL FLORES HENRIQUEZ </v>
      </c>
      <c r="C259" s="6" t="str">
        <f>'Base Oficial'!F259</f>
        <v>AGENCIA COLONIA MEDICA  </v>
      </c>
      <c r="D259" s="6" t="str">
        <f>'Base Oficial'!G259</f>
        <v>Gerencia de Negocios (Agencias)</v>
      </c>
      <c r="E259" s="6" t="str">
        <f>'Base Oficial'!D259</f>
        <v>JEFE DE AGENCIA  </v>
      </c>
      <c r="F259" s="4" t="str">
        <f>IF(COUNTIFS('Base Exámenes'!$C$5:$C$154, A259, 'Base Exámenes'!$E$5:$E$154, "&lt;&gt;")&gt;0, "Completado", "Pendiente")</f>
        <v>Pendiente</v>
      </c>
      <c r="G259" s="23" t="str">
        <f>IFERROR(INDEX('Base Exámenes'!$D$5:$D$154, MATCH(A259, 'Base Exámenes'!$C$5:$C$154, 0)), "")</f>
        <v/>
      </c>
      <c r="H259" s="23" t="str">
        <f>IFERROR(INDEX('Base Exámenes'!$E$5:$E$154, MATCH(A259, 'Base Exámenes'!$C$5:$C$154, 0)), "")</f>
        <v/>
      </c>
      <c r="I259" s="24" t="str">
        <f>IFERROR(INDEX('Base Exámenes'!$F$5:$F$154, MATCH(A259, 'Base Exámenes'!$C$5:$C$154, 0)), "")</f>
        <v/>
      </c>
      <c r="J259" s="6" t="str">
        <f>IFERROR(INDEX('Base Exámenes'!$G$5:$G$154, MATCH(A259, 'Base Exámenes'!$C$5:$C$154, 0)), "")</f>
        <v/>
      </c>
      <c r="K259" s="6" t="str">
        <f>IFERROR(INDEX('Base Exámenes'!$H$5:$H$154, MATCH(A259, 'Base Exámenes'!$C$5:$C$154, 0)), "anonymous")</f>
        <v>anonymous</v>
      </c>
    </row>
    <row r="260">
      <c r="A260" s="4" t="str">
        <f>'Base Oficial'!A260</f>
        <v>308</v>
      </c>
      <c r="B260" s="6" t="str">
        <f>'Base Oficial'!B260</f>
        <v>JENNIFFER IVETTE MORALES PEREZ </v>
      </c>
      <c r="C260" s="6" t="str">
        <f>'Base Oficial'!F260</f>
        <v>AGENCIA COLONIA MEDICA  </v>
      </c>
      <c r="D260" s="6" t="str">
        <f>'Base Oficial'!G260</f>
        <v>Gerencia de Negocios (Agencias)</v>
      </c>
      <c r="E260" s="6" t="str">
        <f>'Base Oficial'!D260</f>
        <v>EJECUTIVO DE NEGOCIOS</v>
      </c>
      <c r="F260" s="4" t="str">
        <f>IF(COUNTIFS('Base Exámenes'!$C$5:$C$154, A260, 'Base Exámenes'!$E$5:$E$154, "&lt;&gt;")&gt;0, "Completado", "Pendiente")</f>
        <v>Completado</v>
      </c>
      <c r="G260" s="23">
        <f>IFERROR(INDEX('Base Exámenes'!$D$5:$D$154, MATCH(A260, 'Base Exámenes'!$C$5:$C$154, 0)), "")</f>
        <v>46297.711550925924</v>
      </c>
      <c r="H260" s="23">
        <f>IFERROR(INDEX('Base Exámenes'!$E$5:$E$154, MATCH(A260, 'Base Exámenes'!$C$5:$C$154, 0)), "")</f>
        <v>46297.714895833335</v>
      </c>
      <c r="I260" s="24">
        <f>IFERROR(INDEX('Base Exámenes'!$F$5:$F$154, MATCH(A260, 'Base Exámenes'!$C$5:$C$154, 0)), "")</f>
        <v>4.81666666666667</v>
      </c>
      <c r="J260" s="6">
        <f>IFERROR(INDEX('Base Exámenes'!$G$5:$G$154, MATCH(A260, 'Base Exámenes'!$C$5:$C$154, 0)), "")</f>
        <v>95</v>
      </c>
      <c r="K260" s="6" t="str">
        <f>IFERROR(INDEX('Base Exámenes'!$H$5:$H$154, MATCH(A260, 'Base Exámenes'!$C$5:$C$154, 0)), "anonymous")</f>
        <v>anonymous</v>
      </c>
    </row>
    <row r="261">
      <c r="A261" s="4" t="str">
        <f>'Base Oficial'!A261</f>
        <v>412</v>
      </c>
      <c r="B261" s="6" t="str">
        <f>'Base Oficial'!B261</f>
        <v>CARMEN DE JESÚS GONZÁLEZ BLANCO </v>
      </c>
      <c r="C261" s="6" t="str">
        <f>'Base Oficial'!F261</f>
        <v>AGENCIA COLONIA MEDICA  </v>
      </c>
      <c r="D261" s="6" t="str">
        <f>'Base Oficial'!G261</f>
        <v>Gerencia de Negocios (Agencias)</v>
      </c>
      <c r="E261" s="6" t="str">
        <f>'Base Oficial'!D261</f>
        <v>EJECUTIVA DE SEGUROS</v>
      </c>
      <c r="F261" s="4" t="str">
        <f>IF(COUNTIFS('Base Exámenes'!$C$5:$C$154, A261, 'Base Exámenes'!$E$5:$E$154, "&lt;&gt;")&gt;0, "Completado", "Pendiente")</f>
        <v>Completado</v>
      </c>
      <c r="G261" s="23">
        <f>IFERROR(INDEX('Base Exámenes'!$D$5:$D$154, MATCH(A261, 'Base Exámenes'!$C$5:$C$154, 0)), "")</f>
        <v>46302.48877314815</v>
      </c>
      <c r="H261" s="23">
        <f>IFERROR(INDEX('Base Exámenes'!$E$5:$E$154, MATCH(A261, 'Base Exámenes'!$C$5:$C$154, 0)), "")</f>
        <v>46302.63581018519</v>
      </c>
      <c r="I261" s="24">
        <f>IFERROR(INDEX('Base Exámenes'!$F$5:$F$154, MATCH(A261, 'Base Exámenes'!$C$5:$C$154, 0)), "")</f>
        <v>211.733333333333</v>
      </c>
      <c r="J261" s="6">
        <f>IFERROR(INDEX('Base Exámenes'!$G$5:$G$154, MATCH(A261, 'Base Exámenes'!$C$5:$C$154, 0)), "")</f>
        <v>100</v>
      </c>
      <c r="K261" s="6" t="str">
        <f>IFERROR(INDEX('Base Exámenes'!$H$5:$H$154, MATCH(A261, 'Base Exámenes'!$C$5:$C$154, 0)), "anonymous")</f>
        <v>anonymous</v>
      </c>
    </row>
    <row r="262">
      <c r="A262" s="4" t="str">
        <f>'Base Oficial'!A262</f>
        <v>624</v>
      </c>
      <c r="B262" s="6" t="str">
        <f>'Base Oficial'!B262</f>
        <v>JULIO ENRIQUE  CAMPOS ANDRADE </v>
      </c>
      <c r="C262" s="6" t="str">
        <f>'Base Oficial'!F262</f>
        <v>AGENCIA COLONIA MEDICA  </v>
      </c>
      <c r="D262" s="6" t="str">
        <f>'Base Oficial'!G262</f>
        <v>Gerencia de Negocios (Agencias)</v>
      </c>
      <c r="E262" s="6" t="str">
        <f>'Base Oficial'!D262</f>
        <v>EJECUTIVO DE NEGOCIOS</v>
      </c>
      <c r="F262" s="4" t="str">
        <f>IF(COUNTIFS('Base Exámenes'!$C$5:$C$154, A262, 'Base Exámenes'!$E$5:$E$154, "&lt;&gt;")&gt;0, "Completado", "Pendiente")</f>
        <v>Pendiente</v>
      </c>
      <c r="G262" s="23" t="str">
        <f>IFERROR(INDEX('Base Exámenes'!$D$5:$D$154, MATCH(A262, 'Base Exámenes'!$C$5:$C$154, 0)), "")</f>
        <v/>
      </c>
      <c r="H262" s="23" t="str">
        <f>IFERROR(INDEX('Base Exámenes'!$E$5:$E$154, MATCH(A262, 'Base Exámenes'!$C$5:$C$154, 0)), "")</f>
        <v/>
      </c>
      <c r="I262" s="24" t="str">
        <f>IFERROR(INDEX('Base Exámenes'!$F$5:$F$154, MATCH(A262, 'Base Exámenes'!$C$5:$C$154, 0)), "")</f>
        <v/>
      </c>
      <c r="J262" s="6" t="str">
        <f>IFERROR(INDEX('Base Exámenes'!$G$5:$G$154, MATCH(A262, 'Base Exámenes'!$C$5:$C$154, 0)), "")</f>
        <v/>
      </c>
      <c r="K262" s="6" t="str">
        <f>IFERROR(INDEX('Base Exámenes'!$H$5:$H$154, MATCH(A262, 'Base Exámenes'!$C$5:$C$154, 0)), "anonymous")</f>
        <v>anonymous</v>
      </c>
    </row>
    <row r="263">
      <c r="A263" s="4" t="str">
        <f>'Base Oficial'!A263</f>
        <v>674</v>
      </c>
      <c r="B263" s="6" t="str">
        <f>'Base Oficial'!B263</f>
        <v>ALFREDO ARMANDO RAMOS ESCOBAR </v>
      </c>
      <c r="C263" s="6" t="str">
        <f>'Base Oficial'!F263</f>
        <v>AGENCIA COLONIA MEDICA  </v>
      </c>
      <c r="D263" s="6" t="str">
        <f>'Base Oficial'!G263</f>
        <v>Gerencia de Negocios (Agencias)</v>
      </c>
      <c r="E263" s="6" t="str">
        <f>'Base Oficial'!D263</f>
        <v>CAJERO</v>
      </c>
      <c r="F263" s="4" t="str">
        <f>IF(COUNTIFS('Base Exámenes'!$C$5:$C$154, A263, 'Base Exámenes'!$E$5:$E$154, "&lt;&gt;")&gt;0, "Completado", "Pendiente")</f>
        <v>Pendiente</v>
      </c>
      <c r="G263" s="23" t="str">
        <f>IFERROR(INDEX('Base Exámenes'!$D$5:$D$154, MATCH(A263, 'Base Exámenes'!$C$5:$C$154, 0)), "")</f>
        <v/>
      </c>
      <c r="H263" s="23" t="str">
        <f>IFERROR(INDEX('Base Exámenes'!$E$5:$E$154, MATCH(A263, 'Base Exámenes'!$C$5:$C$154, 0)), "")</f>
        <v/>
      </c>
      <c r="I263" s="24" t="str">
        <f>IFERROR(INDEX('Base Exámenes'!$F$5:$F$154, MATCH(A263, 'Base Exámenes'!$C$5:$C$154, 0)), "")</f>
        <v/>
      </c>
      <c r="J263" s="6" t="str">
        <f>IFERROR(INDEX('Base Exámenes'!$G$5:$G$154, MATCH(A263, 'Base Exámenes'!$C$5:$C$154, 0)), "")</f>
        <v/>
      </c>
      <c r="K263" s="6" t="str">
        <f>IFERROR(INDEX('Base Exámenes'!$H$5:$H$154, MATCH(A263, 'Base Exámenes'!$C$5:$C$154, 0)), "anonymous")</f>
        <v>anonymous</v>
      </c>
    </row>
    <row r="264">
      <c r="A264" s="4" t="str">
        <f>'Base Oficial'!A264</f>
        <v>722</v>
      </c>
      <c r="B264" s="6" t="str">
        <f>'Base Oficial'!B264</f>
        <v>INGRID PAOLA  CORADO HERNANDEZ </v>
      </c>
      <c r="C264" s="6" t="str">
        <f>'Base Oficial'!F264</f>
        <v>AGENCIA COLONIA MEDICA  </v>
      </c>
      <c r="D264" s="6" t="str">
        <f>'Base Oficial'!G264</f>
        <v>Gerencia de Negocios (Agencias)</v>
      </c>
      <c r="E264" s="6" t="str">
        <f>'Base Oficial'!D264</f>
        <v>CAJERO</v>
      </c>
      <c r="F264" s="4" t="str">
        <f>IF(COUNTIFS('Base Exámenes'!$C$5:$C$154, A264, 'Base Exámenes'!$E$5:$E$154, "&lt;&gt;")&gt;0, "Completado", "Pendiente")</f>
        <v>Pendiente</v>
      </c>
      <c r="G264" s="23" t="str">
        <f>IFERROR(INDEX('Base Exámenes'!$D$5:$D$154, MATCH(A264, 'Base Exámenes'!$C$5:$C$154, 0)), "")</f>
        <v/>
      </c>
      <c r="H264" s="23" t="str">
        <f>IFERROR(INDEX('Base Exámenes'!$E$5:$E$154, MATCH(A264, 'Base Exámenes'!$C$5:$C$154, 0)), "")</f>
        <v/>
      </c>
      <c r="I264" s="24" t="str">
        <f>IFERROR(INDEX('Base Exámenes'!$F$5:$F$154, MATCH(A264, 'Base Exámenes'!$C$5:$C$154, 0)), "")</f>
        <v/>
      </c>
      <c r="J264" s="6" t="str">
        <f>IFERROR(INDEX('Base Exámenes'!$G$5:$G$154, MATCH(A264, 'Base Exámenes'!$C$5:$C$154, 0)), "")</f>
        <v/>
      </c>
      <c r="K264" s="6" t="str">
        <f>IFERROR(INDEX('Base Exámenes'!$H$5:$H$154, MATCH(A264, 'Base Exámenes'!$C$5:$C$154, 0)), "anonymous")</f>
        <v>anonymous</v>
      </c>
    </row>
    <row r="265">
      <c r="A265" s="4" t="str">
        <f>'Base Oficial'!A265</f>
        <v>728</v>
      </c>
      <c r="B265" s="6" t="str">
        <f>'Base Oficial'!B265</f>
        <v>DIANA MARISOL BATRES BARAHONA </v>
      </c>
      <c r="C265" s="6" t="str">
        <f>'Base Oficial'!F265</f>
        <v>AGENCIA COLONIA MEDICA  </v>
      </c>
      <c r="D265" s="6" t="str">
        <f>'Base Oficial'!G265</f>
        <v>Gerencia de Negocios (Agencias)</v>
      </c>
      <c r="E265" s="6" t="str">
        <f>'Base Oficial'!D265</f>
        <v>SUBJEFE DE  AGENCIA</v>
      </c>
      <c r="F265" s="4" t="str">
        <f>IF(COUNTIFS('Base Exámenes'!$C$5:$C$154, A265, 'Base Exámenes'!$E$5:$E$154, "&lt;&gt;")&gt;0, "Completado", "Pendiente")</f>
        <v>Completado</v>
      </c>
      <c r="G265" s="23">
        <f>IFERROR(INDEX('Base Exámenes'!$D$5:$D$154, MATCH(A265, 'Base Exámenes'!$C$5:$C$154, 0)), "")</f>
        <v>46300.67056712963</v>
      </c>
      <c r="H265" s="23">
        <f>IFERROR(INDEX('Base Exámenes'!$E$5:$E$154, MATCH(A265, 'Base Exámenes'!$C$5:$C$154, 0)), "")</f>
        <v>46300.68400462963</v>
      </c>
      <c r="I265" s="24">
        <f>IFERROR(INDEX('Base Exámenes'!$F$5:$F$154, MATCH(A265, 'Base Exámenes'!$C$5:$C$154, 0)), "")</f>
        <v>19.35</v>
      </c>
      <c r="J265" s="6">
        <f>IFERROR(INDEX('Base Exámenes'!$G$5:$G$154, MATCH(A265, 'Base Exámenes'!$C$5:$C$154, 0)), "")</f>
        <v>100</v>
      </c>
      <c r="K265" s="6" t="str">
        <f>IFERROR(INDEX('Base Exámenes'!$H$5:$H$154, MATCH(A265, 'Base Exámenes'!$C$5:$C$154, 0)), "anonymous")</f>
        <v>anonymous</v>
      </c>
    </row>
    <row r="266">
      <c r="A266" s="4" t="str">
        <f>'Base Oficial'!A266</f>
        <v>735</v>
      </c>
      <c r="B266" s="6" t="str">
        <f>'Base Oficial'!B266</f>
        <v>YHANA MILET  VALLE  HERNANDEZ</v>
      </c>
      <c r="C266" s="6" t="str">
        <f>'Base Oficial'!F266</f>
        <v>AGENCIA COLONIA MEDICA  </v>
      </c>
      <c r="D266" s="6" t="str">
        <f>'Base Oficial'!G266</f>
        <v>Gerencia de Negocios (Agencias)</v>
      </c>
      <c r="E266" s="6" t="str">
        <f>'Base Oficial'!D266</f>
        <v>CAJERO</v>
      </c>
      <c r="F266" s="4" t="str">
        <f>IF(COUNTIFS('Base Exámenes'!$C$5:$C$154, A266, 'Base Exámenes'!$E$5:$E$154, "&lt;&gt;")&gt;0, "Completado", "Pendiente")</f>
        <v>Pendiente</v>
      </c>
      <c r="G266" s="23" t="str">
        <f>IFERROR(INDEX('Base Exámenes'!$D$5:$D$154, MATCH(A266, 'Base Exámenes'!$C$5:$C$154, 0)), "")</f>
        <v/>
      </c>
      <c r="H266" s="23" t="str">
        <f>IFERROR(INDEX('Base Exámenes'!$E$5:$E$154, MATCH(A266, 'Base Exámenes'!$C$5:$C$154, 0)), "")</f>
        <v/>
      </c>
      <c r="I266" s="24" t="str">
        <f>IFERROR(INDEX('Base Exámenes'!$F$5:$F$154, MATCH(A266, 'Base Exámenes'!$C$5:$C$154, 0)), "")</f>
        <v/>
      </c>
      <c r="J266" s="6" t="str">
        <f>IFERROR(INDEX('Base Exámenes'!$G$5:$G$154, MATCH(A266, 'Base Exámenes'!$C$5:$C$154, 0)), "")</f>
        <v/>
      </c>
      <c r="K266" s="6" t="str">
        <f>IFERROR(INDEX('Base Exámenes'!$H$5:$H$154, MATCH(A266, 'Base Exámenes'!$C$5:$C$154, 0)), "anonymous")</f>
        <v>anonymous</v>
      </c>
    </row>
    <row r="267">
      <c r="A267" s="4" t="str">
        <f>'Base Oficial'!A267</f>
        <v>801</v>
      </c>
      <c r="B267" s="6" t="str">
        <f>'Base Oficial'!B267</f>
        <v>ZULMA BEATRIZ RIVAS RIVERA </v>
      </c>
      <c r="C267" s="6" t="str">
        <f>'Base Oficial'!F267</f>
        <v>AGENCIA COLONIA MEDICA  </v>
      </c>
      <c r="D267" s="6" t="str">
        <f>'Base Oficial'!G267</f>
        <v>Gerencia de Negocios (Agencias)</v>
      </c>
      <c r="E267" s="6" t="str">
        <f>'Base Oficial'!D267</f>
        <v>CAJERO</v>
      </c>
      <c r="F267" s="4" t="str">
        <f>IF(COUNTIFS('Base Exámenes'!$C$5:$C$154, A267, 'Base Exámenes'!$E$5:$E$154, "&lt;&gt;")&gt;0, "Completado", "Pendiente")</f>
        <v>Completado</v>
      </c>
      <c r="G267" s="23">
        <f>IFERROR(INDEX('Base Exámenes'!$D$5:$D$154, MATCH(A267, 'Base Exámenes'!$C$5:$C$154, 0)), "")</f>
        <v>46300.686423611114</v>
      </c>
      <c r="H267" s="23">
        <f>IFERROR(INDEX('Base Exámenes'!$E$5:$E$154, MATCH(A267, 'Base Exámenes'!$C$5:$C$154, 0)), "")</f>
        <v>46300.688368055555</v>
      </c>
      <c r="I267" s="24">
        <f>IFERROR(INDEX('Base Exámenes'!$F$5:$F$154, MATCH(A267, 'Base Exámenes'!$C$5:$C$154, 0)), "")</f>
        <v>2.8</v>
      </c>
      <c r="J267" s="6">
        <f>IFERROR(INDEX('Base Exámenes'!$G$5:$G$154, MATCH(A267, 'Base Exámenes'!$C$5:$C$154, 0)), "")</f>
        <v>100</v>
      </c>
      <c r="K267" s="6" t="str">
        <f>IFERROR(INDEX('Base Exámenes'!$H$5:$H$154, MATCH(A267, 'Base Exámenes'!$C$5:$C$154, 0)), "anonymous")</f>
        <v>anonymous</v>
      </c>
    </row>
    <row r="268">
      <c r="A268" s="4" t="str">
        <f>'Base Oficial'!A268</f>
        <v>855</v>
      </c>
      <c r="B268" s="6" t="str">
        <f>'Base Oficial'!B268</f>
        <v>STEFFANY MARIELOS MIRO HERNANDEZ </v>
      </c>
      <c r="C268" s="6" t="str">
        <f>'Base Oficial'!F268</f>
        <v>AGENCIA COLONIA MEDICA  </v>
      </c>
      <c r="D268" s="6" t="str">
        <f>'Base Oficial'!G268</f>
        <v>Gerencia de Negocios (Agencias)</v>
      </c>
      <c r="E268" s="6" t="str">
        <f>'Base Oficial'!D268</f>
        <v>CAJERO</v>
      </c>
      <c r="F268" s="4" t="str">
        <f>IF(COUNTIFS('Base Exámenes'!$C$5:$C$154, A268, 'Base Exámenes'!$E$5:$E$154, "&lt;&gt;")&gt;0, "Completado", "Pendiente")</f>
        <v>Pendiente</v>
      </c>
      <c r="G268" s="23" t="str">
        <f>IFERROR(INDEX('Base Exámenes'!$D$5:$D$154, MATCH(A268, 'Base Exámenes'!$C$5:$C$154, 0)), "")</f>
        <v/>
      </c>
      <c r="H268" s="23" t="str">
        <f>IFERROR(INDEX('Base Exámenes'!$E$5:$E$154, MATCH(A268, 'Base Exámenes'!$C$5:$C$154, 0)), "")</f>
        <v/>
      </c>
      <c r="I268" s="24" t="str">
        <f>IFERROR(INDEX('Base Exámenes'!$F$5:$F$154, MATCH(A268, 'Base Exámenes'!$C$5:$C$154, 0)), "")</f>
        <v/>
      </c>
      <c r="J268" s="6" t="str">
        <f>IFERROR(INDEX('Base Exámenes'!$G$5:$G$154, MATCH(A268, 'Base Exámenes'!$C$5:$C$154, 0)), "")</f>
        <v/>
      </c>
      <c r="K268" s="6" t="str">
        <f>IFERROR(INDEX('Base Exámenes'!$H$5:$H$154, MATCH(A268, 'Base Exámenes'!$C$5:$C$154, 0)), "anonymous")</f>
        <v>anonymous</v>
      </c>
    </row>
    <row r="269">
      <c r="A269" s="4" t="str">
        <f>'Base Oficial'!A269</f>
        <v>873</v>
      </c>
      <c r="B269" s="6" t="str">
        <f>'Base Oficial'!B269</f>
        <v>FLOR DE MARIA ROSALES SORTO </v>
      </c>
      <c r="C269" s="6" t="str">
        <f>'Base Oficial'!F269</f>
        <v>AGENCIA COLONIA MEDICA  </v>
      </c>
      <c r="D269" s="6" t="str">
        <f>'Base Oficial'!G269</f>
        <v>Gerencia de Negocios (Agencias)</v>
      </c>
      <c r="E269" s="6" t="str">
        <f>'Base Oficial'!D269</f>
        <v>CAJERO</v>
      </c>
      <c r="F269" s="4" t="str">
        <f>IF(COUNTIFS('Base Exámenes'!$C$5:$C$154, A269, 'Base Exámenes'!$E$5:$E$154, "&lt;&gt;")&gt;0, "Completado", "Pendiente")</f>
        <v>Pendiente</v>
      </c>
      <c r="G269" s="23" t="str">
        <f>IFERROR(INDEX('Base Exámenes'!$D$5:$D$154, MATCH(A269, 'Base Exámenes'!$C$5:$C$154, 0)), "")</f>
        <v/>
      </c>
      <c r="H269" s="23" t="str">
        <f>IFERROR(INDEX('Base Exámenes'!$E$5:$E$154, MATCH(A269, 'Base Exámenes'!$C$5:$C$154, 0)), "")</f>
        <v/>
      </c>
      <c r="I269" s="24" t="str">
        <f>IFERROR(INDEX('Base Exámenes'!$F$5:$F$154, MATCH(A269, 'Base Exámenes'!$C$5:$C$154, 0)), "")</f>
        <v/>
      </c>
      <c r="J269" s="6" t="str">
        <f>IFERROR(INDEX('Base Exámenes'!$G$5:$G$154, MATCH(A269, 'Base Exámenes'!$C$5:$C$154, 0)), "")</f>
        <v/>
      </c>
      <c r="K269" s="6" t="str">
        <f>IFERROR(INDEX('Base Exámenes'!$H$5:$H$154, MATCH(A269, 'Base Exámenes'!$C$5:$C$154, 0)), "anonymous")</f>
        <v>anonymous</v>
      </c>
    </row>
    <row r="270">
      <c r="A270" s="4" t="str">
        <f>'Base Oficial'!A270</f>
        <v>891</v>
      </c>
      <c r="B270" s="6" t="str">
        <f>'Base Oficial'!B270</f>
        <v>YESENIA LISSETH BARAHONA VALLE </v>
      </c>
      <c r="C270" s="6" t="str">
        <f>'Base Oficial'!F270</f>
        <v>AGENCIA COLONIA MEDICA  </v>
      </c>
      <c r="D270" s="6" t="str">
        <f>'Base Oficial'!G270</f>
        <v>Gerencia de Negocios (Agencias)</v>
      </c>
      <c r="E270" s="6" t="str">
        <f>'Base Oficial'!D270</f>
        <v>AUXILIAR DE ATENCION AL ASOCIADO EN AGENCIA</v>
      </c>
      <c r="F270" s="4" t="str">
        <f>IF(COUNTIFS('Base Exámenes'!$C$5:$C$154, A270, 'Base Exámenes'!$E$5:$E$154, "&lt;&gt;")&gt;0, "Completado", "Pendiente")</f>
        <v>Pendiente</v>
      </c>
      <c r="G270" s="23" t="str">
        <f>IFERROR(INDEX('Base Exámenes'!$D$5:$D$154, MATCH(A270, 'Base Exámenes'!$C$5:$C$154, 0)), "")</f>
        <v/>
      </c>
      <c r="H270" s="23" t="str">
        <f>IFERROR(INDEX('Base Exámenes'!$E$5:$E$154, MATCH(A270, 'Base Exámenes'!$C$5:$C$154, 0)), "")</f>
        <v/>
      </c>
      <c r="I270" s="24" t="str">
        <f>IFERROR(INDEX('Base Exámenes'!$F$5:$F$154, MATCH(A270, 'Base Exámenes'!$C$5:$C$154, 0)), "")</f>
        <v/>
      </c>
      <c r="J270" s="6" t="str">
        <f>IFERROR(INDEX('Base Exámenes'!$G$5:$G$154, MATCH(A270, 'Base Exámenes'!$C$5:$C$154, 0)), "")</f>
        <v/>
      </c>
      <c r="K270" s="6" t="str">
        <f>IFERROR(INDEX('Base Exámenes'!$H$5:$H$154, MATCH(A270, 'Base Exámenes'!$C$5:$C$154, 0)), "anonymous")</f>
        <v>anonymous</v>
      </c>
    </row>
    <row r="271">
      <c r="A271" s="4" t="str">
        <f>'Base Oficial'!A271</f>
        <v>913</v>
      </c>
      <c r="B271" s="6" t="str">
        <f>'Base Oficial'!B271</f>
        <v>FLOR DEL CARMEN GONZALEZ HERNANDEZ </v>
      </c>
      <c r="C271" s="6" t="str">
        <f>'Base Oficial'!F271</f>
        <v>AGENCIA COLONIA MEDICA  </v>
      </c>
      <c r="D271" s="6" t="str">
        <f>'Base Oficial'!G271</f>
        <v>Gerencia de Negocios (Agencias)</v>
      </c>
      <c r="E271" s="6" t="str">
        <f>'Base Oficial'!D271</f>
        <v>SERVICIOS VARIOS</v>
      </c>
      <c r="F271" s="4" t="str">
        <f>IF(COUNTIFS('Base Exámenes'!$C$5:$C$154, A271, 'Base Exámenes'!$E$5:$E$154, "&lt;&gt;")&gt;0, "Completado", "Pendiente")</f>
        <v>Pendiente</v>
      </c>
      <c r="G271" s="23" t="str">
        <f>IFERROR(INDEX('Base Exámenes'!$D$5:$D$154, MATCH(A271, 'Base Exámenes'!$C$5:$C$154, 0)), "")</f>
        <v/>
      </c>
      <c r="H271" s="23" t="str">
        <f>IFERROR(INDEX('Base Exámenes'!$E$5:$E$154, MATCH(A271, 'Base Exámenes'!$C$5:$C$154, 0)), "")</f>
        <v/>
      </c>
      <c r="I271" s="24" t="str">
        <f>IFERROR(INDEX('Base Exámenes'!$F$5:$F$154, MATCH(A271, 'Base Exámenes'!$C$5:$C$154, 0)), "")</f>
        <v/>
      </c>
      <c r="J271" s="6" t="str">
        <f>IFERROR(INDEX('Base Exámenes'!$G$5:$G$154, MATCH(A271, 'Base Exámenes'!$C$5:$C$154, 0)), "")</f>
        <v/>
      </c>
      <c r="K271" s="6" t="str">
        <f>IFERROR(INDEX('Base Exámenes'!$H$5:$H$154, MATCH(A271, 'Base Exámenes'!$C$5:$C$154, 0)), "anonymous")</f>
        <v>anonymous</v>
      </c>
    </row>
    <row r="272">
      <c r="A272" s="4" t="str">
        <f>'Base Oficial'!A272</f>
        <v>933</v>
      </c>
      <c r="B272" s="6" t="str">
        <f>'Base Oficial'!B272</f>
        <v>JACQUELINE GUADALUPE CEA ALVARADO </v>
      </c>
      <c r="C272" s="6" t="str">
        <f>'Base Oficial'!F272</f>
        <v>AGENCIA COLONIA MEDICA  </v>
      </c>
      <c r="D272" s="6" t="str">
        <f>'Base Oficial'!G272</f>
        <v>Gerencia de Negocios (Agencias)</v>
      </c>
      <c r="E272" s="6" t="str">
        <f>'Base Oficial'!D272</f>
        <v>EJECUTIVO DE NEGOCIOS</v>
      </c>
      <c r="F272" s="4" t="str">
        <f>IF(COUNTIFS('Base Exámenes'!$C$5:$C$154, A272, 'Base Exámenes'!$E$5:$E$154, "&lt;&gt;")&gt;0, "Completado", "Pendiente")</f>
        <v>Pendiente</v>
      </c>
      <c r="G272" s="23" t="str">
        <f>IFERROR(INDEX('Base Exámenes'!$D$5:$D$154, MATCH(A272, 'Base Exámenes'!$C$5:$C$154, 0)), "")</f>
        <v/>
      </c>
      <c r="H272" s="23" t="str">
        <f>IFERROR(INDEX('Base Exámenes'!$E$5:$E$154, MATCH(A272, 'Base Exámenes'!$C$5:$C$154, 0)), "")</f>
        <v/>
      </c>
      <c r="I272" s="24" t="str">
        <f>IFERROR(INDEX('Base Exámenes'!$F$5:$F$154, MATCH(A272, 'Base Exámenes'!$C$5:$C$154, 0)), "")</f>
        <v/>
      </c>
      <c r="J272" s="6" t="str">
        <f>IFERROR(INDEX('Base Exámenes'!$G$5:$G$154, MATCH(A272, 'Base Exámenes'!$C$5:$C$154, 0)), "")</f>
        <v/>
      </c>
      <c r="K272" s="6" t="str">
        <f>IFERROR(INDEX('Base Exámenes'!$H$5:$H$154, MATCH(A272, 'Base Exámenes'!$C$5:$C$154, 0)), "anonymous")</f>
        <v>anonymous</v>
      </c>
    </row>
    <row r="273">
      <c r="A273" s="4" t="str">
        <f>'Base Oficial'!A273</f>
        <v>59</v>
      </c>
      <c r="B273" s="6" t="str">
        <f>'Base Oficial'!B273</f>
        <v>ZOILA AYDEE LARIOS  </v>
      </c>
      <c r="C273" s="6" t="str">
        <f>'Base Oficial'!F273</f>
        <v>AGENCIA PLAZA MUNDO  </v>
      </c>
      <c r="D273" s="6" t="str">
        <f>'Base Oficial'!G273</f>
        <v>Gerencia de Negocios (Agencias)</v>
      </c>
      <c r="E273" s="6" t="str">
        <f>'Base Oficial'!D273</f>
        <v>SERVICIOS VARIOS</v>
      </c>
      <c r="F273" s="4" t="str">
        <f>IF(COUNTIFS('Base Exámenes'!$C$5:$C$154, A273, 'Base Exámenes'!$E$5:$E$154, "&lt;&gt;")&gt;0, "Completado", "Pendiente")</f>
        <v>Pendiente</v>
      </c>
      <c r="G273" s="23" t="str">
        <f>IFERROR(INDEX('Base Exámenes'!$D$5:$D$154, MATCH(A273, 'Base Exámenes'!$C$5:$C$154, 0)), "")</f>
        <v/>
      </c>
      <c r="H273" s="23" t="str">
        <f>IFERROR(INDEX('Base Exámenes'!$E$5:$E$154, MATCH(A273, 'Base Exámenes'!$C$5:$C$154, 0)), "")</f>
        <v/>
      </c>
      <c r="I273" s="24" t="str">
        <f>IFERROR(INDEX('Base Exámenes'!$F$5:$F$154, MATCH(A273, 'Base Exámenes'!$C$5:$C$154, 0)), "")</f>
        <v/>
      </c>
      <c r="J273" s="6" t="str">
        <f>IFERROR(INDEX('Base Exámenes'!$G$5:$G$154, MATCH(A273, 'Base Exámenes'!$C$5:$C$154, 0)), "")</f>
        <v/>
      </c>
      <c r="K273" s="6" t="str">
        <f>IFERROR(INDEX('Base Exámenes'!$H$5:$H$154, MATCH(A273, 'Base Exámenes'!$C$5:$C$154, 0)), "anonymous")</f>
        <v>anonymous</v>
      </c>
    </row>
    <row r="274">
      <c r="A274" s="4" t="str">
        <f>'Base Oficial'!A274</f>
        <v>331</v>
      </c>
      <c r="B274" s="6" t="str">
        <f>'Base Oficial'!B274</f>
        <v>NORMA ARACELY GUILLEN </v>
      </c>
      <c r="C274" s="6" t="str">
        <f>'Base Oficial'!F274</f>
        <v>AGENCIA PLAZA MUNDO  </v>
      </c>
      <c r="D274" s="6" t="str">
        <f>'Base Oficial'!G274</f>
        <v>Gerencia de Negocios (Agencias)</v>
      </c>
      <c r="E274" s="6" t="str">
        <f>'Base Oficial'!D274</f>
        <v>SUBJEFE DE  AGENCIA</v>
      </c>
      <c r="F274" s="4" t="str">
        <f>IF(COUNTIFS('Base Exámenes'!$C$5:$C$154, A274, 'Base Exámenes'!$E$5:$E$154, "&lt;&gt;")&gt;0, "Completado", "Pendiente")</f>
        <v>Pendiente</v>
      </c>
      <c r="G274" s="23" t="str">
        <f>IFERROR(INDEX('Base Exámenes'!$D$5:$D$154, MATCH(A274, 'Base Exámenes'!$C$5:$C$154, 0)), "")</f>
        <v/>
      </c>
      <c r="H274" s="23" t="str">
        <f>IFERROR(INDEX('Base Exámenes'!$E$5:$E$154, MATCH(A274, 'Base Exámenes'!$C$5:$C$154, 0)), "")</f>
        <v/>
      </c>
      <c r="I274" s="24" t="str">
        <f>IFERROR(INDEX('Base Exámenes'!$F$5:$F$154, MATCH(A274, 'Base Exámenes'!$C$5:$C$154, 0)), "")</f>
        <v/>
      </c>
      <c r="J274" s="6" t="str">
        <f>IFERROR(INDEX('Base Exámenes'!$G$5:$G$154, MATCH(A274, 'Base Exámenes'!$C$5:$C$154, 0)), "")</f>
        <v/>
      </c>
      <c r="K274" s="6" t="str">
        <f>IFERROR(INDEX('Base Exámenes'!$H$5:$H$154, MATCH(A274, 'Base Exámenes'!$C$5:$C$154, 0)), "anonymous")</f>
        <v>anonymous</v>
      </c>
    </row>
    <row r="275">
      <c r="A275" s="4" t="str">
        <f>'Base Oficial'!A275</f>
        <v>535</v>
      </c>
      <c r="B275" s="6" t="str">
        <f>'Base Oficial'!B275</f>
        <v>ROSARIO DEL CARMEN PEREZ LOPEZ </v>
      </c>
      <c r="C275" s="6" t="str">
        <f>'Base Oficial'!F275</f>
        <v>AGENCIA PLAZA MUNDO  </v>
      </c>
      <c r="D275" s="6" t="str">
        <f>'Base Oficial'!G275</f>
        <v>Gerencia de Negocios (Agencias)</v>
      </c>
      <c r="E275" s="6" t="str">
        <f>'Base Oficial'!D275</f>
        <v>JEFE DE AGENCIA  </v>
      </c>
      <c r="F275" s="4" t="str">
        <f>IF(COUNTIFS('Base Exámenes'!$C$5:$C$154, A275, 'Base Exámenes'!$E$5:$E$154, "&lt;&gt;")&gt;0, "Completado", "Pendiente")</f>
        <v>Pendiente</v>
      </c>
      <c r="G275" s="23" t="str">
        <f>IFERROR(INDEX('Base Exámenes'!$D$5:$D$154, MATCH(A275, 'Base Exámenes'!$C$5:$C$154, 0)), "")</f>
        <v/>
      </c>
      <c r="H275" s="23" t="str">
        <f>IFERROR(INDEX('Base Exámenes'!$E$5:$E$154, MATCH(A275, 'Base Exámenes'!$C$5:$C$154, 0)), "")</f>
        <v/>
      </c>
      <c r="I275" s="24" t="str">
        <f>IFERROR(INDEX('Base Exámenes'!$F$5:$F$154, MATCH(A275, 'Base Exámenes'!$C$5:$C$154, 0)), "")</f>
        <v/>
      </c>
      <c r="J275" s="6" t="str">
        <f>IFERROR(INDEX('Base Exámenes'!$G$5:$G$154, MATCH(A275, 'Base Exámenes'!$C$5:$C$154, 0)), "")</f>
        <v/>
      </c>
      <c r="K275" s="6" t="str">
        <f>IFERROR(INDEX('Base Exámenes'!$H$5:$H$154, MATCH(A275, 'Base Exámenes'!$C$5:$C$154, 0)), "anonymous")</f>
        <v>anonymous</v>
      </c>
    </row>
    <row r="276">
      <c r="A276" s="4" t="str">
        <f>'Base Oficial'!A276</f>
        <v>616</v>
      </c>
      <c r="B276" s="6" t="str">
        <f>'Base Oficial'!B276</f>
        <v>GABRIELA JEANNETTE BOLAÑOS HERRERA </v>
      </c>
      <c r="C276" s="6" t="str">
        <f>'Base Oficial'!F276</f>
        <v>AGENCIA PLAZA MUNDO  </v>
      </c>
      <c r="D276" s="6" t="str">
        <f>'Base Oficial'!G276</f>
        <v>Gerencia de Negocios (Agencias)</v>
      </c>
      <c r="E276" s="6" t="str">
        <f>'Base Oficial'!D276</f>
        <v>EJECUTIVA DE SEGUROS</v>
      </c>
      <c r="F276" s="4" t="str">
        <f>IF(COUNTIFS('Base Exámenes'!$C$5:$C$154, A276, 'Base Exámenes'!$E$5:$E$154, "&lt;&gt;")&gt;0, "Completado", "Pendiente")</f>
        <v>Pendiente</v>
      </c>
      <c r="G276" s="23" t="str">
        <f>IFERROR(INDEX('Base Exámenes'!$D$5:$D$154, MATCH(A276, 'Base Exámenes'!$C$5:$C$154, 0)), "")</f>
        <v/>
      </c>
      <c r="H276" s="23" t="str">
        <f>IFERROR(INDEX('Base Exámenes'!$E$5:$E$154, MATCH(A276, 'Base Exámenes'!$C$5:$C$154, 0)), "")</f>
        <v/>
      </c>
      <c r="I276" s="24" t="str">
        <f>IFERROR(INDEX('Base Exámenes'!$F$5:$F$154, MATCH(A276, 'Base Exámenes'!$C$5:$C$154, 0)), "")</f>
        <v/>
      </c>
      <c r="J276" s="6" t="str">
        <f>IFERROR(INDEX('Base Exámenes'!$G$5:$G$154, MATCH(A276, 'Base Exámenes'!$C$5:$C$154, 0)), "")</f>
        <v/>
      </c>
      <c r="K276" s="6" t="str">
        <f>IFERROR(INDEX('Base Exámenes'!$H$5:$H$154, MATCH(A276, 'Base Exámenes'!$C$5:$C$154, 0)), "anonymous")</f>
        <v>anonymous</v>
      </c>
    </row>
    <row r="277">
      <c r="A277" s="4" t="str">
        <f>'Base Oficial'!A277</f>
        <v>675</v>
      </c>
      <c r="B277" s="6" t="str">
        <f>'Base Oficial'!B277</f>
        <v>NANCY CAROLINA FUENTES SORTO </v>
      </c>
      <c r="C277" s="6" t="str">
        <f>'Base Oficial'!F277</f>
        <v>AGENCIA PLAZA MUNDO  </v>
      </c>
      <c r="D277" s="6" t="str">
        <f>'Base Oficial'!G277</f>
        <v>Gerencia de Negocios (Agencias)</v>
      </c>
      <c r="E277" s="6" t="str">
        <f>'Base Oficial'!D277</f>
        <v>CAJERO</v>
      </c>
      <c r="F277" s="4" t="str">
        <f>IF(COUNTIFS('Base Exámenes'!$C$5:$C$154, A277, 'Base Exámenes'!$E$5:$E$154, "&lt;&gt;")&gt;0, "Completado", "Pendiente")</f>
        <v>Pendiente</v>
      </c>
      <c r="G277" s="23" t="str">
        <f>IFERROR(INDEX('Base Exámenes'!$D$5:$D$154, MATCH(A277, 'Base Exámenes'!$C$5:$C$154, 0)), "")</f>
        <v/>
      </c>
      <c r="H277" s="23" t="str">
        <f>IFERROR(INDEX('Base Exámenes'!$E$5:$E$154, MATCH(A277, 'Base Exámenes'!$C$5:$C$154, 0)), "")</f>
        <v/>
      </c>
      <c r="I277" s="24" t="str">
        <f>IFERROR(INDEX('Base Exámenes'!$F$5:$F$154, MATCH(A277, 'Base Exámenes'!$C$5:$C$154, 0)), "")</f>
        <v/>
      </c>
      <c r="J277" s="6" t="str">
        <f>IFERROR(INDEX('Base Exámenes'!$G$5:$G$154, MATCH(A277, 'Base Exámenes'!$C$5:$C$154, 0)), "")</f>
        <v/>
      </c>
      <c r="K277" s="6" t="str">
        <f>IFERROR(INDEX('Base Exámenes'!$H$5:$H$154, MATCH(A277, 'Base Exámenes'!$C$5:$C$154, 0)), "anonymous")</f>
        <v>anonymous</v>
      </c>
    </row>
    <row r="278">
      <c r="A278" s="4" t="str">
        <f>'Base Oficial'!A278</f>
        <v>748</v>
      </c>
      <c r="B278" s="6" t="str">
        <f>'Base Oficial'!B278</f>
        <v>WALTER ALBERTO BARAHONA DIAZ </v>
      </c>
      <c r="C278" s="6" t="str">
        <f>'Base Oficial'!F278</f>
        <v>AGENCIA PLAZA MUNDO  </v>
      </c>
      <c r="D278" s="6" t="str">
        <f>'Base Oficial'!G278</f>
        <v>Gerencia de Negocios (Agencias)</v>
      </c>
      <c r="E278" s="6" t="str">
        <f>'Base Oficial'!D278</f>
        <v>CAJERO</v>
      </c>
      <c r="F278" s="4" t="str">
        <f>IF(COUNTIFS('Base Exámenes'!$C$5:$C$154, A278, 'Base Exámenes'!$E$5:$E$154, "&lt;&gt;")&gt;0, "Completado", "Pendiente")</f>
        <v>Pendiente</v>
      </c>
      <c r="G278" s="23" t="str">
        <f>IFERROR(INDEX('Base Exámenes'!$D$5:$D$154, MATCH(A278, 'Base Exámenes'!$C$5:$C$154, 0)), "")</f>
        <v/>
      </c>
      <c r="H278" s="23" t="str">
        <f>IFERROR(INDEX('Base Exámenes'!$E$5:$E$154, MATCH(A278, 'Base Exámenes'!$C$5:$C$154, 0)), "")</f>
        <v/>
      </c>
      <c r="I278" s="24" t="str">
        <f>IFERROR(INDEX('Base Exámenes'!$F$5:$F$154, MATCH(A278, 'Base Exámenes'!$C$5:$C$154, 0)), "")</f>
        <v/>
      </c>
      <c r="J278" s="6" t="str">
        <f>IFERROR(INDEX('Base Exámenes'!$G$5:$G$154, MATCH(A278, 'Base Exámenes'!$C$5:$C$154, 0)), "")</f>
        <v/>
      </c>
      <c r="K278" s="6" t="str">
        <f>IFERROR(INDEX('Base Exámenes'!$H$5:$H$154, MATCH(A278, 'Base Exámenes'!$C$5:$C$154, 0)), "anonymous")</f>
        <v>anonymous</v>
      </c>
    </row>
    <row r="279">
      <c r="A279" s="4" t="str">
        <f>'Base Oficial'!A279</f>
        <v>876</v>
      </c>
      <c r="B279" s="6" t="str">
        <f>'Base Oficial'!B279</f>
        <v>PAOLA JEANNETTE ROMERO HERNANDEZ  </v>
      </c>
      <c r="C279" s="6" t="str">
        <f>'Base Oficial'!F279</f>
        <v>AGENCIA PLAZA MUNDO  </v>
      </c>
      <c r="D279" s="6" t="str">
        <f>'Base Oficial'!G279</f>
        <v>Gerencia de Negocios (Agencias)</v>
      </c>
      <c r="E279" s="6" t="str">
        <f>'Base Oficial'!D279</f>
        <v>CAJERO</v>
      </c>
      <c r="F279" s="4" t="str">
        <f>IF(COUNTIFS('Base Exámenes'!$C$5:$C$154, A279, 'Base Exámenes'!$E$5:$E$154, "&lt;&gt;")&gt;0, "Completado", "Pendiente")</f>
        <v>Pendiente</v>
      </c>
      <c r="G279" s="23" t="str">
        <f>IFERROR(INDEX('Base Exámenes'!$D$5:$D$154, MATCH(A279, 'Base Exámenes'!$C$5:$C$154, 0)), "")</f>
        <v/>
      </c>
      <c r="H279" s="23" t="str">
        <f>IFERROR(INDEX('Base Exámenes'!$E$5:$E$154, MATCH(A279, 'Base Exámenes'!$C$5:$C$154, 0)), "")</f>
        <v/>
      </c>
      <c r="I279" s="24" t="str">
        <f>IFERROR(INDEX('Base Exámenes'!$F$5:$F$154, MATCH(A279, 'Base Exámenes'!$C$5:$C$154, 0)), "")</f>
        <v/>
      </c>
      <c r="J279" s="6" t="str">
        <f>IFERROR(INDEX('Base Exámenes'!$G$5:$G$154, MATCH(A279, 'Base Exámenes'!$C$5:$C$154, 0)), "")</f>
        <v/>
      </c>
      <c r="K279" s="6" t="str">
        <f>IFERROR(INDEX('Base Exámenes'!$H$5:$H$154, MATCH(A279, 'Base Exámenes'!$C$5:$C$154, 0)), "anonymous")</f>
        <v>anonymous</v>
      </c>
    </row>
    <row r="280">
      <c r="A280" s="4" t="str">
        <f>'Base Oficial'!A280</f>
        <v>955</v>
      </c>
      <c r="B280" s="6" t="str">
        <f>'Base Oficial'!B280</f>
        <v>ERIKA IVETH MANCIA HERNANDEZ </v>
      </c>
      <c r="C280" s="6" t="str">
        <f>'Base Oficial'!F280</f>
        <v>AGENCIA PLAZA MUNDO  </v>
      </c>
      <c r="D280" s="6" t="str">
        <f>'Base Oficial'!G280</f>
        <v>Gerencia de Negocios (Agencias)</v>
      </c>
      <c r="E280" s="6" t="str">
        <f>'Base Oficial'!D280</f>
        <v>CAJERO</v>
      </c>
      <c r="F280" s="4" t="str">
        <f>IF(COUNTIFS('Base Exámenes'!$C$5:$C$154, A280, 'Base Exámenes'!$E$5:$E$154, "&lt;&gt;")&gt;0, "Completado", "Pendiente")</f>
        <v>Pendiente</v>
      </c>
      <c r="G280" s="23" t="str">
        <f>IFERROR(INDEX('Base Exámenes'!$D$5:$D$154, MATCH(A280, 'Base Exámenes'!$C$5:$C$154, 0)), "")</f>
        <v/>
      </c>
      <c r="H280" s="23" t="str">
        <f>IFERROR(INDEX('Base Exámenes'!$E$5:$E$154, MATCH(A280, 'Base Exámenes'!$C$5:$C$154, 0)), "")</f>
        <v/>
      </c>
      <c r="I280" s="24" t="str">
        <f>IFERROR(INDEX('Base Exámenes'!$F$5:$F$154, MATCH(A280, 'Base Exámenes'!$C$5:$C$154, 0)), "")</f>
        <v/>
      </c>
      <c r="J280" s="6" t="str">
        <f>IFERROR(INDEX('Base Exámenes'!$G$5:$G$154, MATCH(A280, 'Base Exámenes'!$C$5:$C$154, 0)), "")</f>
        <v/>
      </c>
      <c r="K280" s="6" t="str">
        <f>IFERROR(INDEX('Base Exámenes'!$H$5:$H$154, MATCH(A280, 'Base Exámenes'!$C$5:$C$154, 0)), "anonymous")</f>
        <v>anonymous</v>
      </c>
    </row>
    <row r="281">
      <c r="A281" s="4" t="str">
        <f>'Base Oficial'!A281</f>
        <v>456</v>
      </c>
      <c r="B281" s="6" t="str">
        <f>'Base Oficial'!B281</f>
        <v>LUCIANO DE JESUS SARAVIA BELTRAN </v>
      </c>
      <c r="C281" s="6" t="str">
        <f>'Base Oficial'!F281</f>
        <v>AGENCIA USULUTAN  </v>
      </c>
      <c r="D281" s="6" t="str">
        <f>'Base Oficial'!G281</f>
        <v>Gerencia de Negocios (Agencias)</v>
      </c>
      <c r="E281" s="6" t="str">
        <f>'Base Oficial'!D281</f>
        <v>MENSAJERO</v>
      </c>
      <c r="F281" s="4" t="str">
        <f>IF(COUNTIFS('Base Exámenes'!$C$5:$C$154, A281, 'Base Exámenes'!$E$5:$E$154, "&lt;&gt;")&gt;0, "Completado", "Pendiente")</f>
        <v>Completado</v>
      </c>
      <c r="G281" s="23">
        <f>IFERROR(INDEX('Base Exámenes'!$D$5:$D$154, MATCH(A281, 'Base Exámenes'!$C$5:$C$154, 0)), "")</f>
        <v>46301.486979166664</v>
      </c>
      <c r="H281" s="23">
        <f>IFERROR(INDEX('Base Exámenes'!$E$5:$E$154, MATCH(A281, 'Base Exámenes'!$C$5:$C$154, 0)), "")</f>
        <v>46301.49184027778</v>
      </c>
      <c r="I281" s="24">
        <f>IFERROR(INDEX('Base Exámenes'!$F$5:$F$154, MATCH(A281, 'Base Exámenes'!$C$5:$C$154, 0)), "")</f>
        <v>7</v>
      </c>
      <c r="J281" s="6">
        <f>IFERROR(INDEX('Base Exámenes'!$G$5:$G$154, MATCH(A281, 'Base Exámenes'!$C$5:$C$154, 0)), "")</f>
        <v>80</v>
      </c>
      <c r="K281" s="6" t="str">
        <f>IFERROR(INDEX('Base Exámenes'!$H$5:$H$154, MATCH(A281, 'Base Exámenes'!$C$5:$C$154, 0)), "anonymous")</f>
        <v>anonymous</v>
      </c>
    </row>
    <row r="282">
      <c r="A282" s="4" t="str">
        <f>'Base Oficial'!A282</f>
        <v>903</v>
      </c>
      <c r="B282" s="6" t="str">
        <f>'Base Oficial'!B282</f>
        <v>WENDY YAMILETH  MARQUEZ VASQUEZ </v>
      </c>
      <c r="C282" s="6" t="str">
        <f>'Base Oficial'!F282</f>
        <v>AGENCIA USULUTAN  </v>
      </c>
      <c r="D282" s="6" t="str">
        <f>'Base Oficial'!G282</f>
        <v>Gerencia de Negocios (Agencias)</v>
      </c>
      <c r="E282" s="6" t="str">
        <f>'Base Oficial'!D282</f>
        <v>JEFE DE AGENCIA  </v>
      </c>
      <c r="F282" s="4" t="str">
        <f>IF(COUNTIFS('Base Exámenes'!$C$5:$C$154, A282, 'Base Exámenes'!$E$5:$E$154, "&lt;&gt;")&gt;0, "Completado", "Pendiente")</f>
        <v>Completado</v>
      </c>
      <c r="G282" s="23">
        <f>IFERROR(INDEX('Base Exámenes'!$D$5:$D$154, MATCH(A282, 'Base Exámenes'!$C$5:$C$154, 0)), "")</f>
        <v>46301.42581018519</v>
      </c>
      <c r="H282" s="23">
        <f>IFERROR(INDEX('Base Exámenes'!$E$5:$E$154, MATCH(A282, 'Base Exámenes'!$C$5:$C$154, 0)), "")</f>
        <v>46301.432337962964</v>
      </c>
      <c r="I282" s="24">
        <f>IFERROR(INDEX('Base Exámenes'!$F$5:$F$154, MATCH(A282, 'Base Exámenes'!$C$5:$C$154, 0)), "")</f>
        <v>9.4</v>
      </c>
      <c r="J282" s="6">
        <f>IFERROR(INDEX('Base Exámenes'!$G$5:$G$154, MATCH(A282, 'Base Exámenes'!$C$5:$C$154, 0)), "")</f>
        <v>100</v>
      </c>
      <c r="K282" s="6" t="str">
        <f>IFERROR(INDEX('Base Exámenes'!$H$5:$H$154, MATCH(A282, 'Base Exámenes'!$C$5:$C$154, 0)), "anonymous")</f>
        <v>anonymous</v>
      </c>
    </row>
    <row r="283">
      <c r="A283" s="4" t="str">
        <f>'Base Oficial'!A283</f>
        <v>912</v>
      </c>
      <c r="B283" s="6" t="str">
        <f>'Base Oficial'!B283</f>
        <v>HECTOR MAURICIO GONZÁLEZ VÁSQUEZ </v>
      </c>
      <c r="C283" s="6" t="str">
        <f>'Base Oficial'!F283</f>
        <v>AGENCIA USULUTAN  </v>
      </c>
      <c r="D283" s="6" t="str">
        <f>'Base Oficial'!G283</f>
        <v>Gerencia de Negocios (Agencias)</v>
      </c>
      <c r="E283" s="6" t="str">
        <f>'Base Oficial'!D283</f>
        <v>EJECUTIVO DE SEGUROS</v>
      </c>
      <c r="F283" s="4" t="str">
        <f>IF(COUNTIFS('Base Exámenes'!$C$5:$C$154, A283, 'Base Exámenes'!$E$5:$E$154, "&lt;&gt;")&gt;0, "Completado", "Pendiente")</f>
        <v>Completado</v>
      </c>
      <c r="G283" s="23">
        <f>IFERROR(INDEX('Base Exámenes'!$D$5:$D$154, MATCH(A283, 'Base Exámenes'!$C$5:$C$154, 0)), "")</f>
        <v>46303.45423611111</v>
      </c>
      <c r="H283" s="23">
        <f>IFERROR(INDEX('Base Exámenes'!$E$5:$E$154, MATCH(A283, 'Base Exámenes'!$C$5:$C$154, 0)), "")</f>
        <v>46303.45730324074</v>
      </c>
      <c r="I283" s="24">
        <f>IFERROR(INDEX('Base Exámenes'!$F$5:$F$154, MATCH(A283, 'Base Exámenes'!$C$5:$C$154, 0)), "")</f>
        <v>4.41666666666667</v>
      </c>
      <c r="J283" s="6">
        <f>IFERROR(INDEX('Base Exámenes'!$G$5:$G$154, MATCH(A283, 'Base Exámenes'!$C$5:$C$154, 0)), "")</f>
        <v>100</v>
      </c>
      <c r="K283" s="6" t="str">
        <f>IFERROR(INDEX('Base Exámenes'!$H$5:$H$154, MATCH(A283, 'Base Exámenes'!$C$5:$C$154, 0)), "anonymous")</f>
        <v>anonymous</v>
      </c>
    </row>
    <row r="284">
      <c r="A284" s="4" t="str">
        <f>'Base Oficial'!A284</f>
        <v>917</v>
      </c>
      <c r="B284" s="6" t="str">
        <f>'Base Oficial'!B284</f>
        <v>LUIS MANUEL VALENCIA GUERRERO </v>
      </c>
      <c r="C284" s="6" t="str">
        <f>'Base Oficial'!F284</f>
        <v>AGENCIA USULUTAN  </v>
      </c>
      <c r="D284" s="6" t="str">
        <f>'Base Oficial'!G284</f>
        <v>Gerencia de Negocios (Agencias)</v>
      </c>
      <c r="E284" s="6" t="str">
        <f>'Base Oficial'!D284</f>
        <v>SUBJEFE DE  AGENCIA</v>
      </c>
      <c r="F284" s="4" t="str">
        <f>IF(COUNTIFS('Base Exámenes'!$C$5:$C$154, A284, 'Base Exámenes'!$E$5:$E$154, "&lt;&gt;")&gt;0, "Completado", "Pendiente")</f>
        <v>Pendiente</v>
      </c>
      <c r="G284" s="23" t="str">
        <f>IFERROR(INDEX('Base Exámenes'!$D$5:$D$154, MATCH(A284, 'Base Exámenes'!$C$5:$C$154, 0)), "")</f>
        <v/>
      </c>
      <c r="H284" s="23" t="str">
        <f>IFERROR(INDEX('Base Exámenes'!$E$5:$E$154, MATCH(A284, 'Base Exámenes'!$C$5:$C$154, 0)), "")</f>
        <v/>
      </c>
      <c r="I284" s="24" t="str">
        <f>IFERROR(INDEX('Base Exámenes'!$F$5:$F$154, MATCH(A284, 'Base Exámenes'!$C$5:$C$154, 0)), "")</f>
        <v/>
      </c>
      <c r="J284" s="6" t="str">
        <f>IFERROR(INDEX('Base Exámenes'!$G$5:$G$154, MATCH(A284, 'Base Exámenes'!$C$5:$C$154, 0)), "")</f>
        <v/>
      </c>
      <c r="K284" s="6" t="str">
        <f>IFERROR(INDEX('Base Exámenes'!$H$5:$H$154, MATCH(A284, 'Base Exámenes'!$C$5:$C$154, 0)), "anonymous")</f>
        <v>anonymous</v>
      </c>
    </row>
    <row r="285">
      <c r="A285" s="4" t="str">
        <f>'Base Oficial'!A285</f>
        <v>951</v>
      </c>
      <c r="B285" s="6" t="str">
        <f>'Base Oficial'!B285</f>
        <v>MELVIN ELISEO HERNANDEZ MACHADO </v>
      </c>
      <c r="C285" s="6" t="str">
        <f>'Base Oficial'!F285</f>
        <v>AGENCIA USULUTAN  </v>
      </c>
      <c r="D285" s="6" t="str">
        <f>'Base Oficial'!G285</f>
        <v>Gerencia de Negocios (Agencias)</v>
      </c>
      <c r="E285" s="6" t="str">
        <f>'Base Oficial'!D285</f>
        <v>EJECUTIVO DE NEGOCIOS</v>
      </c>
      <c r="F285" s="4" t="str">
        <f>IF(COUNTIFS('Base Exámenes'!$C$5:$C$154, A285, 'Base Exámenes'!$E$5:$E$154, "&lt;&gt;")&gt;0, "Completado", "Pendiente")</f>
        <v>Pendiente</v>
      </c>
      <c r="G285" s="23" t="str">
        <f>IFERROR(INDEX('Base Exámenes'!$D$5:$D$154, MATCH(A285, 'Base Exámenes'!$C$5:$C$154, 0)), "")</f>
        <v/>
      </c>
      <c r="H285" s="23" t="str">
        <f>IFERROR(INDEX('Base Exámenes'!$E$5:$E$154, MATCH(A285, 'Base Exámenes'!$C$5:$C$154, 0)), "")</f>
        <v/>
      </c>
      <c r="I285" s="24" t="str">
        <f>IFERROR(INDEX('Base Exámenes'!$F$5:$F$154, MATCH(A285, 'Base Exámenes'!$C$5:$C$154, 0)), "")</f>
        <v/>
      </c>
      <c r="J285" s="6" t="str">
        <f>IFERROR(INDEX('Base Exámenes'!$G$5:$G$154, MATCH(A285, 'Base Exámenes'!$C$5:$C$154, 0)), "")</f>
        <v/>
      </c>
      <c r="K285" s="6" t="str">
        <f>IFERROR(INDEX('Base Exámenes'!$H$5:$H$154, MATCH(A285, 'Base Exámenes'!$C$5:$C$154, 0)), "anonymous")</f>
        <v>anonymous</v>
      </c>
    </row>
    <row r="286">
      <c r="A286" s="4" t="str">
        <f>'Base Oficial'!A286</f>
        <v>961</v>
      </c>
      <c r="B286" s="6" t="str">
        <f>'Base Oficial'!B286</f>
        <v>FATIMA LISSETTE HERNANDEZ  MEJIA</v>
      </c>
      <c r="C286" s="6" t="str">
        <f>'Base Oficial'!F286</f>
        <v>AGENCIA USULUTAN  </v>
      </c>
      <c r="D286" s="6" t="str">
        <f>'Base Oficial'!G286</f>
        <v>Gerencia de Negocios (Agencias)</v>
      </c>
      <c r="E286" s="6" t="str">
        <f>'Base Oficial'!D286</f>
        <v>CAJERO</v>
      </c>
      <c r="F286" s="4" t="str">
        <f>IF(COUNTIFS('Base Exámenes'!$C$5:$C$154, A286, 'Base Exámenes'!$E$5:$E$154, "&lt;&gt;")&gt;0, "Completado", "Pendiente")</f>
        <v>Completado</v>
      </c>
      <c r="G286" s="23">
        <f>IFERROR(INDEX('Base Exámenes'!$D$5:$D$154, MATCH(A286, 'Base Exámenes'!$C$5:$C$154, 0)), "")</f>
        <v>46303.53456018519</v>
      </c>
      <c r="H286" s="23">
        <f>IFERROR(INDEX('Base Exámenes'!$E$5:$E$154, MATCH(A286, 'Base Exámenes'!$C$5:$C$154, 0)), "")</f>
        <v>46303.544328703705</v>
      </c>
      <c r="I286" s="24">
        <f>IFERROR(INDEX('Base Exámenes'!$F$5:$F$154, MATCH(A286, 'Base Exámenes'!$C$5:$C$154, 0)), "")</f>
        <v>14.0666666666667</v>
      </c>
      <c r="J286" s="6">
        <f>IFERROR(INDEX('Base Exámenes'!$G$5:$G$154, MATCH(A286, 'Base Exámenes'!$C$5:$C$154, 0)), "")</f>
        <v>100</v>
      </c>
      <c r="K286" s="6" t="str">
        <f>IFERROR(INDEX('Base Exámenes'!$H$5:$H$154, MATCH(A286, 'Base Exámenes'!$C$5:$C$154, 0)), "anonymous")</f>
        <v>anonymous</v>
      </c>
    </row>
    <row r="287">
      <c r="A287" s="4" t="str">
        <f>'Base Oficial'!A287</f>
        <v>970</v>
      </c>
      <c r="B287" s="6" t="str">
        <f>'Base Oficial'!B287</f>
        <v>EDUARDO JOSE GAMEZ VILLATORO </v>
      </c>
      <c r="C287" s="6" t="str">
        <f>'Base Oficial'!F287</f>
        <v>AGENCIA USULUTAN  </v>
      </c>
      <c r="D287" s="6" t="str">
        <f>'Base Oficial'!G287</f>
        <v>Gerencia de Negocios (Agencias)</v>
      </c>
      <c r="E287" s="6" t="str">
        <f>'Base Oficial'!D287</f>
        <v>CAJERO</v>
      </c>
      <c r="F287" s="4" t="str">
        <f>IF(COUNTIFS('Base Exámenes'!$C$5:$C$154, A287, 'Base Exámenes'!$E$5:$E$154, "&lt;&gt;")&gt;0, "Completado", "Pendiente")</f>
        <v>Pendiente</v>
      </c>
      <c r="G287" s="23" t="str">
        <f>IFERROR(INDEX('Base Exámenes'!$D$5:$D$154, MATCH(A287, 'Base Exámenes'!$C$5:$C$154, 0)), "")</f>
        <v/>
      </c>
      <c r="H287" s="23" t="str">
        <f>IFERROR(INDEX('Base Exámenes'!$E$5:$E$154, MATCH(A287, 'Base Exámenes'!$C$5:$C$154, 0)), "")</f>
        <v/>
      </c>
      <c r="I287" s="24" t="str">
        <f>IFERROR(INDEX('Base Exámenes'!$F$5:$F$154, MATCH(A287, 'Base Exámenes'!$C$5:$C$154, 0)), "")</f>
        <v/>
      </c>
      <c r="J287" s="6" t="str">
        <f>IFERROR(INDEX('Base Exámenes'!$G$5:$G$154, MATCH(A287, 'Base Exámenes'!$C$5:$C$154, 0)), "")</f>
        <v/>
      </c>
      <c r="K287" s="6" t="str">
        <f>IFERROR(INDEX('Base Exámenes'!$H$5:$H$154, MATCH(A287, 'Base Exámenes'!$C$5:$C$154, 0)), "anonymous")</f>
        <v>anonymous</v>
      </c>
    </row>
    <row r="288">
      <c r="A288" s="4" t="str">
        <f>'Base Oficial'!A288</f>
        <v>442</v>
      </c>
      <c r="B288" s="6" t="str">
        <f>'Base Oficial'!B288</f>
        <v>JUAN JOSE CAÑAS COMAYAGUA </v>
      </c>
      <c r="C288" s="6" t="str">
        <f>'Base Oficial'!F288</f>
        <v>DEPARTAMENTO LEGAL</v>
      </c>
      <c r="D288" s="6" t="str">
        <f>'Base Oficial'!G288</f>
        <v>Gerencia Legal y Cumplimiento Normativo</v>
      </c>
      <c r="E288" s="6" t="str">
        <f>'Base Oficial'!D288</f>
        <v>JEFE DE DEPARTAMENTO LEGAL</v>
      </c>
      <c r="F288" s="4" t="str">
        <f>IF(COUNTIFS('Base Exámenes'!$C$5:$C$154, A288, 'Base Exámenes'!$E$5:$E$154, "&lt;&gt;")&gt;0, "Completado", "Pendiente")</f>
        <v>Pendiente</v>
      </c>
      <c r="G288" s="23" t="str">
        <f>IFERROR(INDEX('Base Exámenes'!$D$5:$D$154, MATCH(A288, 'Base Exámenes'!$C$5:$C$154, 0)), "")</f>
        <v/>
      </c>
      <c r="H288" s="23" t="str">
        <f>IFERROR(INDEX('Base Exámenes'!$E$5:$E$154, MATCH(A288, 'Base Exámenes'!$C$5:$C$154, 0)), "")</f>
        <v/>
      </c>
      <c r="I288" s="24" t="str">
        <f>IFERROR(INDEX('Base Exámenes'!$F$5:$F$154, MATCH(A288, 'Base Exámenes'!$C$5:$C$154, 0)), "")</f>
        <v/>
      </c>
      <c r="J288" s="6" t="str">
        <f>IFERROR(INDEX('Base Exámenes'!$G$5:$G$154, MATCH(A288, 'Base Exámenes'!$C$5:$C$154, 0)), "")</f>
        <v/>
      </c>
      <c r="K288" s="6" t="str">
        <f>IFERROR(INDEX('Base Exámenes'!$H$5:$H$154, MATCH(A288, 'Base Exámenes'!$C$5:$C$154, 0)), "anonymous")</f>
        <v>anonymous</v>
      </c>
    </row>
    <row r="289">
      <c r="A289" s="4" t="str">
        <f>'Base Oficial'!A289</f>
        <v>592</v>
      </c>
      <c r="B289" s="6" t="str">
        <f>'Base Oficial'!B289</f>
        <v>CARLOS RENE CASTILLO GAMEZ </v>
      </c>
      <c r="C289" s="6" t="str">
        <f>'Base Oficial'!F289</f>
        <v>DEPARTAMENTO LEGAL</v>
      </c>
      <c r="D289" s="6" t="str">
        <f>'Base Oficial'!G289</f>
        <v>Gerencia Legal y Cumplimiento Normativo</v>
      </c>
      <c r="E289" s="6" t="str">
        <f>'Base Oficial'!D289</f>
        <v>ASISTENTE TECNICO LEGAL</v>
      </c>
      <c r="F289" s="4" t="str">
        <f>IF(COUNTIFS('Base Exámenes'!$C$5:$C$154, A289, 'Base Exámenes'!$E$5:$E$154, "&lt;&gt;")&gt;0, "Completado", "Pendiente")</f>
        <v>Pendiente</v>
      </c>
      <c r="G289" s="23" t="str">
        <f>IFERROR(INDEX('Base Exámenes'!$D$5:$D$154, MATCH(A289, 'Base Exámenes'!$C$5:$C$154, 0)), "")</f>
        <v/>
      </c>
      <c r="H289" s="23" t="str">
        <f>IFERROR(INDEX('Base Exámenes'!$E$5:$E$154, MATCH(A289, 'Base Exámenes'!$C$5:$C$154, 0)), "")</f>
        <v/>
      </c>
      <c r="I289" s="24" t="str">
        <f>IFERROR(INDEX('Base Exámenes'!$F$5:$F$154, MATCH(A289, 'Base Exámenes'!$C$5:$C$154, 0)), "")</f>
        <v/>
      </c>
      <c r="J289" s="6" t="str">
        <f>IFERROR(INDEX('Base Exámenes'!$G$5:$G$154, MATCH(A289, 'Base Exámenes'!$C$5:$C$154, 0)), "")</f>
        <v/>
      </c>
      <c r="K289" s="6" t="str">
        <f>IFERROR(INDEX('Base Exámenes'!$H$5:$H$154, MATCH(A289, 'Base Exámenes'!$C$5:$C$154, 0)), "anonymous")</f>
        <v>anonymous</v>
      </c>
    </row>
    <row r="290">
      <c r="A290" s="4" t="str">
        <f>'Base Oficial'!A290</f>
        <v>814</v>
      </c>
      <c r="B290" s="6" t="str">
        <f>'Base Oficial'!B290</f>
        <v>ANDREA RAQUEL MONTOYA ALARCON </v>
      </c>
      <c r="C290" s="6" t="str">
        <f>'Base Oficial'!F290</f>
        <v>DEPARTAMENTO LEGAL</v>
      </c>
      <c r="D290" s="6" t="str">
        <f>'Base Oficial'!G290</f>
        <v>Gerencia Legal y Cumplimiento Normativo</v>
      </c>
      <c r="E290" s="6" t="str">
        <f>'Base Oficial'!D290</f>
        <v>AUXILIAR JURIDICO DE ESCRITURACION</v>
      </c>
      <c r="F290" s="4" t="str">
        <f>IF(COUNTIFS('Base Exámenes'!$C$5:$C$154, A290, 'Base Exámenes'!$E$5:$E$154, "&lt;&gt;")&gt;0, "Completado", "Pendiente")</f>
        <v>Pendiente</v>
      </c>
      <c r="G290" s="23" t="str">
        <f>IFERROR(INDEX('Base Exámenes'!$D$5:$D$154, MATCH(A290, 'Base Exámenes'!$C$5:$C$154, 0)), "")</f>
        <v/>
      </c>
      <c r="H290" s="23" t="str">
        <f>IFERROR(INDEX('Base Exámenes'!$E$5:$E$154, MATCH(A290, 'Base Exámenes'!$C$5:$C$154, 0)), "")</f>
        <v/>
      </c>
      <c r="I290" s="24" t="str">
        <f>IFERROR(INDEX('Base Exámenes'!$F$5:$F$154, MATCH(A290, 'Base Exámenes'!$C$5:$C$154, 0)), "")</f>
        <v/>
      </c>
      <c r="J290" s="6" t="str">
        <f>IFERROR(INDEX('Base Exámenes'!$G$5:$G$154, MATCH(A290, 'Base Exámenes'!$C$5:$C$154, 0)), "")</f>
        <v/>
      </c>
      <c r="K290" s="6" t="str">
        <f>IFERROR(INDEX('Base Exámenes'!$H$5:$H$154, MATCH(A290, 'Base Exámenes'!$C$5:$C$154, 0)), "anonymous")</f>
        <v>anonymous</v>
      </c>
    </row>
    <row r="291">
      <c r="A291" s="4" t="str">
        <f>'Base Oficial'!A291</f>
        <v>831</v>
      </c>
      <c r="B291" s="6" t="str">
        <f>'Base Oficial'!B291</f>
        <v>NICOLLE ALEXANDRA MARINERO GALLARDO </v>
      </c>
      <c r="C291" s="6" t="str">
        <f>'Base Oficial'!F291</f>
        <v>DEPARTAMENTO LEGAL</v>
      </c>
      <c r="D291" s="6" t="str">
        <f>'Base Oficial'!G291</f>
        <v>Gerencia Legal y Cumplimiento Normativo</v>
      </c>
      <c r="E291" s="6" t="str">
        <f>'Base Oficial'!D291</f>
        <v>AUXILIAR JURIDICO NOTARIAL</v>
      </c>
      <c r="F291" s="4" t="str">
        <f>IF(COUNTIFS('Base Exámenes'!$C$5:$C$154, A291, 'Base Exámenes'!$E$5:$E$154, "&lt;&gt;")&gt;0, "Completado", "Pendiente")</f>
        <v>Pendiente</v>
      </c>
      <c r="G291" s="23" t="str">
        <f>IFERROR(INDEX('Base Exámenes'!$D$5:$D$154, MATCH(A291, 'Base Exámenes'!$C$5:$C$154, 0)), "")</f>
        <v/>
      </c>
      <c r="H291" s="23" t="str">
        <f>IFERROR(INDEX('Base Exámenes'!$E$5:$E$154, MATCH(A291, 'Base Exámenes'!$C$5:$C$154, 0)), "")</f>
        <v/>
      </c>
      <c r="I291" s="24" t="str">
        <f>IFERROR(INDEX('Base Exámenes'!$F$5:$F$154, MATCH(A291, 'Base Exámenes'!$C$5:$C$154, 0)), "")</f>
        <v/>
      </c>
      <c r="J291" s="6" t="str">
        <f>IFERROR(INDEX('Base Exámenes'!$G$5:$G$154, MATCH(A291, 'Base Exámenes'!$C$5:$C$154, 0)), "")</f>
        <v/>
      </c>
      <c r="K291" s="6" t="str">
        <f>IFERROR(INDEX('Base Exámenes'!$H$5:$H$154, MATCH(A291, 'Base Exámenes'!$C$5:$C$154, 0)), "anonymous")</f>
        <v>anonymous</v>
      </c>
    </row>
    <row r="292">
      <c r="A292" s="4" t="str">
        <f>'Base Oficial'!A292</f>
        <v>843</v>
      </c>
      <c r="B292" s="6" t="str">
        <f>'Base Oficial'!B292</f>
        <v>DANIELA MARIA FUENTES MEDINA </v>
      </c>
      <c r="C292" s="6" t="str">
        <f>'Base Oficial'!F292</f>
        <v>DEPARTAMENTO LEGAL</v>
      </c>
      <c r="D292" s="6" t="str">
        <f>'Base Oficial'!G292</f>
        <v>Gerencia Legal y Cumplimiento Normativo</v>
      </c>
      <c r="E292" s="6" t="str">
        <f>'Base Oficial'!D292</f>
        <v>AUXILIAR JURIDICO DE CONTRATACION</v>
      </c>
      <c r="F292" s="4" t="str">
        <f>IF(COUNTIFS('Base Exámenes'!$C$5:$C$154, A292, 'Base Exámenes'!$E$5:$E$154, "&lt;&gt;")&gt;0, "Completado", "Pendiente")</f>
        <v>Pendiente</v>
      </c>
      <c r="G292" s="23" t="str">
        <f>IFERROR(INDEX('Base Exámenes'!$D$5:$D$154, MATCH(A292, 'Base Exámenes'!$C$5:$C$154, 0)), "")</f>
        <v/>
      </c>
      <c r="H292" s="23" t="str">
        <f>IFERROR(INDEX('Base Exámenes'!$E$5:$E$154, MATCH(A292, 'Base Exámenes'!$C$5:$C$154, 0)), "")</f>
        <v/>
      </c>
      <c r="I292" s="24" t="str">
        <f>IFERROR(INDEX('Base Exámenes'!$F$5:$F$154, MATCH(A292, 'Base Exámenes'!$C$5:$C$154, 0)), "")</f>
        <v/>
      </c>
      <c r="J292" s="6" t="str">
        <f>IFERROR(INDEX('Base Exámenes'!$G$5:$G$154, MATCH(A292, 'Base Exámenes'!$C$5:$C$154, 0)), "")</f>
        <v/>
      </c>
      <c r="K292" s="6" t="str">
        <f>IFERROR(INDEX('Base Exámenes'!$H$5:$H$154, MATCH(A292, 'Base Exámenes'!$C$5:$C$154, 0)), "anonymous")</f>
        <v>anonymous</v>
      </c>
    </row>
    <row r="293">
      <c r="A293" s="4" t="str">
        <f>'Base Oficial'!A293</f>
        <v>893</v>
      </c>
      <c r="B293" s="6" t="str">
        <f>'Base Oficial'!B293</f>
        <v>ALEJANDRA MARIA GONZALEZ BENAVIDES </v>
      </c>
      <c r="C293" s="6" t="str">
        <f>'Base Oficial'!F293</f>
        <v>DEPARTAMENTO LEGAL</v>
      </c>
      <c r="D293" s="6" t="str">
        <f>'Base Oficial'!G293</f>
        <v>Gerencia Legal y Cumplimiento Normativo</v>
      </c>
      <c r="E293" s="6" t="str">
        <f>'Base Oficial'!D293</f>
        <v>AUXILIAR JURIDICO JUDICIAL</v>
      </c>
      <c r="F293" s="4" t="str">
        <f>IF(COUNTIFS('Base Exámenes'!$C$5:$C$154, A293, 'Base Exámenes'!$E$5:$E$154, "&lt;&gt;")&gt;0, "Completado", "Pendiente")</f>
        <v>Completado</v>
      </c>
      <c r="G293" s="23">
        <f>IFERROR(INDEX('Base Exámenes'!$D$5:$D$154, MATCH(A293, 'Base Exámenes'!$C$5:$C$154, 0)), "")</f>
        <v>46304.695972222224</v>
      </c>
      <c r="H293" s="23">
        <f>IFERROR(INDEX('Base Exámenes'!$E$5:$E$154, MATCH(A293, 'Base Exámenes'!$C$5:$C$154, 0)), "")</f>
        <v>46304.703680555554</v>
      </c>
      <c r="I293" s="24">
        <f>IFERROR(INDEX('Base Exámenes'!$F$5:$F$154, MATCH(A293, 'Base Exámenes'!$C$5:$C$154, 0)), "")</f>
        <v>11.1</v>
      </c>
      <c r="J293" s="6">
        <f>IFERROR(INDEX('Base Exámenes'!$G$5:$G$154, MATCH(A293, 'Base Exámenes'!$C$5:$C$154, 0)), "")</f>
        <v>100</v>
      </c>
      <c r="K293" s="6" t="str">
        <f>IFERROR(INDEX('Base Exámenes'!$H$5:$H$154, MATCH(A293, 'Base Exámenes'!$C$5:$C$154, 0)), "anonymous")</f>
        <v>anonymous</v>
      </c>
    </row>
    <row r="294">
      <c r="A294" s="4" t="str">
        <f>'Base Oficial'!A294</f>
        <v>905</v>
      </c>
      <c r="B294" s="6" t="str">
        <f>'Base Oficial'!B294</f>
        <v>CHRISTIAN ENRIQUE CAMPOS PRIVADO </v>
      </c>
      <c r="C294" s="6" t="str">
        <f>'Base Oficial'!F294</f>
        <v>DEPARTAMENTO LEGAL</v>
      </c>
      <c r="D294" s="6" t="str">
        <f>'Base Oficial'!G294</f>
        <v>Gerencia Legal y Cumplimiento Normativo</v>
      </c>
      <c r="E294" s="6" t="str">
        <f>'Base Oficial'!D294</f>
        <v>ASISTENTE TECNICO LEGAL</v>
      </c>
      <c r="F294" s="4" t="str">
        <f>IF(COUNTIFS('Base Exámenes'!$C$5:$C$154, A294, 'Base Exámenes'!$E$5:$E$154, "&lt;&gt;")&gt;0, "Completado", "Pendiente")</f>
        <v>Pendiente</v>
      </c>
      <c r="G294" s="23" t="str">
        <f>IFERROR(INDEX('Base Exámenes'!$D$5:$D$154, MATCH(A294, 'Base Exámenes'!$C$5:$C$154, 0)), "")</f>
        <v/>
      </c>
      <c r="H294" s="23" t="str">
        <f>IFERROR(INDEX('Base Exámenes'!$E$5:$E$154, MATCH(A294, 'Base Exámenes'!$C$5:$C$154, 0)), "")</f>
        <v/>
      </c>
      <c r="I294" s="24" t="str">
        <f>IFERROR(INDEX('Base Exámenes'!$F$5:$F$154, MATCH(A294, 'Base Exámenes'!$C$5:$C$154, 0)), "")</f>
        <v/>
      </c>
      <c r="J294" s="6" t="str">
        <f>IFERROR(INDEX('Base Exámenes'!$G$5:$G$154, MATCH(A294, 'Base Exámenes'!$C$5:$C$154, 0)), "")</f>
        <v/>
      </c>
      <c r="K294" s="6" t="str">
        <f>IFERROR(INDEX('Base Exámenes'!$H$5:$H$154, MATCH(A294, 'Base Exámenes'!$C$5:$C$154, 0)), "anonymous")</f>
        <v>anonymous</v>
      </c>
    </row>
    <row r="295">
      <c r="A295" s="4" t="str">
        <f>'Base Oficial'!A295</f>
        <v>929</v>
      </c>
      <c r="B295" s="6" t="str">
        <f>'Base Oficial'!B295</f>
        <v>GABRIELA LOURDES AREVALO SANCHEZ </v>
      </c>
      <c r="C295" s="6" t="str">
        <f>'Base Oficial'!F295</f>
        <v>DEPARTAMENTO LEGAL</v>
      </c>
      <c r="D295" s="6" t="str">
        <f>'Base Oficial'!G295</f>
        <v>Gerencia Legal y Cumplimiento Normativo</v>
      </c>
      <c r="E295" s="6" t="str">
        <f>'Base Oficial'!D295</f>
        <v>AUXILIAR JURIDICO DE CONTRATACION</v>
      </c>
      <c r="F295" s="4" t="str">
        <f>IF(COUNTIFS('Base Exámenes'!$C$5:$C$154, A295, 'Base Exámenes'!$E$5:$E$154, "&lt;&gt;")&gt;0, "Completado", "Pendiente")</f>
        <v>Completado</v>
      </c>
      <c r="G295" s="23">
        <f>IFERROR(INDEX('Base Exámenes'!$D$5:$D$154, MATCH(A295, 'Base Exámenes'!$C$5:$C$154, 0)), "")</f>
        <v>46300.62287037037</v>
      </c>
      <c r="H295" s="23">
        <f>IFERROR(INDEX('Base Exámenes'!$E$5:$E$154, MATCH(A295, 'Base Exámenes'!$C$5:$C$154, 0)), "")</f>
        <v>46300.628483796296</v>
      </c>
      <c r="I295" s="24">
        <f>IFERROR(INDEX('Base Exámenes'!$F$5:$F$154, MATCH(A295, 'Base Exámenes'!$C$5:$C$154, 0)), "")</f>
        <v>8.08333333333333</v>
      </c>
      <c r="J295" s="6">
        <f>IFERROR(INDEX('Base Exámenes'!$G$5:$G$154, MATCH(A295, 'Base Exámenes'!$C$5:$C$154, 0)), "")</f>
        <v>90</v>
      </c>
      <c r="K295" s="6" t="str">
        <f>IFERROR(INDEX('Base Exámenes'!$H$5:$H$154, MATCH(A295, 'Base Exámenes'!$C$5:$C$154, 0)), "anonymous")</f>
        <v>anonymous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43" customWidth="1" min="2" max="2"/>
    <col width="51" customWidth="1" min="3" max="3"/>
    <col width="100" customWidth="1" min="4" max="4"/>
    <col width="14" customWidth="1" min="5" max="5"/>
    <col width="26" customWidth="1" min="6" max="6"/>
    <col width="53" customWidth="1" min="7" max="7"/>
    <col width="101" customWidth="1" min="8" max="8"/>
    <col width="97" customWidth="1" min="9" max="9"/>
    <col width="97" customWidth="1" min="10" max="10"/>
    <col width="97" customWidth="1" min="11" max="11"/>
    <col width="97" customWidth="1" min="12" max="12"/>
    <col width="97" customWidth="1" min="13" max="13"/>
    <col width="101" customWidth="1" min="14" max="14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Primer Examen Finalizado</t>
        </is>
      </c>
      <c r="M4" s="3" t="inlineStr">
        <is>
          <t>Menor Duración (min)</t>
        </is>
      </c>
      <c r="N4" s="3" t="inlineStr">
        <is>
          <t>Promedio Duración (min)</t>
        </is>
      </c>
    </row>
    <row r="5">
      <c r="A5" s="5" t="inlineStr">
        <is>
          <t>ADMINISTRACION DE BASE DE DATOS</t>
        </is>
      </c>
      <c r="B5" s="5" t="inlineStr">
        <is>
          <t>Gerencia de Sistemas</t>
        </is>
      </c>
      <c r="C5" s="8">
        <f>COUNTIF('Detalle individual'!$C$5:$C$295, A5)</f>
        <v>1</v>
      </c>
      <c r="D5" s="8">
        <f>COUNTIFS('Detalle individual'!$C$5:$C$295, A5, 'Detalle individual'!$F$5:$F$295, "Completado")</f>
        <v>1</v>
      </c>
      <c r="E5" s="8">
        <f>C5-D5</f>
        <v>0</v>
      </c>
      <c r="F5" s="9">
        <f>IF(C5&gt;0, D5/C5, 0)</f>
        <v>1</v>
      </c>
      <c r="G5" s="4" t="str">
        <f>IF(AND(C5&gt;0, D5=C5), "Completo", "Pendiente")</f>
        <v>Completo</v>
      </c>
      <c r="H5" s="7">
        <f>IF(D5&gt;0, IFERROR(AVERAGEIFS('Detalle individual'!$J$5:$J$295, 'Detalle individual'!$C$5:$C$295, A5), ""), "")</f>
        <v>95</v>
      </c>
      <c r="I5" s="6">
        <f>IF(D5&gt;0, IFERROR(_xlfn.MAXIFS('Detalle individual'!$J$5:$J$295, 'Detalle individual'!$C$5:$C$295, A5), ""), "")</f>
        <v>95</v>
      </c>
      <c r="J5" s="6">
        <f>IF(D5&gt;0, IFERROR(_xlfn.MINIFS('Detalle individual'!$J$5:$J$295, 'Detalle individual'!$C$5:$C$295, A5), ""), "")</f>
        <v>95</v>
      </c>
      <c r="K5" s="23">
        <f>IF(D5&gt;0, IFERROR(_xlfn.MINIFS('Detalle individual'!$G$5:$G$295, 'Detalle individual'!$C$5:$C$295, A5), ""), "")</f>
        <v>46300.68533564815</v>
      </c>
      <c r="L5" s="23">
        <f>IF(D5&gt;0, IFERROR(_xlfn.MAXIFS('Detalle individual'!$H$5:$H$295, 'Detalle individual'!$C$5:$C$295, A5), ""), "")</f>
        <v>46300.696018518516</v>
      </c>
      <c r="M5" s="7">
        <f>IF(D5&gt;0, IFERROR(_xlfn.MINIFS('Detalle individual'!$I$5:$I$295, 'Detalle individual'!$C$5:$C$295, A5), ""), "")</f>
        <v>15.3833333333333</v>
      </c>
      <c r="N5" s="7">
        <f>IF(D5&gt;0, IFERROR(AVERAGEIFS('Detalle individual'!$I$5:$I$295, 'Detalle individual'!$C$5:$C$295, A5), ""), "")</f>
        <v>15.3833333333333</v>
      </c>
    </row>
    <row r="6">
      <c r="A6" s="5" t="inlineStr">
        <is>
          <t>ADMINISTRACION DE RIESGOS</t>
        </is>
      </c>
      <c r="B6" s="5" t="inlineStr">
        <is>
          <t>Gerencia General</t>
        </is>
      </c>
      <c r="C6" s="8">
        <f>COUNTIF('Detalle individual'!$C$5:$C$295, A6)</f>
        <v>4</v>
      </c>
      <c r="D6" s="8">
        <f>COUNTIFS('Detalle individual'!$C$5:$C$295, A6, 'Detalle individual'!$F$5:$F$295, "Completado")</f>
        <v>3</v>
      </c>
      <c r="E6" s="8">
        <f>C6-D6</f>
        <v>1</v>
      </c>
      <c r="F6" s="9">
        <f>IF(C6&gt;0, D6/C6, 0)</f>
        <v>0.75</v>
      </c>
      <c r="G6" s="4" t="str">
        <f>IF(AND(C6&gt;0, D6=C6), "Completo", "Pendiente")</f>
        <v>Pendiente</v>
      </c>
      <c r="H6" s="7">
        <f>IF(D6&gt;0, IFERROR(AVERAGEIFS('Detalle individual'!$J$5:$J$295, 'Detalle individual'!$C$5:$C$295, A6), ""), "")</f>
        <v>100</v>
      </c>
      <c r="I6" s="6">
        <f>IF(D6&gt;0, IFERROR(_xlfn.MAXIFS('Detalle individual'!$J$5:$J$295, 'Detalle individual'!$C$5:$C$295, A6), ""), "")</f>
        <v>100</v>
      </c>
      <c r="J6" s="6">
        <f>IF(D6&gt;0, IFERROR(_xlfn.MINIFS('Detalle individual'!$J$5:$J$295, 'Detalle individual'!$C$5:$C$295, A6), ""), "")</f>
        <v>100</v>
      </c>
      <c r="K6" s="23">
        <f>IF(D6&gt;0, IFERROR(_xlfn.MINIFS('Detalle individual'!$G$5:$G$295, 'Detalle individual'!$C$5:$C$295, A6), ""), "")</f>
        <v>46296.43667824074</v>
      </c>
      <c r="L6" s="23">
        <f>IF(D6&gt;0, IFERROR(_xlfn.MAXIFS('Detalle individual'!$H$5:$H$295, 'Detalle individual'!$C$5:$C$295, A6), ""), "")</f>
        <v>46304.40962962963</v>
      </c>
      <c r="M6" s="7">
        <f>IF(D6&gt;0, IFERROR(_xlfn.MINIFS('Detalle individual'!$I$5:$I$295, 'Detalle individual'!$C$5:$C$295, A6), ""), "")</f>
        <v>3.05</v>
      </c>
      <c r="N6" s="7">
        <f>IF(D6&gt;0, IFERROR(AVERAGEIFS('Detalle individual'!$I$5:$I$295, 'Detalle individual'!$C$5:$C$295, A6), ""), "")</f>
        <v>6.88333333333333</v>
      </c>
    </row>
    <row r="7">
      <c r="A7" s="5" t="inlineStr">
        <is>
          <t>ADMINISTRACIÓN DE CARTERAS</t>
        </is>
      </c>
      <c r="B7" s="5" t="inlineStr">
        <is>
          <t>Gerencia de Operaciones</t>
        </is>
      </c>
      <c r="C7" s="8">
        <f>COUNTIF('Detalle individual'!$C$5:$C$295, A7)</f>
        <v>5</v>
      </c>
      <c r="D7" s="8">
        <f>COUNTIFS('Detalle individual'!$C$5:$C$295, A7, 'Detalle individual'!$F$5:$F$295, "Completado")</f>
        <v>2</v>
      </c>
      <c r="E7" s="8">
        <f>C7-D7</f>
        <v>3</v>
      </c>
      <c r="F7" s="9">
        <f>IF(C7&gt;0, D7/C7, 0)</f>
        <v>0.4</v>
      </c>
      <c r="G7" s="4" t="str">
        <f>IF(AND(C7&gt;0, D7=C7), "Completo", "Pendiente")</f>
        <v>Pendiente</v>
      </c>
      <c r="H7" s="7">
        <f>IF(D7&gt;0, IFERROR(AVERAGEIFS('Detalle individual'!$J$5:$J$295, 'Detalle individual'!$C$5:$C$295, A7), ""), "")</f>
        <v>100</v>
      </c>
      <c r="I7" s="6">
        <f>IF(D7&gt;0, IFERROR(_xlfn.MAXIFS('Detalle individual'!$J$5:$J$295, 'Detalle individual'!$C$5:$C$295, A7), ""), "")</f>
        <v>100</v>
      </c>
      <c r="J7" s="6">
        <f>IF(D7&gt;0, IFERROR(_xlfn.MINIFS('Detalle individual'!$J$5:$J$295, 'Detalle individual'!$C$5:$C$295, A7), ""), "")</f>
        <v>100</v>
      </c>
      <c r="K7" s="23">
        <f>IF(D7&gt;0, IFERROR(_xlfn.MINIFS('Detalle individual'!$G$5:$G$295, 'Detalle individual'!$C$5:$C$295, A7), ""), "")</f>
        <v>46304.494108796294</v>
      </c>
      <c r="L7" s="23">
        <f>IF(D7&gt;0, IFERROR(_xlfn.MAXIFS('Detalle individual'!$H$5:$H$295, 'Detalle individual'!$C$5:$C$295, A7), ""), "")</f>
        <v>46304.56716435185</v>
      </c>
      <c r="M7" s="7">
        <f>IF(D7&gt;0, IFERROR(_xlfn.MINIFS('Detalle individual'!$I$5:$I$295, 'Detalle individual'!$C$5:$C$295, A7), ""), "")</f>
        <v>4.43333333333333</v>
      </c>
      <c r="N7" s="7">
        <f>IF(D7&gt;0, IFERROR(AVERAGEIFS('Detalle individual'!$I$5:$I$295, 'Detalle individual'!$C$5:$C$295, A7), ""), "")</f>
        <v>15.1083333333333</v>
      </c>
    </row>
    <row r="8">
      <c r="A8" s="5" t="inlineStr">
        <is>
          <t xml:space="preserve">AGENCIA CENTRAL  </t>
        </is>
      </c>
      <c r="B8" s="5" t="inlineStr">
        <is>
          <t>Gerencia de Negocios (Agencias)</t>
        </is>
      </c>
      <c r="C8" s="8">
        <f>COUNTIF('Detalle individual'!$C$5:$C$295, A8)</f>
        <v>18</v>
      </c>
      <c r="D8" s="8">
        <f>COUNTIFS('Detalle individual'!$C$5:$C$295, A8, 'Detalle individual'!$F$5:$F$295, "Completado")</f>
        <v>5</v>
      </c>
      <c r="E8" s="8">
        <f>C8-D8</f>
        <v>13</v>
      </c>
      <c r="F8" s="9">
        <f>IF(C8&gt;0, D8/C8, 0)</f>
        <v>0.277777777777778</v>
      </c>
      <c r="G8" s="4" t="str">
        <f>IF(AND(C8&gt;0, D8=C8), "Completo", "Pendiente")</f>
        <v>Pendiente</v>
      </c>
      <c r="H8" s="7">
        <f>IF(D8&gt;0, IFERROR(AVERAGEIFS('Detalle individual'!$J$5:$J$295, 'Detalle individual'!$C$5:$C$295, A8), ""), "")</f>
        <v>99</v>
      </c>
      <c r="I8" s="6">
        <f>IF(D8&gt;0, IFERROR(_xlfn.MAXIFS('Detalle individual'!$J$5:$J$295, 'Detalle individual'!$C$5:$C$295, A8), ""), "")</f>
        <v>100</v>
      </c>
      <c r="J8" s="6">
        <f>IF(D8&gt;0, IFERROR(_xlfn.MINIFS('Detalle individual'!$J$5:$J$295, 'Detalle individual'!$C$5:$C$295, A8), ""), "")</f>
        <v>95</v>
      </c>
      <c r="K8" s="23">
        <f>IF(D8&gt;0, IFERROR(_xlfn.MINIFS('Detalle individual'!$G$5:$G$295, 'Detalle individual'!$C$5:$C$295, A8), ""), "")</f>
        <v>46302.469988425924</v>
      </c>
      <c r="L8" s="23">
        <f>IF(D8&gt;0, IFERROR(_xlfn.MAXIFS('Detalle individual'!$H$5:$H$295, 'Detalle individual'!$C$5:$C$295, A8), ""), "")</f>
        <v>46303.443460648145</v>
      </c>
      <c r="M8" s="7">
        <f>IF(D8&gt;0, IFERROR(_xlfn.MINIFS('Detalle individual'!$I$5:$I$295, 'Detalle individual'!$C$5:$C$295, A8), ""), "")</f>
        <v>1.75</v>
      </c>
      <c r="N8" s="7">
        <f>IF(D8&gt;0, IFERROR(AVERAGEIFS('Detalle individual'!$I$5:$I$295, 'Detalle individual'!$C$5:$C$295, A8), ""), "")</f>
        <v>15.47333332736</v>
      </c>
    </row>
    <row r="9">
      <c r="A9" s="5" t="inlineStr">
        <is>
          <t xml:space="preserve">AGENCIA COLEGIO MEDICO </t>
        </is>
      </c>
      <c r="B9" s="5" t="inlineStr">
        <is>
          <t>Gerencia de Negocios (Agencias)</t>
        </is>
      </c>
      <c r="C9" s="8">
        <f>COUNTIF('Detalle individual'!$C$5:$C$295, A9)</f>
        <v>12</v>
      </c>
      <c r="D9" s="8">
        <f>COUNTIFS('Detalle individual'!$C$5:$C$295, A9, 'Detalle individual'!$F$5:$F$295, "Completado")</f>
        <v>1</v>
      </c>
      <c r="E9" s="8">
        <f>C9-D9</f>
        <v>11</v>
      </c>
      <c r="F9" s="9">
        <f>IF(C9&gt;0, D9/C9, 0)</f>
        <v>0.0833333333333333</v>
      </c>
      <c r="G9" s="4" t="str">
        <f>IF(AND(C9&gt;0, D9=C9), "Completo", "Pendiente")</f>
        <v>Pendiente</v>
      </c>
      <c r="H9" s="7">
        <f>IF(D9&gt;0, IFERROR(AVERAGEIFS('Detalle individual'!$J$5:$J$295, 'Detalle individual'!$C$5:$C$295, A9), ""), "")</f>
        <v>100</v>
      </c>
      <c r="I9" s="6">
        <f>IF(D9&gt;0, IFERROR(_xlfn.MAXIFS('Detalle individual'!$J$5:$J$295, 'Detalle individual'!$C$5:$C$295, A9), ""), "")</f>
        <v>100</v>
      </c>
      <c r="J9" s="6">
        <f>IF(D9&gt;0, IFERROR(_xlfn.MINIFS('Detalle individual'!$J$5:$J$295, 'Detalle individual'!$C$5:$C$295, A9), ""), "")</f>
        <v>100</v>
      </c>
      <c r="K9" s="23">
        <f>IF(D9&gt;0, IFERROR(_xlfn.MINIFS('Detalle individual'!$G$5:$G$295, 'Detalle individual'!$C$5:$C$295, A9), ""), "")</f>
        <v>46296.47090277778</v>
      </c>
      <c r="L9" s="23">
        <f>IF(D9&gt;0, IFERROR(_xlfn.MAXIFS('Detalle individual'!$H$5:$H$295, 'Detalle individual'!$C$5:$C$295, A9), ""), "")</f>
        <v>46296.47634259259</v>
      </c>
      <c r="M9" s="7">
        <f>IF(D9&gt;0, IFERROR(_xlfn.MINIFS('Detalle individual'!$I$5:$I$295, 'Detalle individual'!$C$5:$C$295, A9), ""), "")</f>
        <v>7.83333333333333</v>
      </c>
      <c r="N9" s="7">
        <f>IF(D9&gt;0, IFERROR(AVERAGEIFS('Detalle individual'!$I$5:$I$295, 'Detalle individual'!$C$5:$C$295, A9), ""), "")</f>
        <v>7.83333333333333</v>
      </c>
    </row>
    <row r="10">
      <c r="A10" s="5" t="inlineStr">
        <is>
          <t xml:space="preserve">AGENCIA COLONIA MEDICA  </t>
        </is>
      </c>
      <c r="B10" s="5" t="inlineStr">
        <is>
          <t>Gerencia de Negocios (Agencias)</t>
        </is>
      </c>
      <c r="C10" s="8">
        <f>COUNTIF('Detalle individual'!$C$5:$C$295, A10)</f>
        <v>16</v>
      </c>
      <c r="D10" s="8">
        <f>COUNTIFS('Detalle individual'!$C$5:$C$295, A10, 'Detalle individual'!$F$5:$F$295, "Completado")</f>
        <v>5</v>
      </c>
      <c r="E10" s="8">
        <f>C10-D10</f>
        <v>11</v>
      </c>
      <c r="F10" s="9">
        <f>IF(C10&gt;0, D10/C10, 0)</f>
        <v>0.3125</v>
      </c>
      <c r="G10" s="4" t="str">
        <f>IF(AND(C10&gt;0, D10=C10), "Completo", "Pendiente")</f>
        <v>Pendiente</v>
      </c>
      <c r="H10" s="7">
        <f>IF(D10&gt;0, IFERROR(AVERAGEIFS('Detalle individual'!$J$5:$J$295, 'Detalle individual'!$C$5:$C$295, A10), ""), "")</f>
        <v>99</v>
      </c>
      <c r="I10" s="6">
        <f>IF(D10&gt;0, IFERROR(_xlfn.MAXIFS('Detalle individual'!$J$5:$J$295, 'Detalle individual'!$C$5:$C$295, A10), ""), "")</f>
        <v>100</v>
      </c>
      <c r="J10" s="6">
        <f>IF(D10&gt;0, IFERROR(_xlfn.MINIFS('Detalle individual'!$J$5:$J$295, 'Detalle individual'!$C$5:$C$295, A10), ""), "")</f>
        <v>95</v>
      </c>
      <c r="K10" s="23">
        <f>IF(D10&gt;0, IFERROR(_xlfn.MINIFS('Detalle individual'!$G$5:$G$295, 'Detalle individual'!$C$5:$C$295, A10), ""), "")</f>
        <v>46297.711550925924</v>
      </c>
      <c r="L10" s="23">
        <f>IF(D10&gt;0, IFERROR(_xlfn.MAXIFS('Detalle individual'!$H$5:$H$295, 'Detalle individual'!$C$5:$C$295, A10), ""), "")</f>
        <v>46302.64712962963</v>
      </c>
      <c r="M10" s="7">
        <f>IF(D10&gt;0, IFERROR(_xlfn.MINIFS('Detalle individual'!$I$5:$I$295, 'Detalle individual'!$C$5:$C$295, A10), ""), "")</f>
        <v>2.8</v>
      </c>
      <c r="N10" s="7">
        <f>IF(D10&gt;0, IFERROR(AVERAGEIFS('Detalle individual'!$I$5:$I$295, 'Detalle individual'!$C$5:$C$295, A10), ""), "")</f>
        <v>48.6733333333333</v>
      </c>
    </row>
    <row r="11">
      <c r="A11" s="5" t="inlineStr">
        <is>
          <t xml:space="preserve">AGENCIA MERLIOT  </t>
        </is>
      </c>
      <c r="B11" s="5" t="inlineStr">
        <is>
          <t>Gerencia de Negocios (Agencias)</t>
        </is>
      </c>
      <c r="C11" s="8">
        <f>COUNTIF('Detalle individual'!$C$5:$C$295, A11)</f>
        <v>13</v>
      </c>
      <c r="D11" s="8">
        <f>COUNTIFS('Detalle individual'!$C$5:$C$295, A11, 'Detalle individual'!$F$5:$F$295, "Completado")</f>
        <v>12</v>
      </c>
      <c r="E11" s="8">
        <f>C11-D11</f>
        <v>1</v>
      </c>
      <c r="F11" s="9">
        <f>IF(C11&gt;0, D11/C11, 0)</f>
        <v>0.923076923076923</v>
      </c>
      <c r="G11" s="4" t="str">
        <f>IF(AND(C11&gt;0, D11=C11), "Completo", "Pendiente")</f>
        <v>Pendiente</v>
      </c>
      <c r="H11" s="7">
        <f>IF(D11&gt;0, IFERROR(AVERAGEIFS('Detalle individual'!$J$5:$J$295, 'Detalle individual'!$C$5:$C$295, A11), ""), "")</f>
        <v>95.4166666666667</v>
      </c>
      <c r="I11" s="6">
        <f>IF(D11&gt;0, IFERROR(_xlfn.MAXIFS('Detalle individual'!$J$5:$J$295, 'Detalle individual'!$C$5:$C$295, A11), ""), "")</f>
        <v>100</v>
      </c>
      <c r="J11" s="6">
        <f>IF(D11&gt;0, IFERROR(_xlfn.MINIFS('Detalle individual'!$J$5:$J$295, 'Detalle individual'!$C$5:$C$295, A11), ""), "")</f>
        <v>70</v>
      </c>
      <c r="K11" s="23">
        <f>IF(D11&gt;0, IFERROR(_xlfn.MINIFS('Detalle individual'!$G$5:$G$295, 'Detalle individual'!$C$5:$C$295, A11), ""), "")</f>
        <v>46296.54665509259</v>
      </c>
      <c r="L11" s="23">
        <f>IF(D11&gt;0, IFERROR(_xlfn.MAXIFS('Detalle individual'!$H$5:$H$295, 'Detalle individual'!$C$5:$C$295, A11), ""), "")</f>
        <v>46303.46199074074</v>
      </c>
      <c r="M11" s="7">
        <f>IF(D11&gt;0, IFERROR(_xlfn.MINIFS('Detalle individual'!$I$5:$I$295, 'Detalle individual'!$C$5:$C$295, A11), ""), "")</f>
        <v>1.78333333333333</v>
      </c>
      <c r="N11" s="7">
        <f>IF(D11&gt;0, IFERROR(AVERAGEIFS('Detalle individual'!$I$5:$I$295, 'Detalle individual'!$C$5:$C$295, A11), ""), "")</f>
        <v>9.0125</v>
      </c>
    </row>
    <row r="12">
      <c r="A12" s="5" t="inlineStr">
        <is>
          <t xml:space="preserve">AGENCIA PLAZA MUNDO  </t>
        </is>
      </c>
      <c r="B12" s="5" t="inlineStr">
        <is>
          <t>Gerencia de Negocios (Agencias)</t>
        </is>
      </c>
      <c r="C12" s="8">
        <f>COUNTIF('Detalle individual'!$C$5:$C$295, A12)</f>
        <v>8</v>
      </c>
      <c r="D12" s="8">
        <f>COUNTIFS('Detalle individual'!$C$5:$C$295, A12, 'Detalle individual'!$F$5:$F$295, "Completado")</f>
        <v>0</v>
      </c>
      <c r="E12" s="8">
        <f>C12-D12</f>
        <v>8</v>
      </c>
      <c r="F12" s="9">
        <f>IF(C12&gt;0, D12/C12, 0)</f>
        <v>0</v>
      </c>
      <c r="G12" s="4" t="str">
        <f>IF(AND(C12&gt;0, D12=C12), "Completo", "Pendiente")</f>
        <v>Pendiente</v>
      </c>
      <c r="H12" s="7" t="str">
        <f>IF(D12&gt;0, IFERROR(AVERAGEIFS('Detalle individual'!$J$5:$J$295, 'Detalle individual'!$C$5:$C$295, A12), ""), "")</f>
        <v/>
      </c>
      <c r="I12" s="6" t="str">
        <f>IF(D12&gt;0, IFERROR(_xlfn.MAXIFS('Detalle individual'!$J$5:$J$295, 'Detalle individual'!$C$5:$C$295, A12), ""), "")</f>
        <v/>
      </c>
      <c r="J12" s="6" t="str">
        <f>IF(D12&gt;0, IFERROR(_xlfn.MINIFS('Detalle individual'!$J$5:$J$295, 'Detalle individual'!$C$5:$C$295, A12), ""), "")</f>
        <v/>
      </c>
      <c r="K12" s="23" t="str">
        <f>IF(D12&gt;0, IFERROR(_xlfn.MINIFS('Detalle individual'!$G$5:$G$295, 'Detalle individual'!$C$5:$C$295, A12), ""), "")</f>
        <v/>
      </c>
      <c r="L12" s="23" t="str">
        <f>IF(D12&gt;0, IFERROR(_xlfn.MAXIFS('Detalle individual'!$H$5:$H$295, 'Detalle individual'!$C$5:$C$295, A12), ""), "")</f>
        <v/>
      </c>
      <c r="M12" s="7" t="str">
        <f>IF(D12&gt;0, IFERROR(_xlfn.MINIFS('Detalle individual'!$I$5:$I$295, 'Detalle individual'!$C$5:$C$295, A12), ""), "")</f>
        <v/>
      </c>
      <c r="N12" s="7" t="str">
        <f>IF(D12&gt;0, IFERROR(AVERAGEIFS('Detalle individual'!$I$5:$I$295, 'Detalle individual'!$C$5:$C$295, A12), ""), "")</f>
        <v/>
      </c>
    </row>
    <row r="13">
      <c r="A13" s="5" t="inlineStr">
        <is>
          <t xml:space="preserve">AGENCIA SAN  MIGUEL  </t>
        </is>
      </c>
      <c r="B13" s="5" t="inlineStr">
        <is>
          <t>Gerencia de Negocios (Agencias)</t>
        </is>
      </c>
      <c r="C13" s="8">
        <f>COUNTIF('Detalle individual'!$C$5:$C$295, A13)</f>
        <v>8</v>
      </c>
      <c r="D13" s="8">
        <f>COUNTIFS('Detalle individual'!$C$5:$C$295, A13, 'Detalle individual'!$F$5:$F$295, "Completado")</f>
        <v>7</v>
      </c>
      <c r="E13" s="8">
        <f>C13-D13</f>
        <v>1</v>
      </c>
      <c r="F13" s="9">
        <f>IF(C13&gt;0, D13/C13, 0)</f>
        <v>0.875</v>
      </c>
      <c r="G13" s="4" t="str">
        <f>IF(AND(C13&gt;0, D13=C13), "Completo", "Pendiente")</f>
        <v>Pendiente</v>
      </c>
      <c r="H13" s="7">
        <f>IF(D13&gt;0, IFERROR(AVERAGEIFS('Detalle individual'!$J$5:$J$295, 'Detalle individual'!$C$5:$C$295, A13), ""), "")</f>
        <v>98.5714285714286</v>
      </c>
      <c r="I13" s="6">
        <f>IF(D13&gt;0, IFERROR(_xlfn.MAXIFS('Detalle individual'!$J$5:$J$295, 'Detalle individual'!$C$5:$C$295, A13), ""), "")</f>
        <v>100</v>
      </c>
      <c r="J13" s="6">
        <f>IF(D13&gt;0, IFERROR(_xlfn.MINIFS('Detalle individual'!$J$5:$J$295, 'Detalle individual'!$C$5:$C$295, A13), ""), "")</f>
        <v>90</v>
      </c>
      <c r="K13" s="23">
        <f>IF(D13&gt;0, IFERROR(_xlfn.MINIFS('Detalle individual'!$G$5:$G$295, 'Detalle individual'!$C$5:$C$295, A13), ""), "")</f>
        <v>46296.43491898148</v>
      </c>
      <c r="L13" s="23">
        <f>IF(D13&gt;0, IFERROR(_xlfn.MAXIFS('Detalle individual'!$H$5:$H$295, 'Detalle individual'!$C$5:$C$295, A13), ""), "")</f>
        <v>46296.49199074074</v>
      </c>
      <c r="M13" s="7">
        <f>IF(D13&gt;0, IFERROR(_xlfn.MINIFS('Detalle individual'!$I$5:$I$295, 'Detalle individual'!$C$5:$C$295, A13), ""), "")</f>
        <v>2.95</v>
      </c>
      <c r="N13" s="7">
        <f>IF(D13&gt;0, IFERROR(AVERAGEIFS('Detalle individual'!$I$5:$I$295, 'Detalle individual'!$C$5:$C$295, A13), ""), "")</f>
        <v>5.16666666666667</v>
      </c>
    </row>
    <row r="14">
      <c r="A14" s="5" t="inlineStr">
        <is>
          <t xml:space="preserve">AGENCIA SANTA  ANA  </t>
        </is>
      </c>
      <c r="B14" s="5" t="inlineStr">
        <is>
          <t>Gerencia de Negocios (Agencias)</t>
        </is>
      </c>
      <c r="C14" s="8">
        <f>COUNTIF('Detalle individual'!$C$5:$C$295, A14)</f>
        <v>8</v>
      </c>
      <c r="D14" s="8">
        <f>COUNTIFS('Detalle individual'!$C$5:$C$295, A14, 'Detalle individual'!$F$5:$F$295, "Completado")</f>
        <v>0</v>
      </c>
      <c r="E14" s="8">
        <f>C14-D14</f>
        <v>8</v>
      </c>
      <c r="F14" s="9">
        <f>IF(C14&gt;0, D14/C14, 0)</f>
        <v>0</v>
      </c>
      <c r="G14" s="4" t="str">
        <f>IF(AND(C14&gt;0, D14=C14), "Completo", "Pendiente")</f>
        <v>Pendiente</v>
      </c>
      <c r="H14" s="7" t="str">
        <f>IF(D14&gt;0, IFERROR(AVERAGEIFS('Detalle individual'!$J$5:$J$295, 'Detalle individual'!$C$5:$C$295, A14), ""), "")</f>
        <v/>
      </c>
      <c r="I14" s="6" t="str">
        <f>IF(D14&gt;0, IFERROR(_xlfn.MAXIFS('Detalle individual'!$J$5:$J$295, 'Detalle individual'!$C$5:$C$295, A14), ""), "")</f>
        <v/>
      </c>
      <c r="J14" s="6" t="str">
        <f>IF(D14&gt;0, IFERROR(_xlfn.MINIFS('Detalle individual'!$J$5:$J$295, 'Detalle individual'!$C$5:$C$295, A14), ""), "")</f>
        <v/>
      </c>
      <c r="K14" s="23" t="str">
        <f>IF(D14&gt;0, IFERROR(_xlfn.MINIFS('Detalle individual'!$G$5:$G$295, 'Detalle individual'!$C$5:$C$295, A14), ""), "")</f>
        <v/>
      </c>
      <c r="L14" s="23" t="str">
        <f>IF(D14&gt;0, IFERROR(_xlfn.MAXIFS('Detalle individual'!$H$5:$H$295, 'Detalle individual'!$C$5:$C$295, A14), ""), "")</f>
        <v/>
      </c>
      <c r="M14" s="7" t="str">
        <f>IF(D14&gt;0, IFERROR(_xlfn.MINIFS('Detalle individual'!$I$5:$I$295, 'Detalle individual'!$C$5:$C$295, A14), ""), "")</f>
        <v/>
      </c>
      <c r="N14" s="7" t="str">
        <f>IF(D14&gt;0, IFERROR(AVERAGEIFS('Detalle individual'!$I$5:$I$295, 'Detalle individual'!$C$5:$C$295, A14), ""), "")</f>
        <v/>
      </c>
    </row>
    <row r="15">
      <c r="A15" s="5" t="inlineStr">
        <is>
          <t xml:space="preserve">AGENCIA SONSONATE  </t>
        </is>
      </c>
      <c r="B15" s="5" t="inlineStr">
        <is>
          <t>Gerencia de Negocios (Agencias)</t>
        </is>
      </c>
      <c r="C15" s="8">
        <f>COUNTIF('Detalle individual'!$C$5:$C$295, A15)</f>
        <v>7</v>
      </c>
      <c r="D15" s="8">
        <f>COUNTIFS('Detalle individual'!$C$5:$C$295, A15, 'Detalle individual'!$F$5:$F$295, "Completado")</f>
        <v>0</v>
      </c>
      <c r="E15" s="8">
        <f>C15-D15</f>
        <v>7</v>
      </c>
      <c r="F15" s="9">
        <f>IF(C15&gt;0, D15/C15, 0)</f>
        <v>0</v>
      </c>
      <c r="G15" s="4" t="str">
        <f>IF(AND(C15&gt;0, D15=C15), "Completo", "Pendiente")</f>
        <v>Pendiente</v>
      </c>
      <c r="H15" s="7" t="str">
        <f>IF(D15&gt;0, IFERROR(AVERAGEIFS('Detalle individual'!$J$5:$J$295, 'Detalle individual'!$C$5:$C$295, A15), ""), "")</f>
        <v/>
      </c>
      <c r="I15" s="6" t="str">
        <f>IF(D15&gt;0, IFERROR(_xlfn.MAXIFS('Detalle individual'!$J$5:$J$295, 'Detalle individual'!$C$5:$C$295, A15), ""), "")</f>
        <v/>
      </c>
      <c r="J15" s="6" t="str">
        <f>IF(D15&gt;0, IFERROR(_xlfn.MINIFS('Detalle individual'!$J$5:$J$295, 'Detalle individual'!$C$5:$C$295, A15), ""), "")</f>
        <v/>
      </c>
      <c r="K15" s="23" t="str">
        <f>IF(D15&gt;0, IFERROR(_xlfn.MINIFS('Detalle individual'!$G$5:$G$295, 'Detalle individual'!$C$5:$C$295, A15), ""), "")</f>
        <v/>
      </c>
      <c r="L15" s="23" t="str">
        <f>IF(D15&gt;0, IFERROR(_xlfn.MAXIFS('Detalle individual'!$H$5:$H$295, 'Detalle individual'!$C$5:$C$295, A15), ""), "")</f>
        <v/>
      </c>
      <c r="M15" s="7" t="str">
        <f>IF(D15&gt;0, IFERROR(_xlfn.MINIFS('Detalle individual'!$I$5:$I$295, 'Detalle individual'!$C$5:$C$295, A15), ""), "")</f>
        <v/>
      </c>
      <c r="N15" s="7" t="str">
        <f>IF(D15&gt;0, IFERROR(AVERAGEIFS('Detalle individual'!$I$5:$I$295, 'Detalle individual'!$C$5:$C$295, A15), ""), "")</f>
        <v/>
      </c>
    </row>
    <row r="16">
      <c r="A16" s="5" t="inlineStr">
        <is>
          <t xml:space="preserve">AGENCIA USULUTAN  </t>
        </is>
      </c>
      <c r="B16" s="5" t="inlineStr">
        <is>
          <t>Gerencia de Negocios (Agencias)</t>
        </is>
      </c>
      <c r="C16" s="8">
        <f>COUNTIF('Detalle individual'!$C$5:$C$295, A16)</f>
        <v>7</v>
      </c>
      <c r="D16" s="8">
        <f>COUNTIFS('Detalle individual'!$C$5:$C$295, A16, 'Detalle individual'!$F$5:$F$295, "Completado")</f>
        <v>4</v>
      </c>
      <c r="E16" s="8">
        <f>C16-D16</f>
        <v>3</v>
      </c>
      <c r="F16" s="9">
        <f>IF(C16&gt;0, D16/C16, 0)</f>
        <v>0.571428571428571</v>
      </c>
      <c r="G16" s="4" t="str">
        <f>IF(AND(C16&gt;0, D16=C16), "Completo", "Pendiente")</f>
        <v>Pendiente</v>
      </c>
      <c r="H16" s="7">
        <f>IF(D16&gt;0, IFERROR(AVERAGEIFS('Detalle individual'!$J$5:$J$295, 'Detalle individual'!$C$5:$C$295, A16), ""), "")</f>
        <v>95</v>
      </c>
      <c r="I16" s="6">
        <f>IF(D16&gt;0, IFERROR(_xlfn.MAXIFS('Detalle individual'!$J$5:$J$295, 'Detalle individual'!$C$5:$C$295, A16), ""), "")</f>
        <v>100</v>
      </c>
      <c r="J16" s="6">
        <f>IF(D16&gt;0, IFERROR(_xlfn.MINIFS('Detalle individual'!$J$5:$J$295, 'Detalle individual'!$C$5:$C$295, A16), ""), "")</f>
        <v>80</v>
      </c>
      <c r="K16" s="23">
        <f>IF(D16&gt;0, IFERROR(_xlfn.MINIFS('Detalle individual'!$G$5:$G$295, 'Detalle individual'!$C$5:$C$295, A16), ""), "")</f>
        <v>46301.42581018519</v>
      </c>
      <c r="L16" s="23">
        <f>IF(D16&gt;0, IFERROR(_xlfn.MAXIFS('Detalle individual'!$H$5:$H$295, 'Detalle individual'!$C$5:$C$295, A16), ""), "")</f>
        <v>46303.544328703705</v>
      </c>
      <c r="M16" s="7">
        <f>IF(D16&gt;0, IFERROR(_xlfn.MINIFS('Detalle individual'!$I$5:$I$295, 'Detalle individual'!$C$5:$C$295, A16), ""), "")</f>
        <v>4.41666666666667</v>
      </c>
      <c r="N16" s="7">
        <f>IF(D16&gt;0, IFERROR(AVERAGEIFS('Detalle individual'!$I$5:$I$295, 'Detalle individual'!$C$5:$C$295, A16), ""), "")</f>
        <v>8.72083333333333</v>
      </c>
    </row>
    <row r="17">
      <c r="A17" s="5" t="inlineStr">
        <is>
          <t>CLINICA EMPRESARIAL</t>
        </is>
      </c>
      <c r="B17" s="5" t="inlineStr">
        <is>
          <t>Gerencia Administrativa</t>
        </is>
      </c>
      <c r="C17" s="8">
        <f>COUNTIF('Detalle individual'!$C$5:$C$295, A17)</f>
        <v>2</v>
      </c>
      <c r="D17" s="8">
        <f>COUNTIFS('Detalle individual'!$C$5:$C$295, A17, 'Detalle individual'!$F$5:$F$295, "Completado")</f>
        <v>0</v>
      </c>
      <c r="E17" s="8">
        <f>C17-D17</f>
        <v>2</v>
      </c>
      <c r="F17" s="9">
        <f>IF(C17&gt;0, D17/C17, 0)</f>
        <v>0</v>
      </c>
      <c r="G17" s="4" t="str">
        <f>IF(AND(C17&gt;0, D17=C17), "Completo", "Pendiente")</f>
        <v>Pendiente</v>
      </c>
      <c r="H17" s="7" t="str">
        <f>IF(D17&gt;0, IFERROR(AVERAGEIFS('Detalle individual'!$J$5:$J$295, 'Detalle individual'!$C$5:$C$295, A17), ""), "")</f>
        <v/>
      </c>
      <c r="I17" s="6" t="str">
        <f>IF(D17&gt;0, IFERROR(_xlfn.MAXIFS('Detalle individual'!$J$5:$J$295, 'Detalle individual'!$C$5:$C$295, A17), ""), "")</f>
        <v/>
      </c>
      <c r="J17" s="6" t="str">
        <f>IF(D17&gt;0, IFERROR(_xlfn.MINIFS('Detalle individual'!$J$5:$J$295, 'Detalle individual'!$C$5:$C$295, A17), ""), "")</f>
        <v/>
      </c>
      <c r="K17" s="23" t="str">
        <f>IF(D17&gt;0, IFERROR(_xlfn.MINIFS('Detalle individual'!$G$5:$G$295, 'Detalle individual'!$C$5:$C$295, A17), ""), "")</f>
        <v/>
      </c>
      <c r="L17" s="23" t="str">
        <f>IF(D17&gt;0, IFERROR(_xlfn.MAXIFS('Detalle individual'!$H$5:$H$295, 'Detalle individual'!$C$5:$C$295, A17), ""), "")</f>
        <v/>
      </c>
      <c r="M17" s="7" t="str">
        <f>IF(D17&gt;0, IFERROR(_xlfn.MINIFS('Detalle individual'!$I$5:$I$295, 'Detalle individual'!$C$5:$C$295, A17), ""), "")</f>
        <v/>
      </c>
      <c r="N17" s="7" t="str">
        <f>IF(D17&gt;0, IFERROR(AVERAGEIFS('Detalle individual'!$I$5:$I$295, 'Detalle individual'!$C$5:$C$295, A17), ""), "")</f>
        <v/>
      </c>
    </row>
    <row r="18">
      <c r="A18" s="5" t="inlineStr">
        <is>
          <t>DEPARTAMENTO COMERCIAL DE TARJETA DE CREDITO Y DEBITO</t>
        </is>
      </c>
      <c r="B18" s="5" t="inlineStr">
        <is>
          <t>Gerencia General</t>
        </is>
      </c>
      <c r="C18" s="8">
        <f>COUNTIF('Detalle individual'!$C$5:$C$295, A18)</f>
        <v>8</v>
      </c>
      <c r="D18" s="8">
        <f>COUNTIFS('Detalle individual'!$C$5:$C$295, A18, 'Detalle individual'!$F$5:$F$295, "Completado")</f>
        <v>4</v>
      </c>
      <c r="E18" s="8">
        <f>C18-D18</f>
        <v>4</v>
      </c>
      <c r="F18" s="9">
        <f>IF(C18&gt;0, D18/C18, 0)</f>
        <v>0.5</v>
      </c>
      <c r="G18" s="4" t="str">
        <f>IF(AND(C18&gt;0, D18=C18), "Completo", "Pendiente")</f>
        <v>Pendiente</v>
      </c>
      <c r="H18" s="7">
        <f>IF(D18&gt;0, IFERROR(AVERAGEIFS('Detalle individual'!$J$5:$J$295, 'Detalle individual'!$C$5:$C$295, A18), ""), "")</f>
        <v>88.75</v>
      </c>
      <c r="I18" s="6">
        <f>IF(D18&gt;0, IFERROR(_xlfn.MAXIFS('Detalle individual'!$J$5:$J$295, 'Detalle individual'!$C$5:$C$295, A18), ""), "")</f>
        <v>100</v>
      </c>
      <c r="J18" s="6">
        <f>IF(D18&gt;0, IFERROR(_xlfn.MINIFS('Detalle individual'!$J$5:$J$295, 'Detalle individual'!$C$5:$C$295, A18), ""), "")</f>
        <v>80</v>
      </c>
      <c r="K18" s="23">
        <f>IF(D18&gt;0, IFERROR(_xlfn.MINIFS('Detalle individual'!$G$5:$G$295, 'Detalle individual'!$C$5:$C$295, A18), ""), "")</f>
        <v>46297.7059375</v>
      </c>
      <c r="L18" s="23">
        <f>IF(D18&gt;0, IFERROR(_xlfn.MAXIFS('Detalle individual'!$H$5:$H$295, 'Detalle individual'!$C$5:$C$295, A18), ""), "")</f>
        <v>46304.7809837963</v>
      </c>
      <c r="M18" s="7">
        <f>IF(D18&gt;0, IFERROR(_xlfn.MINIFS('Detalle individual'!$I$5:$I$295, 'Detalle individual'!$C$5:$C$295, A18), ""), "")</f>
        <v>4.4</v>
      </c>
      <c r="N18" s="7">
        <f>IF(D18&gt;0, IFERROR(AVERAGEIFS('Detalle individual'!$I$5:$I$295, 'Detalle individual'!$C$5:$C$295, A18), ""), "")</f>
        <v>9.1</v>
      </c>
    </row>
    <row r="19">
      <c r="A19" s="5" t="inlineStr">
        <is>
          <t>DEPARTAMENTO DE ANALISIS Y PROGRAMACIÓN</t>
        </is>
      </c>
      <c r="B19" s="5" t="inlineStr">
        <is>
          <t>Gerencia de Sistemas</t>
        </is>
      </c>
      <c r="C19" s="8">
        <f>COUNTIF('Detalle individual'!$C$5:$C$295, A19)</f>
        <v>11</v>
      </c>
      <c r="D19" s="8">
        <f>COUNTIFS('Detalle individual'!$C$5:$C$295, A19, 'Detalle individual'!$F$5:$F$295, "Completado")</f>
        <v>8</v>
      </c>
      <c r="E19" s="8">
        <f>C19-D19</f>
        <v>3</v>
      </c>
      <c r="F19" s="9">
        <f>IF(C19&gt;0, D19/C19, 0)</f>
        <v>0.727272727272727</v>
      </c>
      <c r="G19" s="4" t="str">
        <f>IF(AND(C19&gt;0, D19=C19), "Completo", "Pendiente")</f>
        <v>Pendiente</v>
      </c>
      <c r="H19" s="7">
        <f>IF(D19&gt;0, IFERROR(AVERAGEIFS('Detalle individual'!$J$5:$J$295, 'Detalle individual'!$C$5:$C$295, A19), ""), "")</f>
        <v>100</v>
      </c>
      <c r="I19" s="6">
        <f>IF(D19&gt;0, IFERROR(_xlfn.MAXIFS('Detalle individual'!$J$5:$J$295, 'Detalle individual'!$C$5:$C$295, A19), ""), "")</f>
        <v>100</v>
      </c>
      <c r="J19" s="6">
        <f>IF(D19&gt;0, IFERROR(_xlfn.MINIFS('Detalle individual'!$J$5:$J$295, 'Detalle individual'!$C$5:$C$295, A19), ""), "")</f>
        <v>100</v>
      </c>
      <c r="K19" s="23">
        <f>IF(D19&gt;0, IFERROR(_xlfn.MINIFS('Detalle individual'!$G$5:$G$295, 'Detalle individual'!$C$5:$C$295, A19), ""), "")</f>
        <v>46296.56962962963</v>
      </c>
      <c r="L19" s="23">
        <f>IF(D19&gt;0, IFERROR(_xlfn.MAXIFS('Detalle individual'!$H$5:$H$295, 'Detalle individual'!$C$5:$C$295, A19), ""), "")</f>
        <v>46304.40027777778</v>
      </c>
      <c r="M19" s="7">
        <f>IF(D19&gt;0, IFERROR(_xlfn.MINIFS('Detalle individual'!$I$5:$I$295, 'Detalle individual'!$C$5:$C$295, A19), ""), "")</f>
        <v>4.48333333333333</v>
      </c>
      <c r="N19" s="7">
        <f>IF(D19&gt;0, IFERROR(AVERAGEIFS('Detalle individual'!$I$5:$I$295, 'Detalle individual'!$C$5:$C$295, A19), ""), "")</f>
        <v>15.9354166666667</v>
      </c>
    </row>
    <row r="20">
      <c r="A20" s="5" t="inlineStr">
        <is>
          <t>DEPARTAMENTO DE ATENCION A ASOCIADO Y CLIENTE</t>
        </is>
      </c>
      <c r="B20" s="5" t="inlineStr">
        <is>
          <t>Gerencia de Negocios</t>
        </is>
      </c>
      <c r="C20" s="8">
        <f>COUNTIF('Detalle individual'!$C$5:$C$295, A20)</f>
        <v>6</v>
      </c>
      <c r="D20" s="8">
        <f>COUNTIFS('Detalle individual'!$C$5:$C$295, A20, 'Detalle individual'!$F$5:$F$295, "Completado")</f>
        <v>2</v>
      </c>
      <c r="E20" s="8">
        <f>C20-D20</f>
        <v>4</v>
      </c>
      <c r="F20" s="9">
        <f>IF(C20&gt;0, D20/C20, 0)</f>
        <v>0.333333333333333</v>
      </c>
      <c r="G20" s="4" t="str">
        <f>IF(AND(C20&gt;0, D20=C20), "Completo", "Pendiente")</f>
        <v>Pendiente</v>
      </c>
      <c r="H20" s="7">
        <f>IF(D20&gt;0, IFERROR(AVERAGEIFS('Detalle individual'!$J$5:$J$295, 'Detalle individual'!$C$5:$C$295, A20), ""), "")</f>
        <v>100</v>
      </c>
      <c r="I20" s="6">
        <f>IF(D20&gt;0, IFERROR(_xlfn.MAXIFS('Detalle individual'!$J$5:$J$295, 'Detalle individual'!$C$5:$C$295, A20), ""), "")</f>
        <v>100</v>
      </c>
      <c r="J20" s="6">
        <f>IF(D20&gt;0, IFERROR(_xlfn.MINIFS('Detalle individual'!$J$5:$J$295, 'Detalle individual'!$C$5:$C$295, A20), ""), "")</f>
        <v>100</v>
      </c>
      <c r="K20" s="23">
        <f>IF(D20&gt;0, IFERROR(_xlfn.MINIFS('Detalle individual'!$G$5:$G$295, 'Detalle individual'!$C$5:$C$295, A20), ""), "")</f>
        <v>46301.48449074074</v>
      </c>
      <c r="L20" s="23">
        <f>IF(D20&gt;0, IFERROR(_xlfn.MAXIFS('Detalle individual'!$H$5:$H$295, 'Detalle individual'!$C$5:$C$295, A20), ""), "")</f>
        <v>46304.37650462963</v>
      </c>
      <c r="M20" s="7">
        <f>IF(D20&gt;0, IFERROR(_xlfn.MINIFS('Detalle individual'!$I$5:$I$295, 'Detalle individual'!$C$5:$C$295, A20), ""), "")</f>
        <v>4.91666666666667</v>
      </c>
      <c r="N20" s="7">
        <f>IF(D20&gt;0, IFERROR(AVERAGEIFS('Detalle individual'!$I$5:$I$295, 'Detalle individual'!$C$5:$C$295, A20), ""), "")</f>
        <v>5.90833333333333</v>
      </c>
    </row>
    <row r="21">
      <c r="A21" s="5" t="inlineStr">
        <is>
          <t>DEPARTAMENTO DE AUDITORIA INTERNA</t>
        </is>
      </c>
      <c r="B21" s="5" t="inlineStr">
        <is>
          <t>Auditoría Interna</t>
        </is>
      </c>
      <c r="C21" s="8">
        <f>COUNTIF('Detalle individual'!$C$5:$C$295, A21)</f>
        <v>7</v>
      </c>
      <c r="D21" s="8">
        <f>COUNTIFS('Detalle individual'!$C$5:$C$295, A21, 'Detalle individual'!$F$5:$F$295, "Completado")</f>
        <v>5</v>
      </c>
      <c r="E21" s="8">
        <f>C21-D21</f>
        <v>2</v>
      </c>
      <c r="F21" s="9">
        <f>IF(C21&gt;0, D21/C21, 0)</f>
        <v>0.714285714285714</v>
      </c>
      <c r="G21" s="4" t="str">
        <f>IF(AND(C21&gt;0, D21=C21), "Completo", "Pendiente")</f>
        <v>Pendiente</v>
      </c>
      <c r="H21" s="7">
        <f>IF(D21&gt;0, IFERROR(AVERAGEIFS('Detalle individual'!$J$5:$J$295, 'Detalle individual'!$C$5:$C$295, A21), ""), "")</f>
        <v>96</v>
      </c>
      <c r="I21" s="6">
        <f>IF(D21&gt;0, IFERROR(_xlfn.MAXIFS('Detalle individual'!$J$5:$J$295, 'Detalle individual'!$C$5:$C$295, A21), ""), "")</f>
        <v>100</v>
      </c>
      <c r="J21" s="6">
        <f>IF(D21&gt;0, IFERROR(_xlfn.MINIFS('Detalle individual'!$J$5:$J$295, 'Detalle individual'!$C$5:$C$295, A21), ""), "")</f>
        <v>90</v>
      </c>
      <c r="K21" s="23">
        <f>IF(D21&gt;0, IFERROR(_xlfn.MINIFS('Detalle individual'!$G$5:$G$295, 'Detalle individual'!$C$5:$C$295, A21), ""), "")</f>
        <v>46296.61756944445</v>
      </c>
      <c r="L21" s="23">
        <f>IF(D21&gt;0, IFERROR(_xlfn.MAXIFS('Detalle individual'!$H$5:$H$295, 'Detalle individual'!$C$5:$C$295, A21), ""), "")</f>
        <v>46304.404328703706</v>
      </c>
      <c r="M21" s="7">
        <f>IF(D21&gt;0, IFERROR(_xlfn.MINIFS('Detalle individual'!$I$5:$I$295, 'Detalle individual'!$C$5:$C$295, A21), ""), "")</f>
        <v>3.8</v>
      </c>
      <c r="N21" s="7">
        <f>IF(D21&gt;0, IFERROR(AVERAGEIFS('Detalle individual'!$I$5:$I$295, 'Detalle individual'!$C$5:$C$295, A21), ""), "")</f>
        <v>6.83999999505</v>
      </c>
    </row>
    <row r="22">
      <c r="A22" s="5" t="inlineStr">
        <is>
          <t>DEPARTAMENTO DE CONTABILIDAD</t>
        </is>
      </c>
      <c r="B22" s="5" t="inlineStr">
        <is>
          <t>Gerencia de Finanzas y Planificación</t>
        </is>
      </c>
      <c r="C22" s="8">
        <f>COUNTIF('Detalle individual'!$C$5:$C$295, A22)</f>
        <v>13</v>
      </c>
      <c r="D22" s="8">
        <f>COUNTIFS('Detalle individual'!$C$5:$C$295, A22, 'Detalle individual'!$F$5:$F$295, "Completado")</f>
        <v>7</v>
      </c>
      <c r="E22" s="8">
        <f>C22-D22</f>
        <v>6</v>
      </c>
      <c r="F22" s="9">
        <f>IF(C22&gt;0, D22/C22, 0)</f>
        <v>0.538461538461538</v>
      </c>
      <c r="G22" s="4" t="str">
        <f>IF(AND(C22&gt;0, D22=C22), "Completo", "Pendiente")</f>
        <v>Pendiente</v>
      </c>
      <c r="H22" s="7">
        <f>IF(D22&gt;0, IFERROR(AVERAGEIFS('Detalle individual'!$J$5:$J$295, 'Detalle individual'!$C$5:$C$295, A22), ""), "")</f>
        <v>98.5714285714286</v>
      </c>
      <c r="I22" s="6">
        <f>IF(D22&gt;0, IFERROR(_xlfn.MAXIFS('Detalle individual'!$J$5:$J$295, 'Detalle individual'!$C$5:$C$295, A22), ""), "")</f>
        <v>100</v>
      </c>
      <c r="J22" s="6">
        <f>IF(D22&gt;0, IFERROR(_xlfn.MINIFS('Detalle individual'!$J$5:$J$295, 'Detalle individual'!$C$5:$C$295, A22), ""), "")</f>
        <v>90</v>
      </c>
      <c r="K22" s="23">
        <f>IF(D22&gt;0, IFERROR(_xlfn.MINIFS('Detalle individual'!$G$5:$G$295, 'Detalle individual'!$C$5:$C$295, A22), ""), "")</f>
        <v>46296.61537037037</v>
      </c>
      <c r="L22" s="23">
        <f>IF(D22&gt;0, IFERROR(_xlfn.MAXIFS('Detalle individual'!$H$5:$H$295, 'Detalle individual'!$C$5:$C$295, A22), ""), "")</f>
        <v>46304.4002662037</v>
      </c>
      <c r="M22" s="7">
        <f>IF(D22&gt;0, IFERROR(_xlfn.MINIFS('Detalle individual'!$I$5:$I$295, 'Detalle individual'!$C$5:$C$295, A22), ""), "")</f>
        <v>2.88333333333333</v>
      </c>
      <c r="N22" s="7">
        <f>IF(D22&gt;0, IFERROR(AVERAGEIFS('Detalle individual'!$I$5:$I$295, 'Detalle individual'!$C$5:$C$295, A22), ""), "")</f>
        <v>8.69761904761905</v>
      </c>
    </row>
    <row r="23">
      <c r="A23" s="5" t="inlineStr">
        <is>
          <t xml:space="preserve">DEPARTAMENTO DE CREDITOS </t>
        </is>
      </c>
      <c r="B23" s="5" t="inlineStr">
        <is>
          <t>Gerencia de Negocios</t>
        </is>
      </c>
      <c r="C23" s="8">
        <f>COUNTIF('Detalle individual'!$C$5:$C$295, A23)</f>
        <v>13</v>
      </c>
      <c r="D23" s="8">
        <f>COUNTIFS('Detalle individual'!$C$5:$C$295, A23, 'Detalle individual'!$F$5:$F$295, "Completado")</f>
        <v>7</v>
      </c>
      <c r="E23" s="8">
        <f>C23-D23</f>
        <v>6</v>
      </c>
      <c r="F23" s="9">
        <f>IF(C23&gt;0, D23/C23, 0)</f>
        <v>0.538461538461538</v>
      </c>
      <c r="G23" s="4" t="str">
        <f>IF(AND(C23&gt;0, D23=C23), "Completo", "Pendiente")</f>
        <v>Pendiente</v>
      </c>
      <c r="H23" s="7">
        <f>IF(D23&gt;0, IFERROR(AVERAGEIFS('Detalle individual'!$J$5:$J$295, 'Detalle individual'!$C$5:$C$295, A23), ""), "")</f>
        <v>97.1428571428571</v>
      </c>
      <c r="I23" s="6">
        <f>IF(D23&gt;0, IFERROR(_xlfn.MAXIFS('Detalle individual'!$J$5:$J$295, 'Detalle individual'!$C$5:$C$295, A23), ""), "")</f>
        <v>100</v>
      </c>
      <c r="J23" s="6">
        <f>IF(D23&gt;0, IFERROR(_xlfn.MINIFS('Detalle individual'!$J$5:$J$295, 'Detalle individual'!$C$5:$C$295, A23), ""), "")</f>
        <v>90</v>
      </c>
      <c r="K23" s="23">
        <f>IF(D23&gt;0, IFERROR(_xlfn.MINIFS('Detalle individual'!$G$5:$G$295, 'Detalle individual'!$C$5:$C$295, A23), ""), "")</f>
        <v>46297.64716435185</v>
      </c>
      <c r="L23" s="23">
        <f>IF(D23&gt;0, IFERROR(_xlfn.MAXIFS('Detalle individual'!$H$5:$H$295, 'Detalle individual'!$C$5:$C$295, A23), ""), "")</f>
        <v>46304.444606481484</v>
      </c>
      <c r="M23" s="7">
        <f>IF(D23&gt;0, IFERROR(_xlfn.MINIFS('Detalle individual'!$I$5:$I$295, 'Detalle individual'!$C$5:$C$295, A23), ""), "")</f>
        <v>5.11666666666667</v>
      </c>
      <c r="N23" s="7">
        <f>IF(D23&gt;0, IFERROR(AVERAGEIFS('Detalle individual'!$I$5:$I$295, 'Detalle individual'!$C$5:$C$295, A23), ""), "")</f>
        <v>11.4761904761905</v>
      </c>
    </row>
    <row r="24">
      <c r="A24" s="5" t="inlineStr">
        <is>
          <t>DEPARTAMENTO DE CUSTODIA DE GARANTÍA Y VALORES</t>
        </is>
      </c>
      <c r="B24" s="5" t="inlineStr">
        <is>
          <t>Gerencia Administrativa</t>
        </is>
      </c>
      <c r="C24" s="8">
        <f>COUNTIF('Detalle individual'!$C$5:$C$295, A24)</f>
        <v>6</v>
      </c>
      <c r="D24" s="8">
        <f>COUNTIFS('Detalle individual'!$C$5:$C$295, A24, 'Detalle individual'!$F$5:$F$295, "Completado")</f>
        <v>6</v>
      </c>
      <c r="E24" s="8">
        <f>C24-D24</f>
        <v>0</v>
      </c>
      <c r="F24" s="9">
        <f>IF(C24&gt;0, D24/C24, 0)</f>
        <v>1</v>
      </c>
      <c r="G24" s="4" t="str">
        <f>IF(AND(C24&gt;0, D24=C24), "Completo", "Pendiente")</f>
        <v>Completo</v>
      </c>
      <c r="H24" s="7">
        <f>IF(D24&gt;0, IFERROR(AVERAGEIFS('Detalle individual'!$J$5:$J$295, 'Detalle individual'!$C$5:$C$295, A24), ""), "")</f>
        <v>100</v>
      </c>
      <c r="I24" s="6">
        <f>IF(D24&gt;0, IFERROR(_xlfn.MAXIFS('Detalle individual'!$J$5:$J$295, 'Detalle individual'!$C$5:$C$295, A24), ""), "")</f>
        <v>100</v>
      </c>
      <c r="J24" s="6">
        <f>IF(D24&gt;0, IFERROR(_xlfn.MINIFS('Detalle individual'!$J$5:$J$295, 'Detalle individual'!$C$5:$C$295, A24), ""), "")</f>
        <v>100</v>
      </c>
      <c r="K24" s="23">
        <f>IF(D24&gt;0, IFERROR(_xlfn.MINIFS('Detalle individual'!$G$5:$G$295, 'Detalle individual'!$C$5:$C$295, A24), ""), "")</f>
        <v>46298.500914351855</v>
      </c>
      <c r="L24" s="23">
        <f>IF(D24&gt;0, IFERROR(_xlfn.MAXIFS('Detalle individual'!$H$5:$H$295, 'Detalle individual'!$C$5:$C$295, A24), ""), "")</f>
        <v>46304.70379629629</v>
      </c>
      <c r="M24" s="7">
        <f>IF(D24&gt;0, IFERROR(_xlfn.MINIFS('Detalle individual'!$I$5:$I$295, 'Detalle individual'!$C$5:$C$295, A24), ""), "")</f>
        <v>2.11666666666667</v>
      </c>
      <c r="N24" s="7">
        <f>IF(D24&gt;0, IFERROR(AVERAGEIFS('Detalle individual'!$I$5:$I$295, 'Detalle individual'!$C$5:$C$295, A24), ""), "")</f>
        <v>9.34444444444445</v>
      </c>
    </row>
    <row r="25">
      <c r="A25" s="5" t="inlineStr">
        <is>
          <t>DEPARTAMENTO DE DEPOSITOS</t>
        </is>
      </c>
      <c r="B25" s="5" t="inlineStr">
        <is>
          <t>Gerencia de Operaciones</t>
        </is>
      </c>
      <c r="C25" s="8">
        <f>COUNTIF('Detalle individual'!$C$5:$C$295, A25)</f>
        <v>4</v>
      </c>
      <c r="D25" s="8">
        <f>COUNTIFS('Detalle individual'!$C$5:$C$295, A25, 'Detalle individual'!$F$5:$F$295, "Completado")</f>
        <v>3</v>
      </c>
      <c r="E25" s="8">
        <f>C25-D25</f>
        <v>1</v>
      </c>
      <c r="F25" s="9">
        <f>IF(C25&gt;0, D25/C25, 0)</f>
        <v>0.75</v>
      </c>
      <c r="G25" s="4" t="str">
        <f>IF(AND(C25&gt;0, D25=C25), "Completo", "Pendiente")</f>
        <v>Pendiente</v>
      </c>
      <c r="H25" s="7">
        <f>IF(D25&gt;0, IFERROR(AVERAGEIFS('Detalle individual'!$J$5:$J$295, 'Detalle individual'!$C$5:$C$295, A25), ""), "")</f>
        <v>98.3333333333333</v>
      </c>
      <c r="I25" s="6">
        <f>IF(D25&gt;0, IFERROR(_xlfn.MAXIFS('Detalle individual'!$J$5:$J$295, 'Detalle individual'!$C$5:$C$295, A25), ""), "")</f>
        <v>100</v>
      </c>
      <c r="J25" s="6">
        <f>IF(D25&gt;0, IFERROR(_xlfn.MINIFS('Detalle individual'!$J$5:$J$295, 'Detalle individual'!$C$5:$C$295, A25), ""), "")</f>
        <v>95</v>
      </c>
      <c r="K25" s="23">
        <f>IF(D25&gt;0, IFERROR(_xlfn.MINIFS('Detalle individual'!$G$5:$G$295, 'Detalle individual'!$C$5:$C$295, A25), ""), "")</f>
        <v>46296.56951388889</v>
      </c>
      <c r="L25" s="23">
        <f>IF(D25&gt;0, IFERROR(_xlfn.MAXIFS('Detalle individual'!$H$5:$H$295, 'Detalle individual'!$C$5:$C$295, A25), ""), "")</f>
        <v>46304.692928240744</v>
      </c>
      <c r="M25" s="7">
        <f>IF(D25&gt;0, IFERROR(_xlfn.MINIFS('Detalle individual'!$I$5:$I$295, 'Detalle individual'!$C$5:$C$295, A25), ""), "")</f>
        <v>3.35</v>
      </c>
      <c r="N25" s="7">
        <f>IF(D25&gt;0, IFERROR(AVERAGEIFS('Detalle individual'!$I$5:$I$295, 'Detalle individual'!$C$5:$C$295, A25), ""), "")</f>
        <v>8.38888888888889</v>
      </c>
    </row>
    <row r="26">
      <c r="A26" s="5" t="inlineStr">
        <is>
          <t>DEPARTAMENTO DE EDUCACION Y RESPONSABILIDAD SOCIAL</t>
        </is>
      </c>
      <c r="B26" s="5" t="inlineStr">
        <is>
          <t>Gerencia de Negocios</t>
        </is>
      </c>
      <c r="C26" s="8">
        <f>COUNTIF('Detalle individual'!$C$5:$C$295, A26)</f>
        <v>3</v>
      </c>
      <c r="D26" s="8">
        <f>COUNTIFS('Detalle individual'!$C$5:$C$295, A26, 'Detalle individual'!$F$5:$F$295, "Completado")</f>
        <v>1</v>
      </c>
      <c r="E26" s="8">
        <f>C26-D26</f>
        <v>2</v>
      </c>
      <c r="F26" s="9">
        <f>IF(C26&gt;0, D26/C26, 0)</f>
        <v>0.333333333333333</v>
      </c>
      <c r="G26" s="4" t="str">
        <f>IF(AND(C26&gt;0, D26=C26), "Completo", "Pendiente")</f>
        <v>Pendiente</v>
      </c>
      <c r="H26" s="7">
        <f>IF(D26&gt;0, IFERROR(AVERAGEIFS('Detalle individual'!$J$5:$J$295, 'Detalle individual'!$C$5:$C$295, A26), ""), "")</f>
        <v>100</v>
      </c>
      <c r="I26" s="6">
        <f>IF(D26&gt;0, IFERROR(_xlfn.MAXIFS('Detalle individual'!$J$5:$J$295, 'Detalle individual'!$C$5:$C$295, A26), ""), "")</f>
        <v>100</v>
      </c>
      <c r="J26" s="6">
        <f>IF(D26&gt;0, IFERROR(_xlfn.MINIFS('Detalle individual'!$J$5:$J$295, 'Detalle individual'!$C$5:$C$295, A26), ""), "")</f>
        <v>100</v>
      </c>
      <c r="K26" s="23">
        <f>IF(D26&gt;0, IFERROR(_xlfn.MINIFS('Detalle individual'!$G$5:$G$295, 'Detalle individual'!$C$5:$C$295, A26), ""), "")</f>
        <v>46301.62170138889</v>
      </c>
      <c r="L26" s="23">
        <f>IF(D26&gt;0, IFERROR(_xlfn.MAXIFS('Detalle individual'!$H$5:$H$295, 'Detalle individual'!$C$5:$C$295, A26), ""), "")</f>
        <v>46301.64635416667</v>
      </c>
      <c r="M26" s="7">
        <f>IF(D26&gt;0, IFERROR(_xlfn.MINIFS('Detalle individual'!$I$5:$I$295, 'Detalle individual'!$C$5:$C$295, A26), ""), "")</f>
        <v>35.5</v>
      </c>
      <c r="N26" s="7">
        <f>IF(D26&gt;0, IFERROR(AVERAGEIFS('Detalle individual'!$I$5:$I$295, 'Detalle individual'!$C$5:$C$295, A26), ""), "")</f>
        <v>35.5</v>
      </c>
    </row>
    <row r="27">
      <c r="A27" s="5" t="inlineStr">
        <is>
          <t xml:space="preserve">DEPARTAMENTO DE MERCADEO </t>
        </is>
      </c>
      <c r="B27" s="5" t="inlineStr">
        <is>
          <t>Gerencia de Negocios</t>
        </is>
      </c>
      <c r="C27" s="8">
        <f>COUNTIF('Detalle individual'!$C$5:$C$295, A27)</f>
        <v>7</v>
      </c>
      <c r="D27" s="8">
        <f>COUNTIFS('Detalle individual'!$C$5:$C$295, A27, 'Detalle individual'!$F$5:$F$295, "Completado")</f>
        <v>1</v>
      </c>
      <c r="E27" s="8">
        <f>C27-D27</f>
        <v>6</v>
      </c>
      <c r="F27" s="9">
        <f>IF(C27&gt;0, D27/C27, 0)</f>
        <v>0.142857142857143</v>
      </c>
      <c r="G27" s="4" t="str">
        <f>IF(AND(C27&gt;0, D27=C27), "Completo", "Pendiente")</f>
        <v>Pendiente</v>
      </c>
      <c r="H27" s="7">
        <f>IF(D27&gt;0, IFERROR(AVERAGEIFS('Detalle individual'!$J$5:$J$295, 'Detalle individual'!$C$5:$C$295, A27), ""), "")</f>
        <v>100</v>
      </c>
      <c r="I27" s="6">
        <f>IF(D27&gt;0, IFERROR(_xlfn.MAXIFS('Detalle individual'!$J$5:$J$295, 'Detalle individual'!$C$5:$C$295, A27), ""), "")</f>
        <v>100</v>
      </c>
      <c r="J27" s="6">
        <f>IF(D27&gt;0, IFERROR(_xlfn.MINIFS('Detalle individual'!$J$5:$J$295, 'Detalle individual'!$C$5:$C$295, A27), ""), "")</f>
        <v>100</v>
      </c>
      <c r="K27" s="23">
        <f>IF(D27&gt;0, IFERROR(_xlfn.MINIFS('Detalle individual'!$G$5:$G$295, 'Detalle individual'!$C$5:$C$295, A27), ""), "")</f>
        <v>46301.61615740741</v>
      </c>
      <c r="L27" s="23">
        <f>IF(D27&gt;0, IFERROR(_xlfn.MAXIFS('Detalle individual'!$H$5:$H$295, 'Detalle individual'!$C$5:$C$295, A27), ""), "")</f>
        <v>46301.64126157408</v>
      </c>
      <c r="M27" s="7">
        <f>IF(D27&gt;0, IFERROR(_xlfn.MINIFS('Detalle individual'!$I$5:$I$295, 'Detalle individual'!$C$5:$C$295, A27), ""), "")</f>
        <v>36.15</v>
      </c>
      <c r="N27" s="7">
        <f>IF(D27&gt;0, IFERROR(AVERAGEIFS('Detalle individual'!$I$5:$I$295, 'Detalle individual'!$C$5:$C$295, A27), ""), "")</f>
        <v>36.15</v>
      </c>
    </row>
    <row r="28">
      <c r="A28" s="5" t="inlineStr">
        <is>
          <t>DEPARTAMENTO DE OPERACIONES Y SOPORTE TECNICO</t>
        </is>
      </c>
      <c r="B28" s="5" t="inlineStr">
        <is>
          <t>Gerencia de Sistemas</t>
        </is>
      </c>
      <c r="C28" s="8">
        <f>COUNTIF('Detalle individual'!$C$5:$C$295, A28)</f>
        <v>7</v>
      </c>
      <c r="D28" s="8">
        <f>COUNTIFS('Detalle individual'!$C$5:$C$295, A28, 'Detalle individual'!$F$5:$F$295, "Completado")</f>
        <v>6</v>
      </c>
      <c r="E28" s="8">
        <f>C28-D28</f>
        <v>1</v>
      </c>
      <c r="F28" s="9">
        <f>IF(C28&gt;0, D28/C28, 0)</f>
        <v>0.857142857142857</v>
      </c>
      <c r="G28" s="4" t="str">
        <f>IF(AND(C28&gt;0, D28=C28), "Completo", "Pendiente")</f>
        <v>Pendiente</v>
      </c>
      <c r="H28" s="7">
        <f>IF(D28&gt;0, IFERROR(AVERAGEIFS('Detalle individual'!$J$5:$J$295, 'Detalle individual'!$C$5:$C$295, A28), ""), "")</f>
        <v>100</v>
      </c>
      <c r="I28" s="6">
        <f>IF(D28&gt;0, IFERROR(_xlfn.MAXIFS('Detalle individual'!$J$5:$J$295, 'Detalle individual'!$C$5:$C$295, A28), ""), "")</f>
        <v>100</v>
      </c>
      <c r="J28" s="6">
        <f>IF(D28&gt;0, IFERROR(_xlfn.MINIFS('Detalle individual'!$J$5:$J$295, 'Detalle individual'!$C$5:$C$295, A28), ""), "")</f>
        <v>100</v>
      </c>
      <c r="K28" s="23">
        <f>IF(D28&gt;0, IFERROR(_xlfn.MINIFS('Detalle individual'!$G$5:$G$295, 'Detalle individual'!$C$5:$C$295, A28), ""), "")</f>
        <v>46300.46083333333</v>
      </c>
      <c r="L28" s="23">
        <f>IF(D28&gt;0, IFERROR(_xlfn.MAXIFS('Detalle individual'!$H$5:$H$295, 'Detalle individual'!$C$5:$C$295, A28), ""), "")</f>
        <v>46302.441828703704</v>
      </c>
      <c r="M28" s="7">
        <f>IF(D28&gt;0, IFERROR(_xlfn.MINIFS('Detalle individual'!$I$5:$I$295, 'Detalle individual'!$C$5:$C$295, A28), ""), "")</f>
        <v>3.16666666666667</v>
      </c>
      <c r="N28" s="7">
        <f>IF(D28&gt;0, IFERROR(AVERAGEIFS('Detalle individual'!$I$5:$I$295, 'Detalle individual'!$C$5:$C$295, A28), ""), "")</f>
        <v>16.5583333333333</v>
      </c>
    </row>
    <row r="29">
      <c r="A29" s="5" t="inlineStr">
        <is>
          <t>DEPARTAMENTO DE PLANIFICACIÓN Y ANALISIS</t>
        </is>
      </c>
      <c r="B29" s="5" t="inlineStr">
        <is>
          <t>Gerencia de Finanzas y Planificación</t>
        </is>
      </c>
      <c r="C29" s="8">
        <f>COUNTIF('Detalle individual'!$C$5:$C$295, A29)</f>
        <v>3</v>
      </c>
      <c r="D29" s="8">
        <f>COUNTIFS('Detalle individual'!$C$5:$C$295, A29, 'Detalle individual'!$F$5:$F$295, "Completado")</f>
        <v>0</v>
      </c>
      <c r="E29" s="8">
        <f>C29-D29</f>
        <v>3</v>
      </c>
      <c r="F29" s="9">
        <f>IF(C29&gt;0, D29/C29, 0)</f>
        <v>0</v>
      </c>
      <c r="G29" s="4" t="str">
        <f>IF(AND(C29&gt;0, D29=C29), "Completo", "Pendiente")</f>
        <v>Pendiente</v>
      </c>
      <c r="H29" s="7" t="str">
        <f>IF(D29&gt;0, IFERROR(AVERAGEIFS('Detalle individual'!$J$5:$J$295, 'Detalle individual'!$C$5:$C$295, A29), ""), "")</f>
        <v/>
      </c>
      <c r="I29" s="6" t="str">
        <f>IF(D29&gt;0, IFERROR(_xlfn.MAXIFS('Detalle individual'!$J$5:$J$295, 'Detalle individual'!$C$5:$C$295, A29), ""), "")</f>
        <v/>
      </c>
      <c r="J29" s="6" t="str">
        <f>IF(D29&gt;0, IFERROR(_xlfn.MINIFS('Detalle individual'!$J$5:$J$295, 'Detalle individual'!$C$5:$C$295, A29), ""), "")</f>
        <v/>
      </c>
      <c r="K29" s="23" t="str">
        <f>IF(D29&gt;0, IFERROR(_xlfn.MINIFS('Detalle individual'!$G$5:$G$295, 'Detalle individual'!$C$5:$C$295, A29), ""), "")</f>
        <v/>
      </c>
      <c r="L29" s="23" t="str">
        <f>IF(D29&gt;0, IFERROR(_xlfn.MAXIFS('Detalle individual'!$H$5:$H$295, 'Detalle individual'!$C$5:$C$295, A29), ""), "")</f>
        <v/>
      </c>
      <c r="M29" s="7" t="str">
        <f>IF(D29&gt;0, IFERROR(_xlfn.MINIFS('Detalle individual'!$I$5:$I$295, 'Detalle individual'!$C$5:$C$295, A29), ""), "")</f>
        <v/>
      </c>
      <c r="N29" s="7" t="str">
        <f>IF(D29&gt;0, IFERROR(AVERAGEIFS('Detalle individual'!$I$5:$I$295, 'Detalle individual'!$C$5:$C$295, A29), ""), "")</f>
        <v/>
      </c>
    </row>
    <row r="30">
      <c r="A30" s="5" t="inlineStr">
        <is>
          <t>DEPARTAMENTO DE PROCESOS</t>
        </is>
      </c>
      <c r="B30" s="5" t="inlineStr">
        <is>
          <t>Gerencia General</t>
        </is>
      </c>
      <c r="C30" s="8">
        <f>COUNTIF('Detalle individual'!$C$5:$C$295, A30)</f>
        <v>3</v>
      </c>
      <c r="D30" s="8">
        <f>COUNTIFS('Detalle individual'!$C$5:$C$295, A30, 'Detalle individual'!$F$5:$F$295, "Completado")</f>
        <v>3</v>
      </c>
      <c r="E30" s="8">
        <f>C30-D30</f>
        <v>0</v>
      </c>
      <c r="F30" s="9">
        <f>IF(C30&gt;0, D30/C30, 0)</f>
        <v>1</v>
      </c>
      <c r="G30" s="4" t="str">
        <f>IF(AND(C30&gt;0, D30=C30), "Completo", "Pendiente")</f>
        <v>Completo</v>
      </c>
      <c r="H30" s="7">
        <f>IF(D30&gt;0, IFERROR(AVERAGEIFS('Detalle individual'!$J$5:$J$295, 'Detalle individual'!$C$5:$C$295, A30), ""), "")</f>
        <v>100</v>
      </c>
      <c r="I30" s="6">
        <f>IF(D30&gt;0, IFERROR(_xlfn.MAXIFS('Detalle individual'!$J$5:$J$295, 'Detalle individual'!$C$5:$C$295, A30), ""), "")</f>
        <v>100</v>
      </c>
      <c r="J30" s="6">
        <f>IF(D30&gt;0, IFERROR(_xlfn.MINIFS('Detalle individual'!$J$5:$J$295, 'Detalle individual'!$C$5:$C$295, A30), ""), "")</f>
        <v>100</v>
      </c>
      <c r="K30" s="23">
        <f>IF(D30&gt;0, IFERROR(_xlfn.MINIFS('Detalle individual'!$G$5:$G$295, 'Detalle individual'!$C$5:$C$295, A30), ""), "")</f>
        <v>46296.436574074076</v>
      </c>
      <c r="L30" s="23">
        <f>IF(D30&gt;0, IFERROR(_xlfn.MAXIFS('Detalle individual'!$H$5:$H$295, 'Detalle individual'!$C$5:$C$295, A30), ""), "")</f>
        <v>46296.44149305556</v>
      </c>
      <c r="M30" s="7">
        <f>IF(D30&gt;0, IFERROR(_xlfn.MINIFS('Detalle individual'!$I$5:$I$295, 'Detalle individual'!$C$5:$C$295, A30), ""), "")</f>
        <v>6.11666666666667</v>
      </c>
      <c r="N30" s="7">
        <f>IF(D30&gt;0, IFERROR(AVERAGEIFS('Detalle individual'!$I$5:$I$295, 'Detalle individual'!$C$5:$C$295, A30), ""), "")</f>
        <v>6.66666666666667</v>
      </c>
    </row>
    <row r="31">
      <c r="A31" s="5" t="inlineStr">
        <is>
          <t>DEPARTAMENTO DE SEGURIDAD</t>
        </is>
      </c>
      <c r="B31" s="5" t="inlineStr">
        <is>
          <t>Gerencia Administrativa</t>
        </is>
      </c>
      <c r="C31" s="8">
        <f>COUNTIF('Detalle individual'!$C$5:$C$295, A31)</f>
        <v>2</v>
      </c>
      <c r="D31" s="8">
        <f>COUNTIFS('Detalle individual'!$C$5:$C$295, A31, 'Detalle individual'!$F$5:$F$295, "Completado")</f>
        <v>2</v>
      </c>
      <c r="E31" s="8">
        <f>C31-D31</f>
        <v>0</v>
      </c>
      <c r="F31" s="9">
        <f>IF(C31&gt;0, D31/C31, 0)</f>
        <v>1</v>
      </c>
      <c r="G31" s="4" t="str">
        <f>IF(AND(C31&gt;0, D31=C31), "Completo", "Pendiente")</f>
        <v>Completo</v>
      </c>
      <c r="H31" s="7">
        <f>IF(D31&gt;0, IFERROR(AVERAGEIFS('Detalle individual'!$J$5:$J$295, 'Detalle individual'!$C$5:$C$295, A31), ""), "")</f>
        <v>95</v>
      </c>
      <c r="I31" s="6">
        <f>IF(D31&gt;0, IFERROR(_xlfn.MAXIFS('Detalle individual'!$J$5:$J$295, 'Detalle individual'!$C$5:$C$295, A31), ""), "")</f>
        <v>100</v>
      </c>
      <c r="J31" s="6">
        <f>IF(D31&gt;0, IFERROR(_xlfn.MINIFS('Detalle individual'!$J$5:$J$295, 'Detalle individual'!$C$5:$C$295, A31), ""), "")</f>
        <v>90</v>
      </c>
      <c r="K31" s="23">
        <f>IF(D31&gt;0, IFERROR(_xlfn.MINIFS('Detalle individual'!$G$5:$G$295, 'Detalle individual'!$C$5:$C$295, A31), ""), "")</f>
        <v>46296.454039351855</v>
      </c>
      <c r="L31" s="23">
        <f>IF(D31&gt;0, IFERROR(_xlfn.MAXIFS('Detalle individual'!$H$5:$H$295, 'Detalle individual'!$C$5:$C$295, A31), ""), "")</f>
        <v>46296.46072916667</v>
      </c>
      <c r="M31" s="7">
        <f>IF(D31&gt;0, IFERROR(_xlfn.MINIFS('Detalle individual'!$I$5:$I$295, 'Detalle individual'!$C$5:$C$295, A31), ""), "")</f>
        <v>3.3</v>
      </c>
      <c r="N31" s="7">
        <f>IF(D31&gt;0, IFERROR(AVERAGEIFS('Detalle individual'!$I$5:$I$295, 'Detalle individual'!$C$5:$C$295, A31), ""), "")</f>
        <v>4.1</v>
      </c>
    </row>
    <row r="32">
      <c r="A32" s="5" t="inlineStr">
        <is>
          <t xml:space="preserve">DEPARTAMENTO DE SEGUROS </t>
        </is>
      </c>
      <c r="B32" s="5" t="inlineStr">
        <is>
          <t>Gerencia de Negocios</t>
        </is>
      </c>
      <c r="C32" s="8">
        <f>COUNTIF('Detalle individual'!$C$5:$C$295, A32)</f>
        <v>11</v>
      </c>
      <c r="D32" s="8">
        <f>COUNTIFS('Detalle individual'!$C$5:$C$295, A32, 'Detalle individual'!$F$5:$F$295, "Completado")</f>
        <v>5</v>
      </c>
      <c r="E32" s="8">
        <f>C32-D32</f>
        <v>6</v>
      </c>
      <c r="F32" s="9">
        <f>IF(C32&gt;0, D32/C32, 0)</f>
        <v>0.454545454545455</v>
      </c>
      <c r="G32" s="4" t="str">
        <f>IF(AND(C32&gt;0, D32=C32), "Completo", "Pendiente")</f>
        <v>Pendiente</v>
      </c>
      <c r="H32" s="7">
        <f>IF(D32&gt;0, IFERROR(AVERAGEIFS('Detalle individual'!$J$5:$J$295, 'Detalle individual'!$C$5:$C$295, A32), ""), "")</f>
        <v>96</v>
      </c>
      <c r="I32" s="6">
        <f>IF(D32&gt;0, IFERROR(_xlfn.MAXIFS('Detalle individual'!$J$5:$J$295, 'Detalle individual'!$C$5:$C$295, A32), ""), "")</f>
        <v>100</v>
      </c>
      <c r="J32" s="6">
        <f>IF(D32&gt;0, IFERROR(_xlfn.MINIFS('Detalle individual'!$J$5:$J$295, 'Detalle individual'!$C$5:$C$295, A32), ""), "")</f>
        <v>90</v>
      </c>
      <c r="K32" s="23">
        <f>IF(D32&gt;0, IFERROR(_xlfn.MINIFS('Detalle individual'!$G$5:$G$295, 'Detalle individual'!$C$5:$C$295, A32), ""), "")</f>
        <v>46296.426412037035</v>
      </c>
      <c r="L32" s="23">
        <f>IF(D32&gt;0, IFERROR(_xlfn.MAXIFS('Detalle individual'!$H$5:$H$295, 'Detalle individual'!$C$5:$C$295, A32), ""), "")</f>
        <v>46301.68011574074</v>
      </c>
      <c r="M32" s="7">
        <f>IF(D32&gt;0, IFERROR(_xlfn.MINIFS('Detalle individual'!$I$5:$I$295, 'Detalle individual'!$C$5:$C$295, A32), ""), "")</f>
        <v>7.86666666666667</v>
      </c>
      <c r="N32" s="7">
        <f>IF(D32&gt;0, IFERROR(AVERAGEIFS('Detalle individual'!$I$5:$I$295, 'Detalle individual'!$C$5:$C$295, A32), ""), "")</f>
        <v>18.2866666666667</v>
      </c>
    </row>
    <row r="33">
      <c r="A33" s="5" t="inlineStr">
        <is>
          <t>DEPARTAMENTO DE SERVICIOS GENERALES</t>
        </is>
      </c>
      <c r="B33" s="5" t="inlineStr">
        <is>
          <t>Gerencia Administrativa</t>
        </is>
      </c>
      <c r="C33" s="8">
        <f>COUNTIF('Detalle individual'!$C$5:$C$295, A33)</f>
        <v>17</v>
      </c>
      <c r="D33" s="8">
        <f>COUNTIFS('Detalle individual'!$C$5:$C$295, A33, 'Detalle individual'!$F$5:$F$295, "Completado")</f>
        <v>16</v>
      </c>
      <c r="E33" s="8">
        <f>C33-D33</f>
        <v>1</v>
      </c>
      <c r="F33" s="9">
        <f>IF(C33&gt;0, D33/C33, 0)</f>
        <v>0.941176470588235</v>
      </c>
      <c r="G33" s="4" t="str">
        <f>IF(AND(C33&gt;0, D33=C33), "Completo", "Pendiente")</f>
        <v>Pendiente</v>
      </c>
      <c r="H33" s="7">
        <f>IF(D33&gt;0, IFERROR(AVERAGEIFS('Detalle individual'!$J$5:$J$295, 'Detalle individual'!$C$5:$C$295, A33), ""), "")</f>
        <v>85.625</v>
      </c>
      <c r="I33" s="6">
        <f>IF(D33&gt;0, IFERROR(_xlfn.MAXIFS('Detalle individual'!$J$5:$J$295, 'Detalle individual'!$C$5:$C$295, A33), ""), "")</f>
        <v>100</v>
      </c>
      <c r="J33" s="6">
        <f>IF(D33&gt;0, IFERROR(_xlfn.MINIFS('Detalle individual'!$J$5:$J$295, 'Detalle individual'!$C$5:$C$295, A33), ""), "")</f>
        <v>40</v>
      </c>
      <c r="K33" s="23">
        <f>IF(D33&gt;0, IFERROR(_xlfn.MINIFS('Detalle individual'!$G$5:$G$295, 'Detalle individual'!$C$5:$C$295, A33), ""), "")</f>
        <v>46297.771944444445</v>
      </c>
      <c r="L33" s="23">
        <f>IF(D33&gt;0, IFERROR(_xlfn.MAXIFS('Detalle individual'!$H$5:$H$295, 'Detalle individual'!$C$5:$C$295, A33), ""), "")</f>
        <v>46304.520787037036</v>
      </c>
      <c r="M33" s="7">
        <f>IF(D33&gt;0, IFERROR(_xlfn.MINIFS('Detalle individual'!$I$5:$I$295, 'Detalle individual'!$C$5:$C$295, A33), ""), "")</f>
        <v>2.38333333333333</v>
      </c>
      <c r="N33" s="7">
        <f>IF(D33&gt;0, IFERROR(AVERAGEIFS('Detalle individual'!$I$5:$I$295, 'Detalle individual'!$C$5:$C$295, A33), ""), "")</f>
        <v>12.6072916666667</v>
      </c>
    </row>
    <row r="34">
      <c r="A34" s="5" t="inlineStr">
        <is>
          <t>DEPARTAMENTO DE SOLUCIONES FINANCIERAS</t>
        </is>
      </c>
      <c r="B34" s="5" t="inlineStr">
        <is>
          <t>Gerencia de Negocios</t>
        </is>
      </c>
      <c r="C34" s="8">
        <f>COUNTIF('Detalle individual'!$C$5:$C$295, A34)</f>
        <v>10</v>
      </c>
      <c r="D34" s="8">
        <f>COUNTIFS('Detalle individual'!$C$5:$C$295, A34, 'Detalle individual'!$F$5:$F$295, "Completado")</f>
        <v>2</v>
      </c>
      <c r="E34" s="8">
        <f>C34-D34</f>
        <v>8</v>
      </c>
      <c r="F34" s="9">
        <f>IF(C34&gt;0, D34/C34, 0)</f>
        <v>0.2</v>
      </c>
      <c r="G34" s="4" t="str">
        <f>IF(AND(C34&gt;0, D34=C34), "Completo", "Pendiente")</f>
        <v>Pendiente</v>
      </c>
      <c r="H34" s="7">
        <f>IF(D34&gt;0, IFERROR(AVERAGEIFS('Detalle individual'!$J$5:$J$295, 'Detalle individual'!$C$5:$C$295, A34), ""), "")</f>
        <v>90</v>
      </c>
      <c r="I34" s="6">
        <f>IF(D34&gt;0, IFERROR(_xlfn.MAXIFS('Detalle individual'!$J$5:$J$295, 'Detalle individual'!$C$5:$C$295, A34), ""), "")</f>
        <v>100</v>
      </c>
      <c r="J34" s="6">
        <f>IF(D34&gt;0, IFERROR(_xlfn.MINIFS('Detalle individual'!$J$5:$J$295, 'Detalle individual'!$C$5:$C$295, A34), ""), "")</f>
        <v>80</v>
      </c>
      <c r="K34" s="23">
        <f>IF(D34&gt;0, IFERROR(_xlfn.MINIFS('Detalle individual'!$G$5:$G$295, 'Detalle individual'!$C$5:$C$295, A34), ""), "")</f>
        <v>46304.373240740744</v>
      </c>
      <c r="L34" s="23">
        <f>IF(D34&gt;0, IFERROR(_xlfn.MAXIFS('Detalle individual'!$H$5:$H$295, 'Detalle individual'!$C$5:$C$295, A34), ""), "")</f>
        <v>46304.38547453703</v>
      </c>
      <c r="M34" s="7">
        <f>IF(D34&gt;0, IFERROR(_xlfn.MINIFS('Detalle individual'!$I$5:$I$295, 'Detalle individual'!$C$5:$C$295, A34), ""), "")</f>
        <v>3.03333333333333</v>
      </c>
      <c r="N34" s="7">
        <f>IF(D34&gt;0, IFERROR(AVERAGEIFS('Detalle individual'!$I$5:$I$295, 'Detalle individual'!$C$5:$C$295, A34), ""), "")</f>
        <v>5.2</v>
      </c>
    </row>
    <row r="35">
      <c r="A35" s="5" t="inlineStr">
        <is>
          <t>DEPARTAMENTO DE TALENTO HUMANO</t>
        </is>
      </c>
      <c r="B35" s="5" t="inlineStr">
        <is>
          <t>Gerencia Administrativa</t>
        </is>
      </c>
      <c r="C35" s="8">
        <f>COUNTIF('Detalle individual'!$C$5:$C$295, A35)</f>
        <v>3</v>
      </c>
      <c r="D35" s="8">
        <f>COUNTIFS('Detalle individual'!$C$5:$C$295, A35, 'Detalle individual'!$F$5:$F$295, "Completado")</f>
        <v>2</v>
      </c>
      <c r="E35" s="8">
        <f>C35-D35</f>
        <v>1</v>
      </c>
      <c r="F35" s="9">
        <f>IF(C35&gt;0, D35/C35, 0)</f>
        <v>0.666666666666667</v>
      </c>
      <c r="G35" s="4" t="str">
        <f>IF(AND(C35&gt;0, D35=C35), "Completo", "Pendiente")</f>
        <v>Pendiente</v>
      </c>
      <c r="H35" s="7">
        <f>IF(D35&gt;0, IFERROR(AVERAGEIFS('Detalle individual'!$J$5:$J$295, 'Detalle individual'!$C$5:$C$295, A35), ""), "")</f>
        <v>95</v>
      </c>
      <c r="I35" s="6">
        <f>IF(D35&gt;0, IFERROR(_xlfn.MAXIFS('Detalle individual'!$J$5:$J$295, 'Detalle individual'!$C$5:$C$295, A35), ""), "")</f>
        <v>100</v>
      </c>
      <c r="J35" s="6">
        <f>IF(D35&gt;0, IFERROR(_xlfn.MINIFS('Detalle individual'!$J$5:$J$295, 'Detalle individual'!$C$5:$C$295, A35), ""), "")</f>
        <v>90</v>
      </c>
      <c r="K35" s="23">
        <f>IF(D35&gt;0, IFERROR(_xlfn.MINIFS('Detalle individual'!$G$5:$G$295, 'Detalle individual'!$C$5:$C$295, A35), ""), "")</f>
        <v>46304.40207175926</v>
      </c>
      <c r="L35" s="23">
        <f>IF(D35&gt;0, IFERROR(_xlfn.MAXIFS('Detalle individual'!$H$5:$H$295, 'Detalle individual'!$C$5:$C$295, A35), ""), "")</f>
        <v>46304.52142361111</v>
      </c>
      <c r="M35" s="7">
        <f>IF(D35&gt;0, IFERROR(_xlfn.MINIFS('Detalle individual'!$I$5:$I$295, 'Detalle individual'!$C$5:$C$295, A35), ""), "")</f>
        <v>5.66666666666667</v>
      </c>
      <c r="N35" s="7">
        <f>IF(D35&gt;0, IFERROR(AVERAGEIFS('Detalle individual'!$I$5:$I$295, 'Detalle individual'!$C$5:$C$295, A35), ""), "")</f>
        <v>10.725</v>
      </c>
    </row>
    <row r="36">
      <c r="A36" s="5" t="inlineStr">
        <is>
          <t>DEPARTAMENTO DE TARJETA DE CREDITO Y DEBITO</t>
        </is>
      </c>
      <c r="B36" s="5" t="inlineStr">
        <is>
          <t>Gerencia de Operaciones</t>
        </is>
      </c>
      <c r="C36" s="8">
        <f>COUNTIF('Detalle individual'!$C$5:$C$295, A36)</f>
        <v>6</v>
      </c>
      <c r="D36" s="8">
        <f>COUNTIFS('Detalle individual'!$C$5:$C$295, A36, 'Detalle individual'!$F$5:$F$295, "Completado")</f>
        <v>3</v>
      </c>
      <c r="E36" s="8">
        <f>C36-D36</f>
        <v>3</v>
      </c>
      <c r="F36" s="9">
        <f>IF(C36&gt;0, D36/C36, 0)</f>
        <v>0.5</v>
      </c>
      <c r="G36" s="4" t="str">
        <f>IF(AND(C36&gt;0, D36=C36), "Completo", "Pendiente")</f>
        <v>Pendiente</v>
      </c>
      <c r="H36" s="7">
        <f>IF(D36&gt;0, IFERROR(AVERAGEIFS('Detalle individual'!$J$5:$J$295, 'Detalle individual'!$C$5:$C$295, A36), ""), "")</f>
        <v>98.3333333333333</v>
      </c>
      <c r="I36" s="6">
        <f>IF(D36&gt;0, IFERROR(_xlfn.MAXIFS('Detalle individual'!$J$5:$J$295, 'Detalle individual'!$C$5:$C$295, A36), ""), "")</f>
        <v>100</v>
      </c>
      <c r="J36" s="6">
        <f>IF(D36&gt;0, IFERROR(_xlfn.MINIFS('Detalle individual'!$J$5:$J$295, 'Detalle individual'!$C$5:$C$295, A36), ""), "")</f>
        <v>95</v>
      </c>
      <c r="K36" s="23">
        <f>IF(D36&gt;0, IFERROR(_xlfn.MINIFS('Detalle individual'!$G$5:$G$295, 'Detalle individual'!$C$5:$C$295, A36), ""), "")</f>
        <v>46296.646261574075</v>
      </c>
      <c r="L36" s="23">
        <f>IF(D36&gt;0, IFERROR(_xlfn.MAXIFS('Detalle individual'!$H$5:$H$295, 'Detalle individual'!$C$5:$C$295, A36), ""), "")</f>
        <v>46304.57939814815</v>
      </c>
      <c r="M36" s="7">
        <f>IF(D36&gt;0, IFERROR(_xlfn.MINIFS('Detalle individual'!$I$5:$I$295, 'Detalle individual'!$C$5:$C$295, A36), ""), "")</f>
        <v>1.68333333333333</v>
      </c>
      <c r="N36" s="7">
        <f>IF(D36&gt;0, IFERROR(AVERAGEIFS('Detalle individual'!$I$5:$I$295, 'Detalle individual'!$C$5:$C$295, A36), ""), "")</f>
        <v>8.27222222222222</v>
      </c>
    </row>
    <row r="37">
      <c r="A37" s="5" t="inlineStr">
        <is>
          <t>DEPARTAMENTO LEGAL</t>
        </is>
      </c>
      <c r="B37" s="5" t="inlineStr">
        <is>
          <t>Gerencia Legal y Cumplimiento Normativo</t>
        </is>
      </c>
      <c r="C37" s="8">
        <f>COUNTIF('Detalle individual'!$C$5:$C$295, A37)</f>
        <v>8</v>
      </c>
      <c r="D37" s="8">
        <f>COUNTIFS('Detalle individual'!$C$5:$C$295, A37, 'Detalle individual'!$F$5:$F$295, "Completado")</f>
        <v>2</v>
      </c>
      <c r="E37" s="8">
        <f>C37-D37</f>
        <v>6</v>
      </c>
      <c r="F37" s="9">
        <f>IF(C37&gt;0, D37/C37, 0)</f>
        <v>0.25</v>
      </c>
      <c r="G37" s="4" t="str">
        <f>IF(AND(C37&gt;0, D37=C37), "Completo", "Pendiente")</f>
        <v>Pendiente</v>
      </c>
      <c r="H37" s="7">
        <f>IF(D37&gt;0, IFERROR(AVERAGEIFS('Detalle individual'!$J$5:$J$295, 'Detalle individual'!$C$5:$C$295, A37), ""), "")</f>
        <v>95</v>
      </c>
      <c r="I37" s="6">
        <f>IF(D37&gt;0, IFERROR(_xlfn.MAXIFS('Detalle individual'!$J$5:$J$295, 'Detalle individual'!$C$5:$C$295, A37), ""), "")</f>
        <v>100</v>
      </c>
      <c r="J37" s="6">
        <f>IF(D37&gt;0, IFERROR(_xlfn.MINIFS('Detalle individual'!$J$5:$J$295, 'Detalle individual'!$C$5:$C$295, A37), ""), "")</f>
        <v>90</v>
      </c>
      <c r="K37" s="23">
        <f>IF(D37&gt;0, IFERROR(_xlfn.MINIFS('Detalle individual'!$G$5:$G$295, 'Detalle individual'!$C$5:$C$295, A37), ""), "")</f>
        <v>46300.62287037037</v>
      </c>
      <c r="L37" s="23">
        <f>IF(D37&gt;0, IFERROR(_xlfn.MAXIFS('Detalle individual'!$H$5:$H$295, 'Detalle individual'!$C$5:$C$295, A37), ""), "")</f>
        <v>46304.703680555554</v>
      </c>
      <c r="M37" s="7">
        <f>IF(D37&gt;0, IFERROR(_xlfn.MINIFS('Detalle individual'!$I$5:$I$295, 'Detalle individual'!$C$5:$C$295, A37), ""), "")</f>
        <v>8.08333333333333</v>
      </c>
      <c r="N37" s="7">
        <f>IF(D37&gt;0, IFERROR(AVERAGEIFS('Detalle individual'!$I$5:$I$295, 'Detalle individual'!$C$5:$C$295, A37), ""), "")</f>
        <v>9.59166666666667</v>
      </c>
    </row>
    <row r="38">
      <c r="A38" s="5" t="inlineStr">
        <is>
          <t>GERENCIA  ADMINISTRATIVA</t>
        </is>
      </c>
      <c r="B38" s="5" t="inlineStr">
        <is>
          <t>Gerencia Administrativa</t>
        </is>
      </c>
      <c r="C38" s="8">
        <f>COUNTIF('Detalle individual'!$C$5:$C$295, A38)</f>
        <v>2</v>
      </c>
      <c r="D38" s="8">
        <f>COUNTIFS('Detalle individual'!$C$5:$C$295, A38, 'Detalle individual'!$F$5:$F$295, "Completado")</f>
        <v>1</v>
      </c>
      <c r="E38" s="8">
        <f>C38-D38</f>
        <v>1</v>
      </c>
      <c r="F38" s="9">
        <f>IF(C38&gt;0, D38/C38, 0)</f>
        <v>0.5</v>
      </c>
      <c r="G38" s="4" t="str">
        <f>IF(AND(C38&gt;0, D38=C38), "Completo", "Pendiente")</f>
        <v>Pendiente</v>
      </c>
      <c r="H38" s="7">
        <f>IF(D38&gt;0, IFERROR(AVERAGEIFS('Detalle individual'!$J$5:$J$295, 'Detalle individual'!$C$5:$C$295, A38), ""), "")</f>
        <v>100</v>
      </c>
      <c r="I38" s="6">
        <f>IF(D38&gt;0, IFERROR(_xlfn.MAXIFS('Detalle individual'!$J$5:$J$295, 'Detalle individual'!$C$5:$C$295, A38), ""), "")</f>
        <v>100</v>
      </c>
      <c r="J38" s="6">
        <f>IF(D38&gt;0, IFERROR(_xlfn.MINIFS('Detalle individual'!$J$5:$J$295, 'Detalle individual'!$C$5:$C$295, A38), ""), "")</f>
        <v>100</v>
      </c>
      <c r="K38" s="23">
        <f>IF(D38&gt;0, IFERROR(_xlfn.MINIFS('Detalle individual'!$G$5:$G$295, 'Detalle individual'!$C$5:$C$295, A38), ""), "")</f>
        <v>46297.636770833335</v>
      </c>
      <c r="L38" s="23">
        <f>IF(D38&gt;0, IFERROR(_xlfn.MAXIFS('Detalle individual'!$H$5:$H$295, 'Detalle individual'!$C$5:$C$295, A38), ""), "")</f>
        <v>46297.63836805556</v>
      </c>
      <c r="M38" s="7">
        <f>IF(D38&gt;0, IFERROR(_xlfn.MINIFS('Detalle individual'!$I$5:$I$295, 'Detalle individual'!$C$5:$C$295, A38), ""), "")</f>
        <v>2.3</v>
      </c>
      <c r="N38" s="7">
        <f>IF(D38&gt;0, IFERROR(AVERAGEIFS('Detalle individual'!$I$5:$I$295, 'Detalle individual'!$C$5:$C$295, A38), ""), "")</f>
        <v>2.3</v>
      </c>
    </row>
    <row r="39">
      <c r="A39" s="5" t="inlineStr">
        <is>
          <t>GERENCIA DE FINANZAS Y PLANIFICACIÓN</t>
        </is>
      </c>
      <c r="B39" s="5" t="inlineStr">
        <is>
          <t>Gerencia de Finanzas y Planificación</t>
        </is>
      </c>
      <c r="C39" s="8">
        <f>COUNTIF('Detalle individual'!$C$5:$C$295, A39)</f>
        <v>2</v>
      </c>
      <c r="D39" s="8">
        <f>COUNTIFS('Detalle individual'!$C$5:$C$295, A39, 'Detalle individual'!$F$5:$F$295, "Completado")</f>
        <v>1</v>
      </c>
      <c r="E39" s="8">
        <f>C39-D39</f>
        <v>1</v>
      </c>
      <c r="F39" s="9">
        <f>IF(C39&gt;0, D39/C39, 0)</f>
        <v>0.5</v>
      </c>
      <c r="G39" s="4" t="str">
        <f>IF(AND(C39&gt;0, D39=C39), "Completo", "Pendiente")</f>
        <v>Pendiente</v>
      </c>
      <c r="H39" s="7">
        <f>IF(D39&gt;0, IFERROR(AVERAGEIFS('Detalle individual'!$J$5:$J$295, 'Detalle individual'!$C$5:$C$295, A39), ""), "")</f>
        <v>100</v>
      </c>
      <c r="I39" s="6">
        <f>IF(D39&gt;0, IFERROR(_xlfn.MAXIFS('Detalle individual'!$J$5:$J$295, 'Detalle individual'!$C$5:$C$295, A39), ""), "")</f>
        <v>100</v>
      </c>
      <c r="J39" s="6">
        <f>IF(D39&gt;0, IFERROR(_xlfn.MINIFS('Detalle individual'!$J$5:$J$295, 'Detalle individual'!$C$5:$C$295, A39), ""), "")</f>
        <v>100</v>
      </c>
      <c r="K39" s="23">
        <f>IF(D39&gt;0, IFERROR(_xlfn.MINIFS('Detalle individual'!$G$5:$G$295, 'Detalle individual'!$C$5:$C$295, A39), ""), "")</f>
        <v>46296.42706018518</v>
      </c>
      <c r="L39" s="23">
        <f>IF(D39&gt;0, IFERROR(_xlfn.MAXIFS('Detalle individual'!$H$5:$H$295, 'Detalle individual'!$C$5:$C$295, A39), ""), "")</f>
        <v>46296.429560185185</v>
      </c>
      <c r="M39" s="7">
        <f>IF(D39&gt;0, IFERROR(_xlfn.MINIFS('Detalle individual'!$I$5:$I$295, 'Detalle individual'!$C$5:$C$295, A39), ""), "")</f>
        <v>3.6</v>
      </c>
      <c r="N39" s="7">
        <f>IF(D39&gt;0, IFERROR(AVERAGEIFS('Detalle individual'!$I$5:$I$295, 'Detalle individual'!$C$5:$C$295, A39), ""), "")</f>
        <v>3.6</v>
      </c>
    </row>
    <row r="40">
      <c r="A40" s="5" t="inlineStr">
        <is>
          <t>GERENCIA DE NEGOCIOS</t>
        </is>
      </c>
      <c r="B40" s="5" t="inlineStr">
        <is>
          <t>Gerencia de Negocios</t>
        </is>
      </c>
      <c r="C40" s="8">
        <f>COUNTIF('Detalle individual'!$C$5:$C$295, A40)</f>
        <v>4</v>
      </c>
      <c r="D40" s="8">
        <f>COUNTIFS('Detalle individual'!$C$5:$C$295, A40, 'Detalle individual'!$F$5:$F$295, "Completado")</f>
        <v>3</v>
      </c>
      <c r="E40" s="8">
        <f>C40-D40</f>
        <v>1</v>
      </c>
      <c r="F40" s="9">
        <f>IF(C40&gt;0, D40/C40, 0)</f>
        <v>0.75</v>
      </c>
      <c r="G40" s="4" t="str">
        <f>IF(AND(C40&gt;0, D40=C40), "Completo", "Pendiente")</f>
        <v>Pendiente</v>
      </c>
      <c r="H40" s="7">
        <f>IF(D40&gt;0, IFERROR(AVERAGEIFS('Detalle individual'!$J$5:$J$295, 'Detalle individual'!$C$5:$C$295, A40), ""), "")</f>
        <v>100</v>
      </c>
      <c r="I40" s="6">
        <f>IF(D40&gt;0, IFERROR(_xlfn.MAXIFS('Detalle individual'!$J$5:$J$295, 'Detalle individual'!$C$5:$C$295, A40), ""), "")</f>
        <v>100</v>
      </c>
      <c r="J40" s="6">
        <f>IF(D40&gt;0, IFERROR(_xlfn.MINIFS('Detalle individual'!$J$5:$J$295, 'Detalle individual'!$C$5:$C$295, A40), ""), "")</f>
        <v>100</v>
      </c>
      <c r="K40" s="23">
        <f>IF(D40&gt;0, IFERROR(_xlfn.MINIFS('Detalle individual'!$G$5:$G$295, 'Detalle individual'!$C$5:$C$295, A40), ""), "")</f>
        <v>46296.45108796296</v>
      </c>
      <c r="L40" s="23">
        <f>IF(D40&gt;0, IFERROR(_xlfn.MAXIFS('Detalle individual'!$H$5:$H$295, 'Detalle individual'!$C$5:$C$295, A40), ""), "")</f>
        <v>46301.440300925926</v>
      </c>
      <c r="M40" s="7">
        <f>IF(D40&gt;0, IFERROR(_xlfn.MINIFS('Detalle individual'!$I$5:$I$295, 'Detalle individual'!$C$5:$C$295, A40), ""), "")</f>
        <v>3.73333333333333</v>
      </c>
      <c r="N40" s="7">
        <f>IF(D40&gt;0, IFERROR(AVERAGEIFS('Detalle individual'!$I$5:$I$295, 'Detalle individual'!$C$5:$C$295, A40), ""), "")</f>
        <v>8.77777777777778</v>
      </c>
    </row>
    <row r="41">
      <c r="A41" s="5" t="inlineStr">
        <is>
          <t>GERENCIA DE OPERACIONES</t>
        </is>
      </c>
      <c r="B41" s="5" t="inlineStr">
        <is>
          <t>Gerencia de Operaciones</t>
        </is>
      </c>
      <c r="C41" s="8">
        <f>COUNTIF('Detalle individual'!$C$5:$C$295, A41)</f>
        <v>1</v>
      </c>
      <c r="D41" s="8">
        <f>COUNTIFS('Detalle individual'!$C$5:$C$295, A41, 'Detalle individual'!$F$5:$F$295, "Completado")</f>
        <v>0</v>
      </c>
      <c r="E41" s="8">
        <f>C41-D41</f>
        <v>1</v>
      </c>
      <c r="F41" s="9">
        <f>IF(C41&gt;0, D41/C41, 0)</f>
        <v>0</v>
      </c>
      <c r="G41" s="4" t="str">
        <f>IF(AND(C41&gt;0, D41=C41), "Completo", "Pendiente")</f>
        <v>Pendiente</v>
      </c>
      <c r="H41" s="7" t="str">
        <f>IF(D41&gt;0, IFERROR(AVERAGEIFS('Detalle individual'!$J$5:$J$295, 'Detalle individual'!$C$5:$C$295, A41), ""), "")</f>
        <v/>
      </c>
      <c r="I41" s="6" t="str">
        <f>IF(D41&gt;0, IFERROR(_xlfn.MAXIFS('Detalle individual'!$J$5:$J$295, 'Detalle individual'!$C$5:$C$295, A41), ""), "")</f>
        <v/>
      </c>
      <c r="J41" s="6" t="str">
        <f>IF(D41&gt;0, IFERROR(_xlfn.MINIFS('Detalle individual'!$J$5:$J$295, 'Detalle individual'!$C$5:$C$295, A41), ""), "")</f>
        <v/>
      </c>
      <c r="K41" s="23" t="str">
        <f>IF(D41&gt;0, IFERROR(_xlfn.MINIFS('Detalle individual'!$G$5:$G$295, 'Detalle individual'!$C$5:$C$295, A41), ""), "")</f>
        <v/>
      </c>
      <c r="L41" s="23" t="str">
        <f>IF(D41&gt;0, IFERROR(_xlfn.MAXIFS('Detalle individual'!$H$5:$H$295, 'Detalle individual'!$C$5:$C$295, A41), ""), "")</f>
        <v/>
      </c>
      <c r="M41" s="7" t="str">
        <f>IF(D41&gt;0, IFERROR(_xlfn.MINIFS('Detalle individual'!$I$5:$I$295, 'Detalle individual'!$C$5:$C$295, A41), ""), "")</f>
        <v/>
      </c>
      <c r="N41" s="7" t="str">
        <f>IF(D41&gt;0, IFERROR(AVERAGEIFS('Detalle individual'!$I$5:$I$295, 'Detalle individual'!$C$5:$C$295, A41), ""), "")</f>
        <v/>
      </c>
    </row>
    <row r="42">
      <c r="A42" s="5" t="inlineStr">
        <is>
          <t>GERENCIA DE SISTEMAS</t>
        </is>
      </c>
      <c r="B42" s="5" t="inlineStr">
        <is>
          <t>Gerencia de Sistemas</t>
        </is>
      </c>
      <c r="C42" s="8">
        <f>COUNTIF('Detalle individual'!$C$5:$C$295, A42)</f>
        <v>4</v>
      </c>
      <c r="D42" s="8">
        <f>COUNTIFS('Detalle individual'!$C$5:$C$295, A42, 'Detalle individual'!$F$5:$F$295, "Completado")</f>
        <v>2</v>
      </c>
      <c r="E42" s="8">
        <f>C42-D42</f>
        <v>2</v>
      </c>
      <c r="F42" s="9">
        <f>IF(C42&gt;0, D42/C42, 0)</f>
        <v>0.5</v>
      </c>
      <c r="G42" s="4" t="str">
        <f>IF(AND(C42&gt;0, D42=C42), "Completo", "Pendiente")</f>
        <v>Pendiente</v>
      </c>
      <c r="H42" s="7">
        <f>IF(D42&gt;0, IFERROR(AVERAGEIFS('Detalle individual'!$J$5:$J$295, 'Detalle individual'!$C$5:$C$295, A42), ""), "")</f>
        <v>97.5</v>
      </c>
      <c r="I42" s="6">
        <f>IF(D42&gt;0, IFERROR(_xlfn.MAXIFS('Detalle individual'!$J$5:$J$295, 'Detalle individual'!$C$5:$C$295, A42), ""), "")</f>
        <v>100</v>
      </c>
      <c r="J42" s="6">
        <f>IF(D42&gt;0, IFERROR(_xlfn.MINIFS('Detalle individual'!$J$5:$J$295, 'Detalle individual'!$C$5:$C$295, A42), ""), "")</f>
        <v>95</v>
      </c>
      <c r="K42" s="23">
        <f>IF(D42&gt;0, IFERROR(_xlfn.MINIFS('Detalle individual'!$G$5:$G$295, 'Detalle individual'!$C$5:$C$295, A42), ""), "")</f>
        <v>46300.582349537035</v>
      </c>
      <c r="L42" s="23">
        <f>IF(D42&gt;0, IFERROR(_xlfn.MAXIFS('Detalle individual'!$H$5:$H$295, 'Detalle individual'!$C$5:$C$295, A42), ""), "")</f>
        <v>46304.407905092594</v>
      </c>
      <c r="M42" s="7">
        <f>IF(D42&gt;0, IFERROR(_xlfn.MINIFS('Detalle individual'!$I$5:$I$295, 'Detalle individual'!$C$5:$C$295, A42), ""), "")</f>
        <v>3.45</v>
      </c>
      <c r="N42" s="7">
        <f>IF(D42&gt;0, IFERROR(AVERAGEIFS('Detalle individual'!$I$5:$I$295, 'Detalle individual'!$C$5:$C$295, A42), ""), "")</f>
        <v>4.90833333333333</v>
      </c>
    </row>
    <row r="43">
      <c r="A43" s="5" t="inlineStr">
        <is>
          <t>GERENCIA GENERAL</t>
        </is>
      </c>
      <c r="B43" s="5" t="inlineStr">
        <is>
          <t>Gerencia General</t>
        </is>
      </c>
      <c r="C43" s="8">
        <f>COUNTIF('Detalle individual'!$C$5:$C$295, A43)</f>
        <v>2</v>
      </c>
      <c r="D43" s="8">
        <f>COUNTIFS('Detalle individual'!$C$5:$C$295, A43, 'Detalle individual'!$F$5:$F$295, "Completado")</f>
        <v>0</v>
      </c>
      <c r="E43" s="8">
        <f>C43-D43</f>
        <v>2</v>
      </c>
      <c r="F43" s="9">
        <f>IF(C43&gt;0, D43/C43, 0)</f>
        <v>0</v>
      </c>
      <c r="G43" s="4" t="str">
        <f>IF(AND(C43&gt;0, D43=C43), "Completo", "Pendiente")</f>
        <v>Pendiente</v>
      </c>
      <c r="H43" s="7" t="str">
        <f>IF(D43&gt;0, IFERROR(AVERAGEIFS('Detalle individual'!$J$5:$J$295, 'Detalle individual'!$C$5:$C$295, A43), ""), "")</f>
        <v/>
      </c>
      <c r="I43" s="6" t="str">
        <f>IF(D43&gt;0, IFERROR(_xlfn.MAXIFS('Detalle individual'!$J$5:$J$295, 'Detalle individual'!$C$5:$C$295, A43), ""), "")</f>
        <v/>
      </c>
      <c r="J43" s="6" t="str">
        <f>IF(D43&gt;0, IFERROR(_xlfn.MINIFS('Detalle individual'!$J$5:$J$295, 'Detalle individual'!$C$5:$C$295, A43), ""), "")</f>
        <v/>
      </c>
      <c r="K43" s="23" t="str">
        <f>IF(D43&gt;0, IFERROR(_xlfn.MINIFS('Detalle individual'!$G$5:$G$295, 'Detalle individual'!$C$5:$C$295, A43), ""), "")</f>
        <v/>
      </c>
      <c r="L43" s="23" t="str">
        <f>IF(D43&gt;0, IFERROR(_xlfn.MAXIFS('Detalle individual'!$H$5:$H$295, 'Detalle individual'!$C$5:$C$295, A43), ""), "")</f>
        <v/>
      </c>
      <c r="M43" s="7" t="str">
        <f>IF(D43&gt;0, IFERROR(_xlfn.MINIFS('Detalle individual'!$I$5:$I$295, 'Detalle individual'!$C$5:$C$295, A43), ""), "")</f>
        <v/>
      </c>
      <c r="N43" s="7" t="str">
        <f>IF(D43&gt;0, IFERROR(AVERAGEIFS('Detalle individual'!$I$5:$I$295, 'Detalle individual'!$C$5:$C$295, A43), ""), "")</f>
        <v/>
      </c>
    </row>
    <row r="44">
      <c r="A44" s="5" t="inlineStr">
        <is>
          <t>GERENCIA LEGAL Y DE CUMPLIMIENTO NORMATIVO</t>
        </is>
      </c>
      <c r="B44" s="5" t="inlineStr">
        <is>
          <t>Gerencia Legal y Cumplimiento Normativo</t>
        </is>
      </c>
      <c r="C44" s="8">
        <f>COUNTIF('Detalle individual'!$C$5:$C$295, A44)</f>
        <v>1</v>
      </c>
      <c r="D44" s="8">
        <f>COUNTIFS('Detalle individual'!$C$5:$C$295, A44, 'Detalle individual'!$F$5:$F$295, "Completado")</f>
        <v>1</v>
      </c>
      <c r="E44" s="8">
        <f>C44-D44</f>
        <v>0</v>
      </c>
      <c r="F44" s="9">
        <f>IF(C44&gt;0, D44/C44, 0)</f>
        <v>1</v>
      </c>
      <c r="G44" s="4" t="str">
        <f>IF(AND(C44&gt;0, D44=C44), "Completo", "Pendiente")</f>
        <v>Completo</v>
      </c>
      <c r="H44" s="7">
        <f>IF(D44&gt;0, IFERROR(AVERAGEIFS('Detalle individual'!$J$5:$J$295, 'Detalle individual'!$C$5:$C$295, A44), ""), "")</f>
        <v>100</v>
      </c>
      <c r="I44" s="6">
        <f>IF(D44&gt;0, IFERROR(_xlfn.MAXIFS('Detalle individual'!$J$5:$J$295, 'Detalle individual'!$C$5:$C$295, A44), ""), "")</f>
        <v>100</v>
      </c>
      <c r="J44" s="6">
        <f>IF(D44&gt;0, IFERROR(_xlfn.MINIFS('Detalle individual'!$J$5:$J$295, 'Detalle individual'!$C$5:$C$295, A44), ""), "")</f>
        <v>100</v>
      </c>
      <c r="K44" s="23">
        <f>IF(D44&gt;0, IFERROR(_xlfn.MINIFS('Detalle individual'!$G$5:$G$295, 'Detalle individual'!$C$5:$C$295, A44), ""), "")</f>
        <v>46304.69274305556</v>
      </c>
      <c r="L44" s="23">
        <f>IF(D44&gt;0, IFERROR(_xlfn.MAXIFS('Detalle individual'!$H$5:$H$295, 'Detalle individual'!$C$5:$C$295, A44), ""), "")</f>
        <v>46304.69452546296</v>
      </c>
      <c r="M44" s="7">
        <f>IF(D44&gt;0, IFERROR(_xlfn.MINIFS('Detalle individual'!$I$5:$I$295, 'Detalle individual'!$C$5:$C$295, A44), ""), "")</f>
        <v>2.56666666666667</v>
      </c>
      <c r="N44" s="7">
        <f>IF(D44&gt;0, IFERROR(AVERAGEIFS('Detalle individual'!$I$5:$I$295, 'Detalle individual'!$C$5:$C$295, A44), ""), "")</f>
        <v>2.56666666666667</v>
      </c>
    </row>
    <row r="45">
      <c r="A45" s="5" t="inlineStr">
        <is>
          <t>OFICIALIA DE CUMPLIMIENTO</t>
        </is>
      </c>
      <c r="B45" s="5" t="inlineStr">
        <is>
          <t>Gerencia de Oficialía de Cumplimiento</t>
        </is>
      </c>
      <c r="C45" s="8">
        <f>COUNTIF('Detalle individual'!$C$5:$C$295, A45)</f>
        <v>7</v>
      </c>
      <c r="D45" s="8">
        <f>COUNTIFS('Detalle individual'!$C$5:$C$295, A45, 'Detalle individual'!$F$5:$F$295, "Completado")</f>
        <v>7</v>
      </c>
      <c r="E45" s="8">
        <f>C45-D45</f>
        <v>0</v>
      </c>
      <c r="F45" s="9">
        <f>IF(C45&gt;0, D45/C45, 0)</f>
        <v>1</v>
      </c>
      <c r="G45" s="4" t="str">
        <f>IF(AND(C45&gt;0, D45=C45), "Completo", "Pendiente")</f>
        <v>Completo</v>
      </c>
      <c r="H45" s="7">
        <f>IF(D45&gt;0, IFERROR(AVERAGEIFS('Detalle individual'!$J$5:$J$295, 'Detalle individual'!$C$5:$C$295, A45), ""), "")</f>
        <v>100</v>
      </c>
      <c r="I45" s="6">
        <f>IF(D45&gt;0, IFERROR(_xlfn.MAXIFS('Detalle individual'!$J$5:$J$295, 'Detalle individual'!$C$5:$C$295, A45), ""), "")</f>
        <v>100</v>
      </c>
      <c r="J45" s="6">
        <f>IF(D45&gt;0, IFERROR(_xlfn.MINIFS('Detalle individual'!$J$5:$J$295, 'Detalle individual'!$C$5:$C$295, A45), ""), "")</f>
        <v>100</v>
      </c>
      <c r="K45" s="23">
        <f>IF(D45&gt;0, IFERROR(_xlfn.MINIFS('Detalle individual'!$G$5:$G$295, 'Detalle individual'!$C$5:$C$295, A45), ""), "")</f>
        <v>46296.47011574074</v>
      </c>
      <c r="L45" s="23">
        <f>IF(D45&gt;0, IFERROR(_xlfn.MAXIFS('Detalle individual'!$H$5:$H$295, 'Detalle individual'!$C$5:$C$295, A45), ""), "")</f>
        <v>46296.49747685185</v>
      </c>
      <c r="M45" s="7">
        <f>IF(D45&gt;0, IFERROR(_xlfn.MINIFS('Detalle individual'!$I$5:$I$295, 'Detalle individual'!$C$5:$C$295, A45), ""), "")</f>
        <v>9.16666666666667</v>
      </c>
      <c r="N45" s="7">
        <f>IF(D45&gt;0, IFERROR(AVERAGEIFS('Detalle individual'!$I$5:$I$295, 'Detalle individual'!$C$5:$C$295, A45), ""), "")</f>
        <v>11.9642857142857</v>
      </c>
    </row>
    <row r="46">
      <c r="A46" s="5" t="inlineStr">
        <is>
          <t>OFICIALIA DE SEGURIDAD DE LA INFORMACION</t>
        </is>
      </c>
      <c r="B46" s="5" t="inlineStr">
        <is>
          <t>Gerencia General</t>
        </is>
      </c>
      <c r="C46" s="8">
        <f>COUNTIF('Detalle individual'!$C$5:$C$295, A46)</f>
        <v>4</v>
      </c>
      <c r="D46" s="8">
        <f>COUNTIFS('Detalle individual'!$C$5:$C$295, A46, 'Detalle individual'!$F$5:$F$295, "Completado")</f>
        <v>4</v>
      </c>
      <c r="E46" s="8">
        <f>C46-D46</f>
        <v>0</v>
      </c>
      <c r="F46" s="9">
        <f>IF(C46&gt;0, D46/C46, 0)</f>
        <v>1</v>
      </c>
      <c r="G46" s="4" t="str">
        <f>IF(AND(C46&gt;0, D46=C46), "Completo", "Pendiente")</f>
        <v>Completo</v>
      </c>
      <c r="H46" s="7">
        <f>IF(D46&gt;0, IFERROR(AVERAGEIFS('Detalle individual'!$J$5:$J$295, 'Detalle individual'!$C$5:$C$295, A46), ""), "")</f>
        <v>96.25</v>
      </c>
      <c r="I46" s="6">
        <f>IF(D46&gt;0, IFERROR(_xlfn.MAXIFS('Detalle individual'!$J$5:$J$295, 'Detalle individual'!$C$5:$C$295, A46), ""), "")</f>
        <v>100</v>
      </c>
      <c r="J46" s="6">
        <f>IF(D46&gt;0, IFERROR(_xlfn.MINIFS('Detalle individual'!$J$5:$J$295, 'Detalle individual'!$C$5:$C$295, A46), ""), "")</f>
        <v>85</v>
      </c>
      <c r="K46" s="23">
        <f>IF(D46&gt;0, IFERROR(_xlfn.MINIFS('Detalle individual'!$G$5:$G$295, 'Detalle individual'!$C$5:$C$295, A46), ""), "")</f>
        <v>46296.44081018519</v>
      </c>
      <c r="L46" s="23">
        <f>IF(D46&gt;0, IFERROR(_xlfn.MAXIFS('Detalle individual'!$H$5:$H$295, 'Detalle individual'!$C$5:$C$295, A46), ""), "")</f>
        <v>46296.44909722222</v>
      </c>
      <c r="M46" s="7">
        <f>IF(D46&gt;0, IFERROR(_xlfn.MINIFS('Detalle individual'!$I$5:$I$295, 'Detalle individual'!$C$5:$C$295, A46), ""), "")</f>
        <v>9.06666666666667</v>
      </c>
      <c r="N46" s="7">
        <f>IF(D46&gt;0, IFERROR(AVERAGEIFS('Detalle individual'!$I$5:$I$295, 'Detalle individual'!$C$5:$C$295, A46), ""), "")</f>
        <v>10.5916666666667</v>
      </c>
    </row>
    <row r="47">
      <c r="A47" s="5" t="inlineStr">
        <is>
          <t xml:space="preserve">SUB GERENCIA DE CANALES </t>
        </is>
      </c>
      <c r="B47" s="5" t="inlineStr">
        <is>
          <t>Gerencia de Negocios</t>
        </is>
      </c>
      <c r="C47" s="8">
        <f>COUNTIF('Detalle individual'!$C$5:$C$295, A47)</f>
        <v>7</v>
      </c>
      <c r="D47" s="8">
        <f>COUNTIFS('Detalle individual'!$C$5:$C$295, A47, 'Detalle individual'!$F$5:$F$295, "Completado")</f>
        <v>2</v>
      </c>
      <c r="E47" s="8">
        <f>C47-D47</f>
        <v>5</v>
      </c>
      <c r="F47" s="9">
        <f>IF(C47&gt;0, D47/C47, 0)</f>
        <v>0.285714285714286</v>
      </c>
      <c r="G47" s="4" t="str">
        <f>IF(AND(C47&gt;0, D47=C47), "Completo", "Pendiente")</f>
        <v>Pendiente</v>
      </c>
      <c r="H47" s="7">
        <f>IF(D47&gt;0, IFERROR(AVERAGEIFS('Detalle individual'!$J$5:$J$295, 'Detalle individual'!$C$5:$C$295, A47), ""), "")</f>
        <v>100</v>
      </c>
      <c r="I47" s="6">
        <f>IF(D47&gt;0, IFERROR(_xlfn.MAXIFS('Detalle individual'!$J$5:$J$295, 'Detalle individual'!$C$5:$C$295, A47), ""), "")</f>
        <v>100</v>
      </c>
      <c r="J47" s="6">
        <f>IF(D47&gt;0, IFERROR(_xlfn.MINIFS('Detalle individual'!$J$5:$J$295, 'Detalle individual'!$C$5:$C$295, A47), ""), "")</f>
        <v>100</v>
      </c>
      <c r="K47" s="23">
        <f>IF(D47&gt;0, IFERROR(_xlfn.MINIFS('Detalle individual'!$G$5:$G$295, 'Detalle individual'!$C$5:$C$295, A47), ""), "")</f>
        <v>46300.40697916667</v>
      </c>
      <c r="L47" s="23">
        <f>IF(D47&gt;0, IFERROR(_xlfn.MAXIFS('Detalle individual'!$H$5:$H$295, 'Detalle individual'!$C$5:$C$295, A47), ""), "")</f>
        <v>46302.479097222225</v>
      </c>
      <c r="M47" s="7">
        <f>IF(D47&gt;0, IFERROR(_xlfn.MINIFS('Detalle individual'!$I$5:$I$295, 'Detalle individual'!$C$5:$C$295, A47), ""), "")</f>
        <v>5.73333333333333</v>
      </c>
      <c r="N47" s="7">
        <f>IF(D47&gt;0, IFERROR(AVERAGEIFS('Detalle individual'!$I$5:$I$295, 'Detalle individual'!$C$5:$C$295, A47), ""), "")</f>
        <v>14.1583333430667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51" customWidth="1" min="2" max="2"/>
    <col width="100" customWidth="1" min="3" max="3"/>
    <col width="14" customWidth="1" min="4" max="4"/>
    <col width="26" customWidth="1" min="5" max="5"/>
    <col width="53" customWidth="1" min="6" max="6"/>
    <col width="101" customWidth="1" min="7" max="7"/>
    <col width="97" customWidth="1" min="8" max="8"/>
    <col width="97" customWidth="1" min="9" max="9"/>
    <col width="97" customWidth="1" min="10" max="10"/>
    <col width="97" customWidth="1" min="11" max="11"/>
    <col width="97" customWidth="1" min="12" max="12"/>
    <col width="101" customWidth="1" min="13" max="13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</row>
    <row r="5">
      <c r="A5" s="5" t="inlineStr">
        <is>
          <t>Auditoría Interna</t>
        </is>
      </c>
      <c r="B5" s="8">
        <f>COUNTIF('Detalle individual'!$D$5:$D$295, A5)</f>
        <v>7</v>
      </c>
      <c r="C5" s="8">
        <f>COUNTIFS('Detalle individual'!$D$5:$D$295, A5, 'Detalle individual'!$F$5:$F$295, "Completado")</f>
        <v>5</v>
      </c>
      <c r="D5" s="8">
        <f>B5-C5</f>
        <v>2</v>
      </c>
      <c r="E5" s="9">
        <f>IF(B5&gt;0, C5/B5, 0)</f>
        <v>0.714285714285714</v>
      </c>
      <c r="F5" s="4" t="str">
        <f>IF(AND(B5&gt;0, C5=B5), "Completo", "Pendiente")</f>
        <v>Pendiente</v>
      </c>
      <c r="G5" s="7">
        <f>IF(C5&gt;0, IFERROR(AVERAGEIFS('Detalle individual'!$J$5:$J$295, 'Detalle individual'!$D$5:$D$295, A5), ""), "")</f>
        <v>96</v>
      </c>
      <c r="H5" s="6">
        <f>IF(C5&gt;0, IFERROR(_xlfn.MAXIFS('Detalle individual'!$J$5:$J$295, 'Detalle individual'!$D$5:$D$295, A5), ""), "")</f>
        <v>100</v>
      </c>
      <c r="I5" s="6">
        <f>IF(C5&gt;0, IFERROR(_xlfn.MINIFS('Detalle individual'!$J$5:$J$295, 'Detalle individual'!$D$5:$D$295, A5), ""), "")</f>
        <v>90</v>
      </c>
      <c r="J5" s="23">
        <f>IF(C5&gt;0, IFERROR(_xlfn.MINIFS('Detalle individual'!$G$5:$G$295, 'Detalle individual'!$D$5:$D$295, A5), ""), "")</f>
        <v>46296.61756944445</v>
      </c>
      <c r="K5" s="23">
        <f>IF(C5&gt;0, IFERROR(_xlfn.MAXIFS('Detalle individual'!$H$5:$H$295, 'Detalle individual'!$D$5:$D$295, A5), ""), "")</f>
        <v>46304.404328703706</v>
      </c>
      <c r="L5" s="7">
        <f>IF(C5&gt;0, IFERROR(_xlfn.MINIFS('Detalle individual'!$I$5:$I$295, 'Detalle individual'!$D$5:$D$295, A5), ""), "")</f>
        <v>3.8</v>
      </c>
      <c r="M5" s="7">
        <f>IF(C5&gt;0, IFERROR(AVERAGEIFS('Detalle individual'!$I$5:$I$295, 'Detalle individual'!$D$5:$D$295, A5), ""), "")</f>
        <v>6.83999999505</v>
      </c>
    </row>
    <row r="6">
      <c r="A6" s="5" t="inlineStr">
        <is>
          <t>Gerencia Administrativa</t>
        </is>
      </c>
      <c r="B6" s="8">
        <f>COUNTIF('Detalle individual'!$D$5:$D$295, A6)</f>
        <v>32</v>
      </c>
      <c r="C6" s="8">
        <f>COUNTIFS('Detalle individual'!$D$5:$D$295, A6, 'Detalle individual'!$F$5:$F$295, "Completado")</f>
        <v>27</v>
      </c>
      <c r="D6" s="8">
        <f>B6-C6</f>
        <v>5</v>
      </c>
      <c r="E6" s="9">
        <f>IF(B6&gt;0, C6/B6, 0)</f>
        <v>0.84375</v>
      </c>
      <c r="F6" s="4" t="str">
        <f>IF(AND(B6&gt;0, C6=B6), "Completo", "Pendiente")</f>
        <v>Pendiente</v>
      </c>
      <c r="G6" s="7">
        <f>IF(C6&gt;0, IFERROR(AVERAGEIFS('Detalle individual'!$J$5:$J$295, 'Detalle individual'!$D$5:$D$295, A6), ""), "")</f>
        <v>90.7407407407408</v>
      </c>
      <c r="H6" s="6">
        <f>IF(C6&gt;0, IFERROR(_xlfn.MAXIFS('Detalle individual'!$J$5:$J$295, 'Detalle individual'!$D$5:$D$295, A6), ""), "")</f>
        <v>100</v>
      </c>
      <c r="I6" s="6">
        <f>IF(C6&gt;0, IFERROR(_xlfn.MINIFS('Detalle individual'!$J$5:$J$295, 'Detalle individual'!$D$5:$D$295, A6), ""), "")</f>
        <v>40</v>
      </c>
      <c r="J6" s="23">
        <f>IF(C6&gt;0, IFERROR(_xlfn.MINIFS('Detalle individual'!$G$5:$G$295, 'Detalle individual'!$D$5:$D$295, A6), ""), "")</f>
        <v>46296.454039351855</v>
      </c>
      <c r="K6" s="23">
        <f>IF(C6&gt;0, IFERROR(_xlfn.MAXIFS('Detalle individual'!$H$5:$H$295, 'Detalle individual'!$D$5:$D$295, A6), ""), "")</f>
        <v>46304.70379629629</v>
      </c>
      <c r="L6" s="7">
        <f>IF(C6&gt;0, IFERROR(_xlfn.MINIFS('Detalle individual'!$I$5:$I$295, 'Detalle individual'!$D$5:$D$295, A6), ""), "")</f>
        <v>2.11666666666667</v>
      </c>
      <c r="M6" s="7">
        <f>IF(C6&gt;0, IFERROR(AVERAGEIFS('Detalle individual'!$I$5:$I$295, 'Detalle individual'!$D$5:$D$295, A6), ""), "")</f>
        <v>10.7308641975309</v>
      </c>
    </row>
    <row r="7">
      <c r="A7" s="5" t="inlineStr">
        <is>
          <t>Gerencia General</t>
        </is>
      </c>
      <c r="B7" s="8">
        <f>COUNTIF('Detalle individual'!$D$5:$D$295, A7)</f>
        <v>21</v>
      </c>
      <c r="C7" s="8">
        <f>COUNTIFS('Detalle individual'!$D$5:$D$295, A7, 'Detalle individual'!$F$5:$F$295, "Completado")</f>
        <v>14</v>
      </c>
      <c r="D7" s="8">
        <f>B7-C7</f>
        <v>7</v>
      </c>
      <c r="E7" s="9">
        <f>IF(B7&gt;0, C7/B7, 0)</f>
        <v>0.666666666666667</v>
      </c>
      <c r="F7" s="4" t="str">
        <f>IF(AND(B7&gt;0, C7=B7), "Completo", "Pendiente")</f>
        <v>Pendiente</v>
      </c>
      <c r="G7" s="7">
        <f>IF(C7&gt;0, IFERROR(AVERAGEIFS('Detalle individual'!$J$5:$J$295, 'Detalle individual'!$D$5:$D$295, A7), ""), "")</f>
        <v>95.7142857142857</v>
      </c>
      <c r="H7" s="6">
        <f>IF(C7&gt;0, IFERROR(_xlfn.MAXIFS('Detalle individual'!$J$5:$J$295, 'Detalle individual'!$D$5:$D$295, A7), ""), "")</f>
        <v>100</v>
      </c>
      <c r="I7" s="6">
        <f>IF(C7&gt;0, IFERROR(_xlfn.MINIFS('Detalle individual'!$J$5:$J$295, 'Detalle individual'!$D$5:$D$295, A7), ""), "")</f>
        <v>80</v>
      </c>
      <c r="J7" s="23">
        <f>IF(C7&gt;0, IFERROR(_xlfn.MINIFS('Detalle individual'!$G$5:$G$295, 'Detalle individual'!$D$5:$D$295, A7), ""), "")</f>
        <v>46296.436574074076</v>
      </c>
      <c r="K7" s="23">
        <f>IF(C7&gt;0, IFERROR(_xlfn.MAXIFS('Detalle individual'!$H$5:$H$295, 'Detalle individual'!$D$5:$D$295, A7), ""), "")</f>
        <v>46304.7809837963</v>
      </c>
      <c r="L7" s="7">
        <f>IF(C7&gt;0, IFERROR(_xlfn.MINIFS('Detalle individual'!$I$5:$I$295, 'Detalle individual'!$D$5:$D$295, A7), ""), "")</f>
        <v>3.05</v>
      </c>
      <c r="M7" s="7">
        <f>IF(C7&gt;0, IFERROR(AVERAGEIFS('Detalle individual'!$I$5:$I$295, 'Detalle individual'!$D$5:$D$295, A7), ""), "")</f>
        <v>8.5297619047619</v>
      </c>
    </row>
    <row r="8">
      <c r="A8" s="5" t="inlineStr">
        <is>
          <t>Gerencia Legal y Cumplimiento Normativo</t>
        </is>
      </c>
      <c r="B8" s="8">
        <f>COUNTIF('Detalle individual'!$D$5:$D$295, A8)</f>
        <v>9</v>
      </c>
      <c r="C8" s="8">
        <f>COUNTIFS('Detalle individual'!$D$5:$D$295, A8, 'Detalle individual'!$F$5:$F$295, "Completado")</f>
        <v>3</v>
      </c>
      <c r="D8" s="8">
        <f>B8-C8</f>
        <v>6</v>
      </c>
      <c r="E8" s="9">
        <f>IF(B8&gt;0, C8/B8, 0)</f>
        <v>0.333333333333333</v>
      </c>
      <c r="F8" s="4" t="str">
        <f>IF(AND(B8&gt;0, C8=B8), "Completo", "Pendiente")</f>
        <v>Pendiente</v>
      </c>
      <c r="G8" s="7">
        <f>IF(C8&gt;0, IFERROR(AVERAGEIFS('Detalle individual'!$J$5:$J$295, 'Detalle individual'!$D$5:$D$295, A8), ""), "")</f>
        <v>96.6666666666667</v>
      </c>
      <c r="H8" s="6">
        <f>IF(C8&gt;0, IFERROR(_xlfn.MAXIFS('Detalle individual'!$J$5:$J$295, 'Detalle individual'!$D$5:$D$295, A8), ""), "")</f>
        <v>100</v>
      </c>
      <c r="I8" s="6">
        <f>IF(C8&gt;0, IFERROR(_xlfn.MINIFS('Detalle individual'!$J$5:$J$295, 'Detalle individual'!$D$5:$D$295, A8), ""), "")</f>
        <v>90</v>
      </c>
      <c r="J8" s="23">
        <f>IF(C8&gt;0, IFERROR(_xlfn.MINIFS('Detalle individual'!$G$5:$G$295, 'Detalle individual'!$D$5:$D$295, A8), ""), "")</f>
        <v>46300.62287037037</v>
      </c>
      <c r="K8" s="23">
        <f>IF(C8&gt;0, IFERROR(_xlfn.MAXIFS('Detalle individual'!$H$5:$H$295, 'Detalle individual'!$D$5:$D$295, A8), ""), "")</f>
        <v>46304.703680555554</v>
      </c>
      <c r="L8" s="7">
        <f>IF(C8&gt;0, IFERROR(_xlfn.MINIFS('Detalle individual'!$I$5:$I$295, 'Detalle individual'!$D$5:$D$295, A8), ""), "")</f>
        <v>2.56666666666667</v>
      </c>
      <c r="M8" s="7">
        <f>IF(C8&gt;0, IFERROR(AVERAGEIFS('Detalle individual'!$I$5:$I$295, 'Detalle individual'!$D$5:$D$295, A8), ""), "")</f>
        <v>7.25</v>
      </c>
    </row>
    <row r="9">
      <c r="A9" s="5" t="inlineStr">
        <is>
          <t>Gerencia de Finanzas y Planificación</t>
        </is>
      </c>
      <c r="B9" s="8">
        <f>COUNTIF('Detalle individual'!$D$5:$D$295, A9)</f>
        <v>18</v>
      </c>
      <c r="C9" s="8">
        <f>COUNTIFS('Detalle individual'!$D$5:$D$295, A9, 'Detalle individual'!$F$5:$F$295, "Completado")</f>
        <v>8</v>
      </c>
      <c r="D9" s="8">
        <f>B9-C9</f>
        <v>10</v>
      </c>
      <c r="E9" s="9">
        <f>IF(B9&gt;0, C9/B9, 0)</f>
        <v>0.444444444444444</v>
      </c>
      <c r="F9" s="4" t="str">
        <f>IF(AND(B9&gt;0, C9=B9), "Completo", "Pendiente")</f>
        <v>Pendiente</v>
      </c>
      <c r="G9" s="7">
        <f>IF(C9&gt;0, IFERROR(AVERAGEIFS('Detalle individual'!$J$5:$J$295, 'Detalle individual'!$D$5:$D$295, A9), ""), "")</f>
        <v>98.75</v>
      </c>
      <c r="H9" s="6">
        <f>IF(C9&gt;0, IFERROR(_xlfn.MAXIFS('Detalle individual'!$J$5:$J$295, 'Detalle individual'!$D$5:$D$295, A9), ""), "")</f>
        <v>100</v>
      </c>
      <c r="I9" s="6">
        <f>IF(C9&gt;0, IFERROR(_xlfn.MINIFS('Detalle individual'!$J$5:$J$295, 'Detalle individual'!$D$5:$D$295, A9), ""), "")</f>
        <v>90</v>
      </c>
      <c r="J9" s="23">
        <f>IF(C9&gt;0, IFERROR(_xlfn.MINIFS('Detalle individual'!$G$5:$G$295, 'Detalle individual'!$D$5:$D$295, A9), ""), "")</f>
        <v>46296.42706018518</v>
      </c>
      <c r="K9" s="23">
        <f>IF(C9&gt;0, IFERROR(_xlfn.MAXIFS('Detalle individual'!$H$5:$H$295, 'Detalle individual'!$D$5:$D$295, A9), ""), "")</f>
        <v>46304.4002662037</v>
      </c>
      <c r="L9" s="7">
        <f>IF(C9&gt;0, IFERROR(_xlfn.MINIFS('Detalle individual'!$I$5:$I$295, 'Detalle individual'!$D$5:$D$295, A9), ""), "")</f>
        <v>2.88333333333333</v>
      </c>
      <c r="M9" s="7">
        <f>IF(C9&gt;0, IFERROR(AVERAGEIFS('Detalle individual'!$I$5:$I$295, 'Detalle individual'!$D$5:$D$295, A9), ""), "")</f>
        <v>8.06041666666667</v>
      </c>
    </row>
    <row r="10">
      <c r="A10" s="5" t="inlineStr">
        <is>
          <t>Gerencia de Negocios</t>
        </is>
      </c>
      <c r="B10" s="8">
        <f>COUNTIF('Detalle individual'!$D$5:$D$295, A10)</f>
        <v>61</v>
      </c>
      <c r="C10" s="8">
        <f>COUNTIFS('Detalle individual'!$D$5:$D$295, A10, 'Detalle individual'!$F$5:$F$295, "Completado")</f>
        <v>23</v>
      </c>
      <c r="D10" s="8">
        <f>B10-C10</f>
        <v>38</v>
      </c>
      <c r="E10" s="9">
        <f>IF(B10&gt;0, C10/B10, 0)</f>
        <v>0.377049180327869</v>
      </c>
      <c r="F10" s="4" t="str">
        <f>IF(AND(B10&gt;0, C10=B10), "Completo", "Pendiente")</f>
        <v>Pendiente</v>
      </c>
      <c r="G10" s="7">
        <f>IF(C10&gt;0, IFERROR(AVERAGEIFS('Detalle individual'!$J$5:$J$295, 'Detalle individual'!$D$5:$D$295, A10), ""), "")</f>
        <v>97.3913043478261</v>
      </c>
      <c r="H10" s="6">
        <f>IF(C10&gt;0, IFERROR(_xlfn.MAXIFS('Detalle individual'!$J$5:$J$295, 'Detalle individual'!$D$5:$D$295, A10), ""), "")</f>
        <v>100</v>
      </c>
      <c r="I10" s="6">
        <f>IF(C10&gt;0, IFERROR(_xlfn.MINIFS('Detalle individual'!$J$5:$J$295, 'Detalle individual'!$D$5:$D$295, A10), ""), "")</f>
        <v>80</v>
      </c>
      <c r="J10" s="23">
        <f>IF(C10&gt;0, IFERROR(_xlfn.MINIFS('Detalle individual'!$G$5:$G$295, 'Detalle individual'!$D$5:$D$295, A10), ""), "")</f>
        <v>46296.426412037035</v>
      </c>
      <c r="K10" s="23">
        <f>IF(C10&gt;0, IFERROR(_xlfn.MAXIFS('Detalle individual'!$H$5:$H$295, 'Detalle individual'!$D$5:$D$295, A10), ""), "")</f>
        <v>46304.444606481484</v>
      </c>
      <c r="L10" s="7">
        <f>IF(C10&gt;0, IFERROR(_xlfn.MINIFS('Detalle individual'!$I$5:$I$295, 'Detalle individual'!$D$5:$D$295, A10), ""), "")</f>
        <v>3.03333333333333</v>
      </c>
      <c r="M10" s="7">
        <f>IF(C10&gt;0, IFERROR(AVERAGEIFS('Detalle individual'!$I$5:$I$295, 'Detalle individual'!$D$5:$D$295, A10), ""), "")</f>
        <v>13.925362319687</v>
      </c>
    </row>
    <row r="11">
      <c r="A11" s="5" t="inlineStr">
        <is>
          <t>Gerencia de Negocios (Agencias)</t>
        </is>
      </c>
      <c r="B11" s="8">
        <f>COUNTIF('Detalle individual'!$D$5:$D$295, A11)</f>
        <v>97</v>
      </c>
      <c r="C11" s="8">
        <f>COUNTIFS('Detalle individual'!$D$5:$D$295, A11, 'Detalle individual'!$F$5:$F$295, "Completado")</f>
        <v>34</v>
      </c>
      <c r="D11" s="8">
        <f>B11-C11</f>
        <v>63</v>
      </c>
      <c r="E11" s="9">
        <f>IF(B11&gt;0, C11/B11, 0)</f>
        <v>0.350515463917526</v>
      </c>
      <c r="F11" s="4" t="str">
        <f>IF(AND(B11&gt;0, C11=B11), "Completo", "Pendiente")</f>
        <v>Pendiente</v>
      </c>
      <c r="G11" s="7">
        <f>IF(C11&gt;0, IFERROR(AVERAGEIFS('Detalle individual'!$J$5:$J$295, 'Detalle individual'!$D$5:$D$295, A11), ""), "")</f>
        <v>97.2058823529412</v>
      </c>
      <c r="H11" s="6">
        <f>IF(C11&gt;0, IFERROR(_xlfn.MAXIFS('Detalle individual'!$J$5:$J$295, 'Detalle individual'!$D$5:$D$295, A11), ""), "")</f>
        <v>100</v>
      </c>
      <c r="I11" s="6">
        <f>IF(C11&gt;0, IFERROR(_xlfn.MINIFS('Detalle individual'!$J$5:$J$295, 'Detalle individual'!$D$5:$D$295, A11), ""), "")</f>
        <v>70</v>
      </c>
      <c r="J11" s="23">
        <f>IF(C11&gt;0, IFERROR(_xlfn.MINIFS('Detalle individual'!$G$5:$G$295, 'Detalle individual'!$D$5:$D$295, A11), ""), "")</f>
        <v>46296.43491898148</v>
      </c>
      <c r="K11" s="23">
        <f>IF(C11&gt;0, IFERROR(_xlfn.MAXIFS('Detalle individual'!$H$5:$H$295, 'Detalle individual'!$D$5:$D$295, A11), ""), "")</f>
        <v>46303.544328703705</v>
      </c>
      <c r="L11" s="7">
        <f>IF(C11&gt;0, IFERROR(_xlfn.MINIFS('Detalle individual'!$I$5:$I$295, 'Detalle individual'!$D$5:$D$295, A11), ""), "")</f>
        <v>1.75</v>
      </c>
      <c r="M11" s="7">
        <f>IF(C11&gt;0, IFERROR(AVERAGEIFS('Detalle individual'!$I$5:$I$295, 'Detalle individual'!$D$5:$D$295, A11), ""), "")</f>
        <v>14.9343137246118</v>
      </c>
    </row>
    <row r="12">
      <c r="A12" s="5" t="inlineStr">
        <is>
          <t>Gerencia de Oficialía de Cumplimiento</t>
        </is>
      </c>
      <c r="B12" s="8">
        <f>COUNTIF('Detalle individual'!$D$5:$D$295, A12)</f>
        <v>7</v>
      </c>
      <c r="C12" s="8">
        <f>COUNTIFS('Detalle individual'!$D$5:$D$295, A12, 'Detalle individual'!$F$5:$F$295, "Completado")</f>
        <v>7</v>
      </c>
      <c r="D12" s="8">
        <f>B12-C12</f>
        <v>0</v>
      </c>
      <c r="E12" s="9">
        <f>IF(B12&gt;0, C12/B12, 0)</f>
        <v>1</v>
      </c>
      <c r="F12" s="4" t="str">
        <f>IF(AND(B12&gt;0, C12=B12), "Completo", "Pendiente")</f>
        <v>Completo</v>
      </c>
      <c r="G12" s="7">
        <f>IF(C12&gt;0, IFERROR(AVERAGEIFS('Detalle individual'!$J$5:$J$295, 'Detalle individual'!$D$5:$D$295, A12), ""), "")</f>
        <v>100</v>
      </c>
      <c r="H12" s="6">
        <f>IF(C12&gt;0, IFERROR(_xlfn.MAXIFS('Detalle individual'!$J$5:$J$295, 'Detalle individual'!$D$5:$D$295, A12), ""), "")</f>
        <v>100</v>
      </c>
      <c r="I12" s="6">
        <f>IF(C12&gt;0, IFERROR(_xlfn.MINIFS('Detalle individual'!$J$5:$J$295, 'Detalle individual'!$D$5:$D$295, A12), ""), "")</f>
        <v>100</v>
      </c>
      <c r="J12" s="23">
        <f>IF(C12&gt;0, IFERROR(_xlfn.MINIFS('Detalle individual'!$G$5:$G$295, 'Detalle individual'!$D$5:$D$295, A12), ""), "")</f>
        <v>46296.47011574074</v>
      </c>
      <c r="K12" s="23">
        <f>IF(C12&gt;0, IFERROR(_xlfn.MAXIFS('Detalle individual'!$H$5:$H$295, 'Detalle individual'!$D$5:$D$295, A12), ""), "")</f>
        <v>46296.49747685185</v>
      </c>
      <c r="L12" s="7">
        <f>IF(C12&gt;0, IFERROR(_xlfn.MINIFS('Detalle individual'!$I$5:$I$295, 'Detalle individual'!$D$5:$D$295, A12), ""), "")</f>
        <v>9.16666666666667</v>
      </c>
      <c r="M12" s="7">
        <f>IF(C12&gt;0, IFERROR(AVERAGEIFS('Detalle individual'!$I$5:$I$295, 'Detalle individual'!$D$5:$D$295, A12), ""), "")</f>
        <v>11.9642857142857</v>
      </c>
    </row>
    <row r="13">
      <c r="A13" s="5" t="inlineStr">
        <is>
          <t>Gerencia de Operaciones</t>
        </is>
      </c>
      <c r="B13" s="8">
        <f>COUNTIF('Detalle individual'!$D$5:$D$295, A13)</f>
        <v>16</v>
      </c>
      <c r="C13" s="8">
        <f>COUNTIFS('Detalle individual'!$D$5:$D$295, A13, 'Detalle individual'!$F$5:$F$295, "Completado")</f>
        <v>8</v>
      </c>
      <c r="D13" s="8">
        <f>B13-C13</f>
        <v>8</v>
      </c>
      <c r="E13" s="9">
        <f>IF(B13&gt;0, C13/B13, 0)</f>
        <v>0.5</v>
      </c>
      <c r="F13" s="4" t="str">
        <f>IF(AND(B13&gt;0, C13=B13), "Completo", "Pendiente")</f>
        <v>Pendiente</v>
      </c>
      <c r="G13" s="7">
        <f>IF(C13&gt;0, IFERROR(AVERAGEIFS('Detalle individual'!$J$5:$J$295, 'Detalle individual'!$D$5:$D$295, A13), ""), "")</f>
        <v>98.75</v>
      </c>
      <c r="H13" s="6">
        <f>IF(C13&gt;0, IFERROR(_xlfn.MAXIFS('Detalle individual'!$J$5:$J$295, 'Detalle individual'!$D$5:$D$295, A13), ""), "")</f>
        <v>100</v>
      </c>
      <c r="I13" s="6">
        <f>IF(C13&gt;0, IFERROR(_xlfn.MINIFS('Detalle individual'!$J$5:$J$295, 'Detalle individual'!$D$5:$D$295, A13), ""), "")</f>
        <v>95</v>
      </c>
      <c r="J13" s="23">
        <f>IF(C13&gt;0, IFERROR(_xlfn.MINIFS('Detalle individual'!$G$5:$G$295, 'Detalle individual'!$D$5:$D$295, A13), ""), "")</f>
        <v>46296.56951388889</v>
      </c>
      <c r="K13" s="23">
        <f>IF(C13&gt;0, IFERROR(_xlfn.MAXIFS('Detalle individual'!$H$5:$H$295, 'Detalle individual'!$D$5:$D$295, A13), ""), "")</f>
        <v>46304.692928240744</v>
      </c>
      <c r="L13" s="7">
        <f>IF(C13&gt;0, IFERROR(_xlfn.MINIFS('Detalle individual'!$I$5:$I$295, 'Detalle individual'!$D$5:$D$295, A13), ""), "")</f>
        <v>1.68333333333333</v>
      </c>
      <c r="M13" s="7">
        <f>IF(C13&gt;0, IFERROR(AVERAGEIFS('Detalle individual'!$I$5:$I$295, 'Detalle individual'!$D$5:$D$295, A13), ""), "")</f>
        <v>10.025</v>
      </c>
    </row>
    <row r="14">
      <c r="A14" s="5" t="inlineStr">
        <is>
          <t>Gerencia de Sistemas</t>
        </is>
      </c>
      <c r="B14" s="8">
        <f>COUNTIF('Detalle individual'!$D$5:$D$295, A14)</f>
        <v>23</v>
      </c>
      <c r="C14" s="8">
        <f>COUNTIFS('Detalle individual'!$D$5:$D$295, A14, 'Detalle individual'!$F$5:$F$295, "Completado")</f>
        <v>17</v>
      </c>
      <c r="D14" s="8">
        <f>B14-C14</f>
        <v>6</v>
      </c>
      <c r="E14" s="9">
        <f>IF(B14&gt;0, C14/B14, 0)</f>
        <v>0.739130434782609</v>
      </c>
      <c r="F14" s="4" t="str">
        <f>IF(AND(B14&gt;0, C14=B14), "Completo", "Pendiente")</f>
        <v>Pendiente</v>
      </c>
      <c r="G14" s="7">
        <f>IF(C14&gt;0, IFERROR(AVERAGEIFS('Detalle individual'!$J$5:$J$295, 'Detalle individual'!$D$5:$D$295, A14), ""), "")</f>
        <v>99.4117647058824</v>
      </c>
      <c r="H14" s="6">
        <f>IF(C14&gt;0, IFERROR(_xlfn.MAXIFS('Detalle individual'!$J$5:$J$295, 'Detalle individual'!$D$5:$D$295, A14), ""), "")</f>
        <v>100</v>
      </c>
      <c r="I14" s="6">
        <f>IF(C14&gt;0, IFERROR(_xlfn.MINIFS('Detalle individual'!$J$5:$J$295, 'Detalle individual'!$D$5:$D$295, A14), ""), "")</f>
        <v>95</v>
      </c>
      <c r="J14" s="23">
        <f>IF(C14&gt;0, IFERROR(_xlfn.MINIFS('Detalle individual'!$G$5:$G$295, 'Detalle individual'!$D$5:$D$295, A14), ""), "")</f>
        <v>46296.56962962963</v>
      </c>
      <c r="K14" s="23">
        <f>IF(C14&gt;0, IFERROR(_xlfn.MAXIFS('Detalle individual'!$H$5:$H$295, 'Detalle individual'!$D$5:$D$295, A14), ""), "")</f>
        <v>46304.407905092594</v>
      </c>
      <c r="L14" s="7">
        <f>IF(C14&gt;0, IFERROR(_xlfn.MINIFS('Detalle individual'!$I$5:$I$295, 'Detalle individual'!$D$5:$D$295, A14), ""), "")</f>
        <v>3.16666666666667</v>
      </c>
      <c r="M14" s="7">
        <f>IF(C14&gt;0, IFERROR(AVERAGEIFS('Detalle individual'!$I$5:$I$295, 'Detalle individual'!$D$5:$D$295, A14), ""), "")</f>
        <v>14.8254901960784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12" customWidth="1" min="3" max="3"/>
    <col width="46" customWidth="1" min="4" max="4"/>
    <col width="46" customWidth="1" min="5" max="5"/>
    <col width="46" customWidth="1" min="6" max="6"/>
    <col width="46" customWidth="1" min="7" max="7"/>
    <col width="46" customWidth="1" min="8" max="8"/>
    <col width="46" customWidth="1" min="9" max="9"/>
    <col width="46" customWidth="1" min="10" max="10"/>
    <col width="46" customWidth="1" min="11" max="11"/>
    <col width="46" customWidth="1" min="12" max="12"/>
  </cols>
  <sheetData>
    <row r="1">
      <c r="A1" s="1" t="inlineStr">
        <is>
          <t>DASHBOARD INTERACTIVO MULTI-GERENCIA</t>
        </is>
      </c>
    </row>
    <row r="2">
      <c r="A2" s="2" t="inlineStr">
        <is>
          <t>Marque con '1' las gerencias que desea visualizar en la tabla inferior.</t>
        </is>
      </c>
    </row>
    <row r="4">
      <c r="A4" s="10" t="n"/>
      <c r="B4" s="10" t="n"/>
      <c r="D4" s="3" t="inlineStr">
        <is>
          <t>Área / Departamento</t>
        </is>
      </c>
      <c r="E4" s="3" t="inlineStr">
        <is>
          <t>Gerencia Asignada</t>
        </is>
      </c>
      <c r="F4" s="3" t="inlineStr">
        <is>
          <t>Personal Esperado</t>
        </is>
      </c>
      <c r="G4" s="3" t="inlineStr">
        <is>
          <t>Personas Completadas</t>
        </is>
      </c>
      <c r="H4" s="3" t="inlineStr">
        <is>
          <t>Pendientes</t>
        </is>
      </c>
      <c r="I4" s="3" t="inlineStr">
        <is>
          <t>% Cumplimiento</t>
        </is>
      </c>
      <c r="J4" s="3" t="inlineStr">
        <is>
          <t>Estado</t>
        </is>
      </c>
      <c r="K4" s="3" t="inlineStr">
        <is>
          <t>Promedio Nota</t>
        </is>
      </c>
      <c r="L4" s="3" t="inlineStr">
        <is>
          <t>Última Finalización</t>
        </is>
      </c>
    </row>
    <row r="5">
      <c r="A5" s="5" t="inlineStr">
        <is>
          <t>Auditoría Interna</t>
        </is>
      </c>
      <c r="B5" s="11" t="n">
        <v>1</v>
      </c>
      <c r="D5" s="5" t="str">
        <f>IF(SUMIF($A$5:$A$14, 'Consolidado por área'!B5, $B$5:$B$14)&gt;=1, 'Consolidado por área'!A5, "")</f>
        <v/>
      </c>
      <c r="E5" s="5" t="str">
        <f>IF(SUMIF($A$5:$A$14, 'Consolidado por área'!B5, $B$5:$B$14)&gt;=1, 'Consolidado por área'!B5, "")</f>
        <v/>
      </c>
      <c r="F5" s="8" t="str">
        <f>IF(SUMIF($A$5:$A$14, 'Consolidado por área'!B5, $B$5:$B$14)&gt;=1, 'Consolidado por área'!C5, "")</f>
        <v/>
      </c>
      <c r="G5" s="8" t="str">
        <f>IF(SUMIF($A$5:$A$14, 'Consolidado por área'!B5, $B$5:$B$14)&gt;=1, 'Consolidado por área'!D5, "")</f>
        <v/>
      </c>
      <c r="H5" s="8" t="str">
        <f>IF(SUMIF($A$5:$A$14, 'Consolidado por área'!B5, $B$5:$B$14)&gt;=1, 'Consolidado por área'!E5, "")</f>
        <v/>
      </c>
      <c r="I5" s="9" t="str">
        <f>IF(SUMIF($A$5:$A$14, 'Consolidado por área'!B5, $B$5:$B$14)&gt;=1, 'Consolidado por área'!F5, "")</f>
        <v/>
      </c>
      <c r="J5" s="4" t="str">
        <f>IF(SUMIF($A$5:$A$14, 'Consolidado por área'!B5, $B$5:$B$14)&gt;=1, 'Consolidado por área'!G5, "")</f>
        <v/>
      </c>
      <c r="K5" s="7" t="str">
        <f>IF(SUMIF($A$5:$A$14, 'Consolidado por área'!B5, $B$5:$B$14)&gt;=1, 'Consolidado por área'!H5, "")</f>
        <v/>
      </c>
      <c r="L5" s="23" t="str">
        <f>IF(SUMIF($A$5:$A$14, 'Consolidado por área'!B5, $B$5:$B$14)&gt;=1, 'Consolidado por área'!L5, "")</f>
        <v/>
      </c>
    </row>
    <row r="6">
      <c r="A6" s="5" t="inlineStr">
        <is>
          <t>Gerencia Administrativa</t>
        </is>
      </c>
      <c r="B6" s="11" t="n">
        <v>1</v>
      </c>
      <c r="D6" s="5" t="str">
        <f>IF(SUMIF($A$5:$A$14, 'Consolidado por área'!B6, $B$5:$B$14)&gt;=1, 'Consolidado por área'!A6, "")</f>
        <v/>
      </c>
      <c r="E6" s="5" t="str">
        <f>IF(SUMIF($A$5:$A$14, 'Consolidado por área'!B6, $B$5:$B$14)&gt;=1, 'Consolidado por área'!B6, "")</f>
        <v/>
      </c>
      <c r="F6" s="8" t="str">
        <f>IF(SUMIF($A$5:$A$14, 'Consolidado por área'!B6, $B$5:$B$14)&gt;=1, 'Consolidado por área'!C6, "")</f>
        <v/>
      </c>
      <c r="G6" s="8" t="str">
        <f>IF(SUMIF($A$5:$A$14, 'Consolidado por área'!B6, $B$5:$B$14)&gt;=1, 'Consolidado por área'!D6, "")</f>
        <v/>
      </c>
      <c r="H6" s="8" t="str">
        <f>IF(SUMIF($A$5:$A$14, 'Consolidado por área'!B6, $B$5:$B$14)&gt;=1, 'Consolidado por área'!E6, "")</f>
        <v/>
      </c>
      <c r="I6" s="9" t="str">
        <f>IF(SUMIF($A$5:$A$14, 'Consolidado por área'!B6, $B$5:$B$14)&gt;=1, 'Consolidado por área'!F6, "")</f>
        <v/>
      </c>
      <c r="J6" s="4" t="str">
        <f>IF(SUMIF($A$5:$A$14, 'Consolidado por área'!B6, $B$5:$B$14)&gt;=1, 'Consolidado por área'!G6, "")</f>
        <v/>
      </c>
      <c r="K6" s="7" t="str">
        <f>IF(SUMIF($A$5:$A$14, 'Consolidado por área'!B6, $B$5:$B$14)&gt;=1, 'Consolidado por área'!H6, "")</f>
        <v/>
      </c>
      <c r="L6" s="23" t="str">
        <f>IF(SUMIF($A$5:$A$14, 'Consolidado por área'!B6, $B$5:$B$14)&gt;=1, 'Consolidado por área'!L6, "")</f>
        <v/>
      </c>
    </row>
    <row r="7">
      <c r="A7" s="5" t="inlineStr">
        <is>
          <t>Gerencia General</t>
        </is>
      </c>
      <c r="B7" s="11" t="inlineStr"/>
      <c r="D7" s="5" t="str">
        <f>IF(SUMIF($A$5:$A$14, 'Consolidado por área'!B7, $B$5:$B$14)&gt;=1, 'Consolidado por área'!A7, "")</f>
        <v/>
      </c>
      <c r="E7" s="5" t="str">
        <f>IF(SUMIF($A$5:$A$14, 'Consolidado por área'!B7, $B$5:$B$14)&gt;=1, 'Consolidado por área'!B7, "")</f>
        <v/>
      </c>
      <c r="F7" s="8" t="str">
        <f>IF(SUMIF($A$5:$A$14, 'Consolidado por área'!B7, $B$5:$B$14)&gt;=1, 'Consolidado por área'!C7, "")</f>
        <v/>
      </c>
      <c r="G7" s="8" t="str">
        <f>IF(SUMIF($A$5:$A$14, 'Consolidado por área'!B7, $B$5:$B$14)&gt;=1, 'Consolidado por área'!D7, "")</f>
        <v/>
      </c>
      <c r="H7" s="8" t="str">
        <f>IF(SUMIF($A$5:$A$14, 'Consolidado por área'!B7, $B$5:$B$14)&gt;=1, 'Consolidado por área'!E7, "")</f>
        <v/>
      </c>
      <c r="I7" s="9" t="str">
        <f>IF(SUMIF($A$5:$A$14, 'Consolidado por área'!B7, $B$5:$B$14)&gt;=1, 'Consolidado por área'!F7, "")</f>
        <v/>
      </c>
      <c r="J7" s="4" t="str">
        <f>IF(SUMIF($A$5:$A$14, 'Consolidado por área'!B7, $B$5:$B$14)&gt;=1, 'Consolidado por área'!G7, "")</f>
        <v/>
      </c>
      <c r="K7" s="7" t="str">
        <f>IF(SUMIF($A$5:$A$14, 'Consolidado por área'!B7, $B$5:$B$14)&gt;=1, 'Consolidado por área'!H7, "")</f>
        <v/>
      </c>
      <c r="L7" s="23" t="str">
        <f>IF(SUMIF($A$5:$A$14, 'Consolidado por área'!B7, $B$5:$B$14)&gt;=1, 'Consolidado por área'!L7, "")</f>
        <v/>
      </c>
    </row>
    <row r="8">
      <c r="A8" s="5" t="inlineStr">
        <is>
          <t>Gerencia Legal y Cumplimiento Normativo</t>
        </is>
      </c>
      <c r="B8" s="11" t="inlineStr"/>
      <c r="D8" s="5" t="str">
        <f>IF(SUMIF($A$5:$A$14, 'Consolidado por área'!B8, $B$5:$B$14)&gt;=1, 'Consolidado por área'!A8, "")</f>
        <v/>
      </c>
      <c r="E8" s="5" t="str">
        <f>IF(SUMIF($A$5:$A$14, 'Consolidado por área'!B8, $B$5:$B$14)&gt;=1, 'Consolidado por área'!B8, "")</f>
        <v/>
      </c>
      <c r="F8" s="8" t="str">
        <f>IF(SUMIF($A$5:$A$14, 'Consolidado por área'!B8, $B$5:$B$14)&gt;=1, 'Consolidado por área'!C8, "")</f>
        <v/>
      </c>
      <c r="G8" s="8" t="str">
        <f>IF(SUMIF($A$5:$A$14, 'Consolidado por área'!B8, $B$5:$B$14)&gt;=1, 'Consolidado por área'!D8, "")</f>
        <v/>
      </c>
      <c r="H8" s="8" t="str">
        <f>IF(SUMIF($A$5:$A$14, 'Consolidado por área'!B8, $B$5:$B$14)&gt;=1, 'Consolidado por área'!E8, "")</f>
        <v/>
      </c>
      <c r="I8" s="9" t="str">
        <f>IF(SUMIF($A$5:$A$14, 'Consolidado por área'!B8, $B$5:$B$14)&gt;=1, 'Consolidado por área'!F8, "")</f>
        <v/>
      </c>
      <c r="J8" s="4" t="str">
        <f>IF(SUMIF($A$5:$A$14, 'Consolidado por área'!B8, $B$5:$B$14)&gt;=1, 'Consolidado por área'!G8, "")</f>
        <v/>
      </c>
      <c r="K8" s="7" t="str">
        <f>IF(SUMIF($A$5:$A$14, 'Consolidado por área'!B8, $B$5:$B$14)&gt;=1, 'Consolidado por área'!H8, "")</f>
        <v/>
      </c>
      <c r="L8" s="23" t="str">
        <f>IF(SUMIF($A$5:$A$14, 'Consolidado por área'!B8, $B$5:$B$14)&gt;=1, 'Consolidado por área'!L8, "")</f>
        <v/>
      </c>
    </row>
    <row r="9">
      <c r="A9" s="5" t="inlineStr">
        <is>
          <t>Gerencia de Finanzas y Planificación</t>
        </is>
      </c>
      <c r="B9" s="11" t="inlineStr"/>
      <c r="D9" s="5" t="str">
        <f>IF(SUMIF($A$5:$A$14, 'Consolidado por área'!B9, $B$5:$B$14)&gt;=1, 'Consolidado por área'!A9, "")</f>
        <v/>
      </c>
      <c r="E9" s="5" t="str">
        <f>IF(SUMIF($A$5:$A$14, 'Consolidado por área'!B9, $B$5:$B$14)&gt;=1, 'Consolidado por área'!B9, "")</f>
        <v/>
      </c>
      <c r="F9" s="8" t="str">
        <f>IF(SUMIF($A$5:$A$14, 'Consolidado por área'!B9, $B$5:$B$14)&gt;=1, 'Consolidado por área'!C9, "")</f>
        <v/>
      </c>
      <c r="G9" s="8" t="str">
        <f>IF(SUMIF($A$5:$A$14, 'Consolidado por área'!B9, $B$5:$B$14)&gt;=1, 'Consolidado por área'!D9, "")</f>
        <v/>
      </c>
      <c r="H9" s="8" t="str">
        <f>IF(SUMIF($A$5:$A$14, 'Consolidado por área'!B9, $B$5:$B$14)&gt;=1, 'Consolidado por área'!E9, "")</f>
        <v/>
      </c>
      <c r="I9" s="9" t="str">
        <f>IF(SUMIF($A$5:$A$14, 'Consolidado por área'!B9, $B$5:$B$14)&gt;=1, 'Consolidado por área'!F9, "")</f>
        <v/>
      </c>
      <c r="J9" s="4" t="str">
        <f>IF(SUMIF($A$5:$A$14, 'Consolidado por área'!B9, $B$5:$B$14)&gt;=1, 'Consolidado por área'!G9, "")</f>
        <v/>
      </c>
      <c r="K9" s="7" t="str">
        <f>IF(SUMIF($A$5:$A$14, 'Consolidado por área'!B9, $B$5:$B$14)&gt;=1, 'Consolidado por área'!H9, "")</f>
        <v/>
      </c>
      <c r="L9" s="23" t="str">
        <f>IF(SUMIF($A$5:$A$14, 'Consolidado por área'!B9, $B$5:$B$14)&gt;=1, 'Consolidado por área'!L9, "")</f>
        <v/>
      </c>
    </row>
    <row r="10">
      <c r="A10" s="5" t="inlineStr">
        <is>
          <t>Gerencia de Negocios</t>
        </is>
      </c>
      <c r="B10" s="11" t="inlineStr"/>
      <c r="D10" s="5" t="str">
        <f>IF(SUMIF($A$5:$A$14, 'Consolidado por área'!B10, $B$5:$B$14)&gt;=1, 'Consolidado por área'!A10, "")</f>
        <v/>
      </c>
      <c r="E10" s="5" t="str">
        <f>IF(SUMIF($A$5:$A$14, 'Consolidado por área'!B10, $B$5:$B$14)&gt;=1, 'Consolidado por área'!B10, "")</f>
        <v/>
      </c>
      <c r="F10" s="8" t="str">
        <f>IF(SUMIF($A$5:$A$14, 'Consolidado por área'!B10, $B$5:$B$14)&gt;=1, 'Consolidado por área'!C10, "")</f>
        <v/>
      </c>
      <c r="G10" s="8" t="str">
        <f>IF(SUMIF($A$5:$A$14, 'Consolidado por área'!B10, $B$5:$B$14)&gt;=1, 'Consolidado por área'!D10, "")</f>
        <v/>
      </c>
      <c r="H10" s="8" t="str">
        <f>IF(SUMIF($A$5:$A$14, 'Consolidado por área'!B10, $B$5:$B$14)&gt;=1, 'Consolidado por área'!E10, "")</f>
        <v/>
      </c>
      <c r="I10" s="9" t="str">
        <f>IF(SUMIF($A$5:$A$14, 'Consolidado por área'!B10, $B$5:$B$14)&gt;=1, 'Consolidado por área'!F10, "")</f>
        <v/>
      </c>
      <c r="J10" s="4" t="str">
        <f>IF(SUMIF($A$5:$A$14, 'Consolidado por área'!B10, $B$5:$B$14)&gt;=1, 'Consolidado por área'!G10, "")</f>
        <v/>
      </c>
      <c r="K10" s="7" t="str">
        <f>IF(SUMIF($A$5:$A$14, 'Consolidado por área'!B10, $B$5:$B$14)&gt;=1, 'Consolidado por área'!H10, "")</f>
        <v/>
      </c>
      <c r="L10" s="23" t="str">
        <f>IF(SUMIF($A$5:$A$14, 'Consolidado por área'!B10, $B$5:$B$14)&gt;=1, 'Consolidado por área'!L10, "")</f>
        <v/>
      </c>
    </row>
    <row r="11">
      <c r="A11" s="5" t="inlineStr">
        <is>
          <t>Gerencia de Negocios (Agencias)</t>
        </is>
      </c>
      <c r="B11" s="11" t="inlineStr"/>
      <c r="D11" s="5" t="str">
        <f>IF(SUMIF($A$5:$A$14, 'Consolidado por área'!B11, $B$5:$B$14)&gt;=1, 'Consolidado por área'!A11, "")</f>
        <v/>
      </c>
      <c r="E11" s="5" t="str">
        <f>IF(SUMIF($A$5:$A$14, 'Consolidado por área'!B11, $B$5:$B$14)&gt;=1, 'Consolidado por área'!B11, "")</f>
        <v/>
      </c>
      <c r="F11" s="8" t="str">
        <f>IF(SUMIF($A$5:$A$14, 'Consolidado por área'!B11, $B$5:$B$14)&gt;=1, 'Consolidado por área'!C11, "")</f>
        <v/>
      </c>
      <c r="G11" s="8" t="str">
        <f>IF(SUMIF($A$5:$A$14, 'Consolidado por área'!B11, $B$5:$B$14)&gt;=1, 'Consolidado por área'!D11, "")</f>
        <v/>
      </c>
      <c r="H11" s="8" t="str">
        <f>IF(SUMIF($A$5:$A$14, 'Consolidado por área'!B11, $B$5:$B$14)&gt;=1, 'Consolidado por área'!E11, "")</f>
        <v/>
      </c>
      <c r="I11" s="9" t="str">
        <f>IF(SUMIF($A$5:$A$14, 'Consolidado por área'!B11, $B$5:$B$14)&gt;=1, 'Consolidado por área'!F11, "")</f>
        <v/>
      </c>
      <c r="J11" s="4" t="str">
        <f>IF(SUMIF($A$5:$A$14, 'Consolidado por área'!B11, $B$5:$B$14)&gt;=1, 'Consolidado por área'!G11, "")</f>
        <v/>
      </c>
      <c r="K11" s="7" t="str">
        <f>IF(SUMIF($A$5:$A$14, 'Consolidado por área'!B11, $B$5:$B$14)&gt;=1, 'Consolidado por área'!H11, "")</f>
        <v/>
      </c>
      <c r="L11" s="23" t="str">
        <f>IF(SUMIF($A$5:$A$14, 'Consolidado por área'!B11, $B$5:$B$14)&gt;=1, 'Consolidado por área'!L11, "")</f>
        <v/>
      </c>
    </row>
    <row r="12">
      <c r="A12" s="5" t="inlineStr">
        <is>
          <t>Gerencia de Oficialía de Cumplimiento</t>
        </is>
      </c>
      <c r="B12" s="11" t="inlineStr"/>
      <c r="D12" s="5" t="str">
        <f>IF(SUMIF($A$5:$A$14, 'Consolidado por área'!B12, $B$5:$B$14)&gt;=1, 'Consolidado por área'!A12, "")</f>
        <v/>
      </c>
      <c r="E12" s="5" t="str">
        <f>IF(SUMIF($A$5:$A$14, 'Consolidado por área'!B12, $B$5:$B$14)&gt;=1, 'Consolidado por área'!B12, "")</f>
        <v/>
      </c>
      <c r="F12" s="8" t="str">
        <f>IF(SUMIF($A$5:$A$14, 'Consolidado por área'!B12, $B$5:$B$14)&gt;=1, 'Consolidado por área'!C12, "")</f>
        <v/>
      </c>
      <c r="G12" s="8" t="str">
        <f>IF(SUMIF($A$5:$A$14, 'Consolidado por área'!B12, $B$5:$B$14)&gt;=1, 'Consolidado por área'!D12, "")</f>
        <v/>
      </c>
      <c r="H12" s="8" t="str">
        <f>IF(SUMIF($A$5:$A$14, 'Consolidado por área'!B12, $B$5:$B$14)&gt;=1, 'Consolidado por área'!E12, "")</f>
        <v/>
      </c>
      <c r="I12" s="9" t="str">
        <f>IF(SUMIF($A$5:$A$14, 'Consolidado por área'!B12, $B$5:$B$14)&gt;=1, 'Consolidado por área'!F12, "")</f>
        <v/>
      </c>
      <c r="J12" s="4" t="str">
        <f>IF(SUMIF($A$5:$A$14, 'Consolidado por área'!B12, $B$5:$B$14)&gt;=1, 'Consolidado por área'!G12, "")</f>
        <v/>
      </c>
      <c r="K12" s="7" t="str">
        <f>IF(SUMIF($A$5:$A$14, 'Consolidado por área'!B12, $B$5:$B$14)&gt;=1, 'Consolidado por área'!H12, "")</f>
        <v/>
      </c>
      <c r="L12" s="23" t="str">
        <f>IF(SUMIF($A$5:$A$14, 'Consolidado por área'!B12, $B$5:$B$14)&gt;=1, 'Consolidado por área'!L12, "")</f>
        <v/>
      </c>
    </row>
    <row r="13">
      <c r="A13" s="5" t="inlineStr">
        <is>
          <t>Gerencia de Operaciones</t>
        </is>
      </c>
      <c r="B13" s="11" t="inlineStr"/>
      <c r="D13" s="5" t="str">
        <f>IF(SUMIF($A$5:$A$14, 'Consolidado por área'!B13, $B$5:$B$14)&gt;=1, 'Consolidado por área'!A13, "")</f>
        <v/>
      </c>
      <c r="E13" s="5" t="str">
        <f>IF(SUMIF($A$5:$A$14, 'Consolidado por área'!B13, $B$5:$B$14)&gt;=1, 'Consolidado por área'!B13, "")</f>
        <v/>
      </c>
      <c r="F13" s="8" t="str">
        <f>IF(SUMIF($A$5:$A$14, 'Consolidado por área'!B13, $B$5:$B$14)&gt;=1, 'Consolidado por área'!C13, "")</f>
        <v/>
      </c>
      <c r="G13" s="8" t="str">
        <f>IF(SUMIF($A$5:$A$14, 'Consolidado por área'!B13, $B$5:$B$14)&gt;=1, 'Consolidado por área'!D13, "")</f>
        <v/>
      </c>
      <c r="H13" s="8" t="str">
        <f>IF(SUMIF($A$5:$A$14, 'Consolidado por área'!B13, $B$5:$B$14)&gt;=1, 'Consolidado por área'!E13, "")</f>
        <v/>
      </c>
      <c r="I13" s="9" t="str">
        <f>IF(SUMIF($A$5:$A$14, 'Consolidado por área'!B13, $B$5:$B$14)&gt;=1, 'Consolidado por área'!F13, "")</f>
        <v/>
      </c>
      <c r="J13" s="4" t="str">
        <f>IF(SUMIF($A$5:$A$14, 'Consolidado por área'!B13, $B$5:$B$14)&gt;=1, 'Consolidado por área'!G13, "")</f>
        <v/>
      </c>
      <c r="K13" s="7" t="str">
        <f>IF(SUMIF($A$5:$A$14, 'Consolidado por área'!B13, $B$5:$B$14)&gt;=1, 'Consolidado por área'!H13, "")</f>
        <v/>
      </c>
      <c r="L13" s="23" t="str">
        <f>IF(SUMIF($A$5:$A$14, 'Consolidado por área'!B13, $B$5:$B$14)&gt;=1, 'Consolidado por área'!L13, "")</f>
        <v/>
      </c>
    </row>
    <row r="14">
      <c r="A14" s="5" t="inlineStr">
        <is>
          <t>Gerencia de Sistemas</t>
        </is>
      </c>
      <c r="B14" s="11" t="inlineStr"/>
      <c r="D14" s="5" t="str">
        <f>IF(SUMIF($A$5:$A$14, 'Consolidado por área'!B14, $B$5:$B$14)&gt;=1, 'Consolidado por área'!A14, "")</f>
        <v/>
      </c>
      <c r="E14" s="5" t="str">
        <f>IF(SUMIF($A$5:$A$14, 'Consolidado por área'!B14, $B$5:$B$14)&gt;=1, 'Consolidado por área'!B14, "")</f>
        <v/>
      </c>
      <c r="F14" s="8" t="str">
        <f>IF(SUMIF($A$5:$A$14, 'Consolidado por área'!B14, $B$5:$B$14)&gt;=1, 'Consolidado por área'!C14, "")</f>
        <v/>
      </c>
      <c r="G14" s="8" t="str">
        <f>IF(SUMIF($A$5:$A$14, 'Consolidado por área'!B14, $B$5:$B$14)&gt;=1, 'Consolidado por área'!D14, "")</f>
        <v/>
      </c>
      <c r="H14" s="8" t="str">
        <f>IF(SUMIF($A$5:$A$14, 'Consolidado por área'!B14, $B$5:$B$14)&gt;=1, 'Consolidado por área'!E14, "")</f>
        <v/>
      </c>
      <c r="I14" s="9" t="str">
        <f>IF(SUMIF($A$5:$A$14, 'Consolidado por área'!B14, $B$5:$B$14)&gt;=1, 'Consolidado por área'!F14, "")</f>
        <v/>
      </c>
      <c r="J14" s="4" t="str">
        <f>IF(SUMIF($A$5:$A$14, 'Consolidado por área'!B14, $B$5:$B$14)&gt;=1, 'Consolidado por área'!G14, "")</f>
        <v/>
      </c>
      <c r="K14" s="7" t="str">
        <f>IF(SUMIF($A$5:$A$14, 'Consolidado por área'!B14, $B$5:$B$14)&gt;=1, 'Consolidado por área'!H14, "")</f>
        <v/>
      </c>
      <c r="L14" s="23" t="str">
        <f>IF(SUMIF($A$5:$A$14, 'Consolidado por área'!B14, $B$5:$B$14)&gt;=1, 'Consolidado por área'!L14, "")</f>
        <v/>
      </c>
    </row>
    <row r="15">
      <c r="D15" s="5" t="str">
        <f>IF(SUMIF($A$5:$A$14, 'Consolidado por área'!B15, $B$5:$B$14)&gt;=1, 'Consolidado por área'!A15, "")</f>
        <v/>
      </c>
      <c r="E15" s="5" t="str">
        <f>IF(SUMIF($A$5:$A$14, 'Consolidado por área'!B15, $B$5:$B$14)&gt;=1, 'Consolidado por área'!B15, "")</f>
        <v/>
      </c>
      <c r="F15" s="8" t="str">
        <f>IF(SUMIF($A$5:$A$14, 'Consolidado por área'!B15, $B$5:$B$14)&gt;=1, 'Consolidado por área'!C15, "")</f>
        <v/>
      </c>
      <c r="G15" s="8" t="str">
        <f>IF(SUMIF($A$5:$A$14, 'Consolidado por área'!B15, $B$5:$B$14)&gt;=1, 'Consolidado por área'!D15, "")</f>
        <v/>
      </c>
      <c r="H15" s="8" t="str">
        <f>IF(SUMIF($A$5:$A$14, 'Consolidado por área'!B15, $B$5:$B$14)&gt;=1, 'Consolidado por área'!E15, "")</f>
        <v/>
      </c>
      <c r="I15" s="9" t="str">
        <f>IF(SUMIF($A$5:$A$14, 'Consolidado por área'!B15, $B$5:$B$14)&gt;=1, 'Consolidado por área'!F15, "")</f>
        <v/>
      </c>
      <c r="J15" s="4" t="str">
        <f>IF(SUMIF($A$5:$A$14, 'Consolidado por área'!B15, $B$5:$B$14)&gt;=1, 'Consolidado por área'!G15, "")</f>
        <v/>
      </c>
      <c r="K15" s="7" t="str">
        <f>IF(SUMIF($A$5:$A$14, 'Consolidado por área'!B15, $B$5:$B$14)&gt;=1, 'Consolidado por área'!H15, "")</f>
        <v/>
      </c>
      <c r="L15" s="23" t="str">
        <f>IF(SUMIF($A$5:$A$14, 'Consolidado por área'!B15, $B$5:$B$14)&gt;=1, 'Consolidado por área'!L15, "")</f>
        <v/>
      </c>
    </row>
    <row r="16">
      <c r="D16" s="5" t="str">
        <f>IF(SUMIF($A$5:$A$14, 'Consolidado por área'!B16, $B$5:$B$14)&gt;=1, 'Consolidado por área'!A16, "")</f>
        <v/>
      </c>
      <c r="E16" s="5" t="str">
        <f>IF(SUMIF($A$5:$A$14, 'Consolidado por área'!B16, $B$5:$B$14)&gt;=1, 'Consolidado por área'!B16, "")</f>
        <v/>
      </c>
      <c r="F16" s="8" t="str">
        <f>IF(SUMIF($A$5:$A$14, 'Consolidado por área'!B16, $B$5:$B$14)&gt;=1, 'Consolidado por área'!C16, "")</f>
        <v/>
      </c>
      <c r="G16" s="8" t="str">
        <f>IF(SUMIF($A$5:$A$14, 'Consolidado por área'!B16, $B$5:$B$14)&gt;=1, 'Consolidado por área'!D16, "")</f>
        <v/>
      </c>
      <c r="H16" s="8" t="str">
        <f>IF(SUMIF($A$5:$A$14, 'Consolidado por área'!B16, $B$5:$B$14)&gt;=1, 'Consolidado por área'!E16, "")</f>
        <v/>
      </c>
      <c r="I16" s="9" t="str">
        <f>IF(SUMIF($A$5:$A$14, 'Consolidado por área'!B16, $B$5:$B$14)&gt;=1, 'Consolidado por área'!F16, "")</f>
        <v/>
      </c>
      <c r="J16" s="4" t="str">
        <f>IF(SUMIF($A$5:$A$14, 'Consolidado por área'!B16, $B$5:$B$14)&gt;=1, 'Consolidado por área'!G16, "")</f>
        <v/>
      </c>
      <c r="K16" s="7" t="str">
        <f>IF(SUMIF($A$5:$A$14, 'Consolidado por área'!B16, $B$5:$B$14)&gt;=1, 'Consolidado por área'!H16, "")</f>
        <v/>
      </c>
      <c r="L16" s="23" t="str">
        <f>IF(SUMIF($A$5:$A$14, 'Consolidado por área'!B16, $B$5:$B$14)&gt;=1, 'Consolidado por área'!L16, "")</f>
        <v/>
      </c>
    </row>
    <row r="17">
      <c r="D17" s="5" t="str">
        <f>IF(SUMIF($A$5:$A$14, 'Consolidado por área'!B17, $B$5:$B$14)&gt;=1, 'Consolidado por área'!A17, "")</f>
        <v>CLINICA EMPRESARIAL</v>
      </c>
      <c r="E17" s="5" t="str">
        <f>IF(SUMIF($A$5:$A$14, 'Consolidado por área'!B17, $B$5:$B$14)&gt;=1, 'Consolidado por área'!B17, "")</f>
        <v>Gerencia Administrativa</v>
      </c>
      <c r="F17" s="8">
        <f>IF(SUMIF($A$5:$A$14, 'Consolidado por área'!B17, $B$5:$B$14)&gt;=1, 'Consolidado por área'!C17, "")</f>
        <v>2</v>
      </c>
      <c r="G17" s="8">
        <f>IF(SUMIF($A$5:$A$14, 'Consolidado por área'!B17, $B$5:$B$14)&gt;=1, 'Consolidado por área'!D17, "")</f>
        <v>0</v>
      </c>
      <c r="H17" s="8">
        <f>IF(SUMIF($A$5:$A$14, 'Consolidado por área'!B17, $B$5:$B$14)&gt;=1, 'Consolidado por área'!E17, "")</f>
        <v>2</v>
      </c>
      <c r="I17" s="9">
        <f>IF(SUMIF($A$5:$A$14, 'Consolidado por área'!B17, $B$5:$B$14)&gt;=1, 'Consolidado por área'!F17, "")</f>
        <v>0</v>
      </c>
      <c r="J17" s="4" t="str">
        <f>IF(SUMIF($A$5:$A$14, 'Consolidado por área'!B17, $B$5:$B$14)&gt;=1, 'Consolidado por área'!G17, "")</f>
        <v>Pendiente</v>
      </c>
      <c r="K17" s="7" t="str">
        <f>IF(SUMIF($A$5:$A$14, 'Consolidado por área'!B17, $B$5:$B$14)&gt;=1, 'Consolidado por área'!H17, "")</f>
        <v/>
      </c>
      <c r="L17" s="23" t="str">
        <f>IF(SUMIF($A$5:$A$14, 'Consolidado por área'!B17, $B$5:$B$14)&gt;=1, 'Consolidado por área'!L17, "")</f>
        <v/>
      </c>
    </row>
    <row r="18">
      <c r="D18" s="5" t="str">
        <f>IF(SUMIF($A$5:$A$14, 'Consolidado por área'!B18, $B$5:$B$14)&gt;=1, 'Consolidado por área'!A18, "")</f>
        <v/>
      </c>
      <c r="E18" s="5" t="str">
        <f>IF(SUMIF($A$5:$A$14, 'Consolidado por área'!B18, $B$5:$B$14)&gt;=1, 'Consolidado por área'!B18, "")</f>
        <v/>
      </c>
      <c r="F18" s="8" t="str">
        <f>IF(SUMIF($A$5:$A$14, 'Consolidado por área'!B18, $B$5:$B$14)&gt;=1, 'Consolidado por área'!C18, "")</f>
        <v/>
      </c>
      <c r="G18" s="8" t="str">
        <f>IF(SUMIF($A$5:$A$14, 'Consolidado por área'!B18, $B$5:$B$14)&gt;=1, 'Consolidado por área'!D18, "")</f>
        <v/>
      </c>
      <c r="H18" s="8" t="str">
        <f>IF(SUMIF($A$5:$A$14, 'Consolidado por área'!B18, $B$5:$B$14)&gt;=1, 'Consolidado por área'!E18, "")</f>
        <v/>
      </c>
      <c r="I18" s="9" t="str">
        <f>IF(SUMIF($A$5:$A$14, 'Consolidado por área'!B18, $B$5:$B$14)&gt;=1, 'Consolidado por área'!F18, "")</f>
        <v/>
      </c>
      <c r="J18" s="4" t="str">
        <f>IF(SUMIF($A$5:$A$14, 'Consolidado por área'!B18, $B$5:$B$14)&gt;=1, 'Consolidado por área'!G18, "")</f>
        <v/>
      </c>
      <c r="K18" s="7" t="str">
        <f>IF(SUMIF($A$5:$A$14, 'Consolidado por área'!B18, $B$5:$B$14)&gt;=1, 'Consolidado por área'!H18, "")</f>
        <v/>
      </c>
      <c r="L18" s="23" t="str">
        <f>IF(SUMIF($A$5:$A$14, 'Consolidado por área'!B18, $B$5:$B$14)&gt;=1, 'Consolidado por área'!L18, "")</f>
        <v/>
      </c>
    </row>
    <row r="19">
      <c r="D19" s="5" t="str">
        <f>IF(SUMIF($A$5:$A$14, 'Consolidado por área'!B19, $B$5:$B$14)&gt;=1, 'Consolidado por área'!A19, "")</f>
        <v/>
      </c>
      <c r="E19" s="5" t="str">
        <f>IF(SUMIF($A$5:$A$14, 'Consolidado por área'!B19, $B$5:$B$14)&gt;=1, 'Consolidado por área'!B19, "")</f>
        <v/>
      </c>
      <c r="F19" s="8" t="str">
        <f>IF(SUMIF($A$5:$A$14, 'Consolidado por área'!B19, $B$5:$B$14)&gt;=1, 'Consolidado por área'!C19, "")</f>
        <v/>
      </c>
      <c r="G19" s="8" t="str">
        <f>IF(SUMIF($A$5:$A$14, 'Consolidado por área'!B19, $B$5:$B$14)&gt;=1, 'Consolidado por área'!D19, "")</f>
        <v/>
      </c>
      <c r="H19" s="8" t="str">
        <f>IF(SUMIF($A$5:$A$14, 'Consolidado por área'!B19, $B$5:$B$14)&gt;=1, 'Consolidado por área'!E19, "")</f>
        <v/>
      </c>
      <c r="I19" s="9" t="str">
        <f>IF(SUMIF($A$5:$A$14, 'Consolidado por área'!B19, $B$5:$B$14)&gt;=1, 'Consolidado por área'!F19, "")</f>
        <v/>
      </c>
      <c r="J19" s="4" t="str">
        <f>IF(SUMIF($A$5:$A$14, 'Consolidado por área'!B19, $B$5:$B$14)&gt;=1, 'Consolidado por área'!G19, "")</f>
        <v/>
      </c>
      <c r="K19" s="7" t="str">
        <f>IF(SUMIF($A$5:$A$14, 'Consolidado por área'!B19, $B$5:$B$14)&gt;=1, 'Consolidado por área'!H19, "")</f>
        <v/>
      </c>
      <c r="L19" s="23" t="str">
        <f>IF(SUMIF($A$5:$A$14, 'Consolidado por área'!B19, $B$5:$B$14)&gt;=1, 'Consolidado por área'!L19, "")</f>
        <v/>
      </c>
    </row>
    <row r="20">
      <c r="D20" s="5" t="str">
        <f>IF(SUMIF($A$5:$A$14, 'Consolidado por área'!B20, $B$5:$B$14)&gt;=1, 'Consolidado por área'!A20, "")</f>
        <v/>
      </c>
      <c r="E20" s="5" t="str">
        <f>IF(SUMIF($A$5:$A$14, 'Consolidado por área'!B20, $B$5:$B$14)&gt;=1, 'Consolidado por área'!B20, "")</f>
        <v/>
      </c>
      <c r="F20" s="8" t="str">
        <f>IF(SUMIF($A$5:$A$14, 'Consolidado por área'!B20, $B$5:$B$14)&gt;=1, 'Consolidado por área'!C20, "")</f>
        <v/>
      </c>
      <c r="G20" s="8" t="str">
        <f>IF(SUMIF($A$5:$A$14, 'Consolidado por área'!B20, $B$5:$B$14)&gt;=1, 'Consolidado por área'!D20, "")</f>
        <v/>
      </c>
      <c r="H20" s="8" t="str">
        <f>IF(SUMIF($A$5:$A$14, 'Consolidado por área'!B20, $B$5:$B$14)&gt;=1, 'Consolidado por área'!E20, "")</f>
        <v/>
      </c>
      <c r="I20" s="9" t="str">
        <f>IF(SUMIF($A$5:$A$14, 'Consolidado por área'!B20, $B$5:$B$14)&gt;=1, 'Consolidado por área'!F20, "")</f>
        <v/>
      </c>
      <c r="J20" s="4" t="str">
        <f>IF(SUMIF($A$5:$A$14, 'Consolidado por área'!B20, $B$5:$B$14)&gt;=1, 'Consolidado por área'!G20, "")</f>
        <v/>
      </c>
      <c r="K20" s="7" t="str">
        <f>IF(SUMIF($A$5:$A$14, 'Consolidado por área'!B20, $B$5:$B$14)&gt;=1, 'Consolidado por área'!H20, "")</f>
        <v/>
      </c>
      <c r="L20" s="23" t="str">
        <f>IF(SUMIF($A$5:$A$14, 'Consolidado por área'!B20, $B$5:$B$14)&gt;=1, 'Consolidado por área'!L20, "")</f>
        <v/>
      </c>
    </row>
    <row r="21">
      <c r="D21" s="5" t="str">
        <f>IF(SUMIF($A$5:$A$14, 'Consolidado por área'!B21, $B$5:$B$14)&gt;=1, 'Consolidado por área'!A21, "")</f>
        <v>DEPARTAMENTO DE AUDITORIA INTERNA</v>
      </c>
      <c r="E21" s="5" t="str">
        <f>IF(SUMIF($A$5:$A$14, 'Consolidado por área'!B21, $B$5:$B$14)&gt;=1, 'Consolidado por área'!B21, "")</f>
        <v>Auditoría Interna</v>
      </c>
      <c r="F21" s="8">
        <f>IF(SUMIF($A$5:$A$14, 'Consolidado por área'!B21, $B$5:$B$14)&gt;=1, 'Consolidado por área'!C21, "")</f>
        <v>7</v>
      </c>
      <c r="G21" s="8">
        <f>IF(SUMIF($A$5:$A$14, 'Consolidado por área'!B21, $B$5:$B$14)&gt;=1, 'Consolidado por área'!D21, "")</f>
        <v>5</v>
      </c>
      <c r="H21" s="8">
        <f>IF(SUMIF($A$5:$A$14, 'Consolidado por área'!B21, $B$5:$B$14)&gt;=1, 'Consolidado por área'!E21, "")</f>
        <v>2</v>
      </c>
      <c r="I21" s="9">
        <f>IF(SUMIF($A$5:$A$14, 'Consolidado por área'!B21, $B$5:$B$14)&gt;=1, 'Consolidado por área'!F21, "")</f>
        <v>0.714285714285714</v>
      </c>
      <c r="J21" s="4" t="str">
        <f>IF(SUMIF($A$5:$A$14, 'Consolidado por área'!B21, $B$5:$B$14)&gt;=1, 'Consolidado por área'!G21, "")</f>
        <v>Pendiente</v>
      </c>
      <c r="K21" s="7">
        <f>IF(SUMIF($A$5:$A$14, 'Consolidado por área'!B21, $B$5:$B$14)&gt;=1, 'Consolidado por área'!H21, "")</f>
        <v>96</v>
      </c>
      <c r="L21" s="23">
        <f>IF(SUMIF($A$5:$A$14, 'Consolidado por área'!B21, $B$5:$B$14)&gt;=1, 'Consolidado por área'!L21, "")</f>
        <v>46304.404328703706</v>
      </c>
    </row>
    <row r="22">
      <c r="D22" s="5" t="str">
        <f>IF(SUMIF($A$5:$A$14, 'Consolidado por área'!B22, $B$5:$B$14)&gt;=1, 'Consolidado por área'!A22, "")</f>
        <v/>
      </c>
      <c r="E22" s="5" t="str">
        <f>IF(SUMIF($A$5:$A$14, 'Consolidado por área'!B22, $B$5:$B$14)&gt;=1, 'Consolidado por área'!B22, "")</f>
        <v/>
      </c>
      <c r="F22" s="8" t="str">
        <f>IF(SUMIF($A$5:$A$14, 'Consolidado por área'!B22, $B$5:$B$14)&gt;=1, 'Consolidado por área'!C22, "")</f>
        <v/>
      </c>
      <c r="G22" s="8" t="str">
        <f>IF(SUMIF($A$5:$A$14, 'Consolidado por área'!B22, $B$5:$B$14)&gt;=1, 'Consolidado por área'!D22, "")</f>
        <v/>
      </c>
      <c r="H22" s="8" t="str">
        <f>IF(SUMIF($A$5:$A$14, 'Consolidado por área'!B22, $B$5:$B$14)&gt;=1, 'Consolidado por área'!E22, "")</f>
        <v/>
      </c>
      <c r="I22" s="9" t="str">
        <f>IF(SUMIF($A$5:$A$14, 'Consolidado por área'!B22, $B$5:$B$14)&gt;=1, 'Consolidado por área'!F22, "")</f>
        <v/>
      </c>
      <c r="J22" s="4" t="str">
        <f>IF(SUMIF($A$5:$A$14, 'Consolidado por área'!B22, $B$5:$B$14)&gt;=1, 'Consolidado por área'!G22, "")</f>
        <v/>
      </c>
      <c r="K22" s="7" t="str">
        <f>IF(SUMIF($A$5:$A$14, 'Consolidado por área'!B22, $B$5:$B$14)&gt;=1, 'Consolidado por área'!H22, "")</f>
        <v/>
      </c>
      <c r="L22" s="23" t="str">
        <f>IF(SUMIF($A$5:$A$14, 'Consolidado por área'!B22, $B$5:$B$14)&gt;=1, 'Consolidado por área'!L22, "")</f>
        <v/>
      </c>
    </row>
    <row r="23">
      <c r="D23" s="5" t="str">
        <f>IF(SUMIF($A$5:$A$14, 'Consolidado por área'!B23, $B$5:$B$14)&gt;=1, 'Consolidado por área'!A23, "")</f>
        <v/>
      </c>
      <c r="E23" s="5" t="str">
        <f>IF(SUMIF($A$5:$A$14, 'Consolidado por área'!B23, $B$5:$B$14)&gt;=1, 'Consolidado por área'!B23, "")</f>
        <v/>
      </c>
      <c r="F23" s="8" t="str">
        <f>IF(SUMIF($A$5:$A$14, 'Consolidado por área'!B23, $B$5:$B$14)&gt;=1, 'Consolidado por área'!C23, "")</f>
        <v/>
      </c>
      <c r="G23" s="8" t="str">
        <f>IF(SUMIF($A$5:$A$14, 'Consolidado por área'!B23, $B$5:$B$14)&gt;=1, 'Consolidado por área'!D23, "")</f>
        <v/>
      </c>
      <c r="H23" s="8" t="str">
        <f>IF(SUMIF($A$5:$A$14, 'Consolidado por área'!B23, $B$5:$B$14)&gt;=1, 'Consolidado por área'!E23, "")</f>
        <v/>
      </c>
      <c r="I23" s="9" t="str">
        <f>IF(SUMIF($A$5:$A$14, 'Consolidado por área'!B23, $B$5:$B$14)&gt;=1, 'Consolidado por área'!F23, "")</f>
        <v/>
      </c>
      <c r="J23" s="4" t="str">
        <f>IF(SUMIF($A$5:$A$14, 'Consolidado por área'!B23, $B$5:$B$14)&gt;=1, 'Consolidado por área'!G23, "")</f>
        <v/>
      </c>
      <c r="K23" s="7" t="str">
        <f>IF(SUMIF($A$5:$A$14, 'Consolidado por área'!B23, $B$5:$B$14)&gt;=1, 'Consolidado por área'!H23, "")</f>
        <v/>
      </c>
      <c r="L23" s="23" t="str">
        <f>IF(SUMIF($A$5:$A$14, 'Consolidado por área'!B23, $B$5:$B$14)&gt;=1, 'Consolidado por área'!L23, "")</f>
        <v/>
      </c>
    </row>
    <row r="24">
      <c r="D24" s="5" t="str">
        <f>IF(SUMIF($A$5:$A$14, 'Consolidado por área'!B24, $B$5:$B$14)&gt;=1, 'Consolidado por área'!A24, "")</f>
        <v>DEPARTAMENTO DE CUSTODIA DE GARANTÍA Y VALORES</v>
      </c>
      <c r="E24" s="5" t="str">
        <f>IF(SUMIF($A$5:$A$14, 'Consolidado por área'!B24, $B$5:$B$14)&gt;=1, 'Consolidado por área'!B24, "")</f>
        <v>Gerencia Administrativa</v>
      </c>
      <c r="F24" s="8">
        <f>IF(SUMIF($A$5:$A$14, 'Consolidado por área'!B24, $B$5:$B$14)&gt;=1, 'Consolidado por área'!C24, "")</f>
        <v>6</v>
      </c>
      <c r="G24" s="8">
        <f>IF(SUMIF($A$5:$A$14, 'Consolidado por área'!B24, $B$5:$B$14)&gt;=1, 'Consolidado por área'!D24, "")</f>
        <v>6</v>
      </c>
      <c r="H24" s="8">
        <f>IF(SUMIF($A$5:$A$14, 'Consolidado por área'!B24, $B$5:$B$14)&gt;=1, 'Consolidado por área'!E24, "")</f>
        <v>0</v>
      </c>
      <c r="I24" s="9">
        <f>IF(SUMIF($A$5:$A$14, 'Consolidado por área'!B24, $B$5:$B$14)&gt;=1, 'Consolidado por área'!F24, "")</f>
        <v>1</v>
      </c>
      <c r="J24" s="4" t="str">
        <f>IF(SUMIF($A$5:$A$14, 'Consolidado por área'!B24, $B$5:$B$14)&gt;=1, 'Consolidado por área'!G24, "")</f>
        <v>Completo</v>
      </c>
      <c r="K24" s="7">
        <f>IF(SUMIF($A$5:$A$14, 'Consolidado por área'!B24, $B$5:$B$14)&gt;=1, 'Consolidado por área'!H24, "")</f>
        <v>100</v>
      </c>
      <c r="L24" s="23">
        <f>IF(SUMIF($A$5:$A$14, 'Consolidado por área'!B24, $B$5:$B$14)&gt;=1, 'Consolidado por área'!L24, "")</f>
        <v>46304.70379629629</v>
      </c>
    </row>
    <row r="25">
      <c r="D25" s="5" t="str">
        <f>IF(SUMIF($A$5:$A$14, 'Consolidado por área'!B25, $B$5:$B$14)&gt;=1, 'Consolidado por área'!A25, "")</f>
        <v/>
      </c>
      <c r="E25" s="5" t="str">
        <f>IF(SUMIF($A$5:$A$14, 'Consolidado por área'!B25, $B$5:$B$14)&gt;=1, 'Consolidado por área'!B25, "")</f>
        <v/>
      </c>
      <c r="F25" s="8" t="str">
        <f>IF(SUMIF($A$5:$A$14, 'Consolidado por área'!B25, $B$5:$B$14)&gt;=1, 'Consolidado por área'!C25, "")</f>
        <v/>
      </c>
      <c r="G25" s="8" t="str">
        <f>IF(SUMIF($A$5:$A$14, 'Consolidado por área'!B25, $B$5:$B$14)&gt;=1, 'Consolidado por área'!D25, "")</f>
        <v/>
      </c>
      <c r="H25" s="8" t="str">
        <f>IF(SUMIF($A$5:$A$14, 'Consolidado por área'!B25, $B$5:$B$14)&gt;=1, 'Consolidado por área'!E25, "")</f>
        <v/>
      </c>
      <c r="I25" s="9" t="str">
        <f>IF(SUMIF($A$5:$A$14, 'Consolidado por área'!B25, $B$5:$B$14)&gt;=1, 'Consolidado por área'!F25, "")</f>
        <v/>
      </c>
      <c r="J25" s="4" t="str">
        <f>IF(SUMIF($A$5:$A$14, 'Consolidado por área'!B25, $B$5:$B$14)&gt;=1, 'Consolidado por área'!G25, "")</f>
        <v/>
      </c>
      <c r="K25" s="7" t="str">
        <f>IF(SUMIF($A$5:$A$14, 'Consolidado por área'!B25, $B$5:$B$14)&gt;=1, 'Consolidado por área'!H25, "")</f>
        <v/>
      </c>
      <c r="L25" s="23" t="str">
        <f>IF(SUMIF($A$5:$A$14, 'Consolidado por área'!B25, $B$5:$B$14)&gt;=1, 'Consolidado por área'!L25, "")</f>
        <v/>
      </c>
    </row>
    <row r="26">
      <c r="D26" s="5" t="str">
        <f>IF(SUMIF($A$5:$A$14, 'Consolidado por área'!B26, $B$5:$B$14)&gt;=1, 'Consolidado por área'!A26, "")</f>
        <v/>
      </c>
      <c r="E26" s="5" t="str">
        <f>IF(SUMIF($A$5:$A$14, 'Consolidado por área'!B26, $B$5:$B$14)&gt;=1, 'Consolidado por área'!B26, "")</f>
        <v/>
      </c>
      <c r="F26" s="8" t="str">
        <f>IF(SUMIF($A$5:$A$14, 'Consolidado por área'!B26, $B$5:$B$14)&gt;=1, 'Consolidado por área'!C26, "")</f>
        <v/>
      </c>
      <c r="G26" s="8" t="str">
        <f>IF(SUMIF($A$5:$A$14, 'Consolidado por área'!B26, $B$5:$B$14)&gt;=1, 'Consolidado por área'!D26, "")</f>
        <v/>
      </c>
      <c r="H26" s="8" t="str">
        <f>IF(SUMIF($A$5:$A$14, 'Consolidado por área'!B26, $B$5:$B$14)&gt;=1, 'Consolidado por área'!E26, "")</f>
        <v/>
      </c>
      <c r="I26" s="9" t="str">
        <f>IF(SUMIF($A$5:$A$14, 'Consolidado por área'!B26, $B$5:$B$14)&gt;=1, 'Consolidado por área'!F26, "")</f>
        <v/>
      </c>
      <c r="J26" s="4" t="str">
        <f>IF(SUMIF($A$5:$A$14, 'Consolidado por área'!B26, $B$5:$B$14)&gt;=1, 'Consolidado por área'!G26, "")</f>
        <v/>
      </c>
      <c r="K26" s="7" t="str">
        <f>IF(SUMIF($A$5:$A$14, 'Consolidado por área'!B26, $B$5:$B$14)&gt;=1, 'Consolidado por área'!H26, "")</f>
        <v/>
      </c>
      <c r="L26" s="23" t="str">
        <f>IF(SUMIF($A$5:$A$14, 'Consolidado por área'!B26, $B$5:$B$14)&gt;=1, 'Consolidado por área'!L26, "")</f>
        <v/>
      </c>
    </row>
    <row r="27">
      <c r="D27" s="5" t="str">
        <f>IF(SUMIF($A$5:$A$14, 'Consolidado por área'!B27, $B$5:$B$14)&gt;=1, 'Consolidado por área'!A27, "")</f>
        <v/>
      </c>
      <c r="E27" s="5" t="str">
        <f>IF(SUMIF($A$5:$A$14, 'Consolidado por área'!B27, $B$5:$B$14)&gt;=1, 'Consolidado por área'!B27, "")</f>
        <v/>
      </c>
      <c r="F27" s="8" t="str">
        <f>IF(SUMIF($A$5:$A$14, 'Consolidado por área'!B27, $B$5:$B$14)&gt;=1, 'Consolidado por área'!C27, "")</f>
        <v/>
      </c>
      <c r="G27" s="8" t="str">
        <f>IF(SUMIF($A$5:$A$14, 'Consolidado por área'!B27, $B$5:$B$14)&gt;=1, 'Consolidado por área'!D27, "")</f>
        <v/>
      </c>
      <c r="H27" s="8" t="str">
        <f>IF(SUMIF($A$5:$A$14, 'Consolidado por área'!B27, $B$5:$B$14)&gt;=1, 'Consolidado por área'!E27, "")</f>
        <v/>
      </c>
      <c r="I27" s="9" t="str">
        <f>IF(SUMIF($A$5:$A$14, 'Consolidado por área'!B27, $B$5:$B$14)&gt;=1, 'Consolidado por área'!F27, "")</f>
        <v/>
      </c>
      <c r="J27" s="4" t="str">
        <f>IF(SUMIF($A$5:$A$14, 'Consolidado por área'!B27, $B$5:$B$14)&gt;=1, 'Consolidado por área'!G27, "")</f>
        <v/>
      </c>
      <c r="K27" s="7" t="str">
        <f>IF(SUMIF($A$5:$A$14, 'Consolidado por área'!B27, $B$5:$B$14)&gt;=1, 'Consolidado por área'!H27, "")</f>
        <v/>
      </c>
      <c r="L27" s="23" t="str">
        <f>IF(SUMIF($A$5:$A$14, 'Consolidado por área'!B27, $B$5:$B$14)&gt;=1, 'Consolidado por área'!L27, "")</f>
        <v/>
      </c>
    </row>
    <row r="28">
      <c r="D28" s="5" t="str">
        <f>IF(SUMIF($A$5:$A$14, 'Consolidado por área'!B28, $B$5:$B$14)&gt;=1, 'Consolidado por área'!A28, "")</f>
        <v/>
      </c>
      <c r="E28" s="5" t="str">
        <f>IF(SUMIF($A$5:$A$14, 'Consolidado por área'!B28, $B$5:$B$14)&gt;=1, 'Consolidado por área'!B28, "")</f>
        <v/>
      </c>
      <c r="F28" s="8" t="str">
        <f>IF(SUMIF($A$5:$A$14, 'Consolidado por área'!B28, $B$5:$B$14)&gt;=1, 'Consolidado por área'!C28, "")</f>
        <v/>
      </c>
      <c r="G28" s="8" t="str">
        <f>IF(SUMIF($A$5:$A$14, 'Consolidado por área'!B28, $B$5:$B$14)&gt;=1, 'Consolidado por área'!D28, "")</f>
        <v/>
      </c>
      <c r="H28" s="8" t="str">
        <f>IF(SUMIF($A$5:$A$14, 'Consolidado por área'!B28, $B$5:$B$14)&gt;=1, 'Consolidado por área'!E28, "")</f>
        <v/>
      </c>
      <c r="I28" s="9" t="str">
        <f>IF(SUMIF($A$5:$A$14, 'Consolidado por área'!B28, $B$5:$B$14)&gt;=1, 'Consolidado por área'!F28, "")</f>
        <v/>
      </c>
      <c r="J28" s="4" t="str">
        <f>IF(SUMIF($A$5:$A$14, 'Consolidado por área'!B28, $B$5:$B$14)&gt;=1, 'Consolidado por área'!G28, "")</f>
        <v/>
      </c>
      <c r="K28" s="7" t="str">
        <f>IF(SUMIF($A$5:$A$14, 'Consolidado por área'!B28, $B$5:$B$14)&gt;=1, 'Consolidado por área'!H28, "")</f>
        <v/>
      </c>
      <c r="L28" s="23" t="str">
        <f>IF(SUMIF($A$5:$A$14, 'Consolidado por área'!B28, $B$5:$B$14)&gt;=1, 'Consolidado por área'!L28, "")</f>
        <v/>
      </c>
    </row>
    <row r="29">
      <c r="D29" s="5" t="str">
        <f>IF(SUMIF($A$5:$A$14, 'Consolidado por área'!B29, $B$5:$B$14)&gt;=1, 'Consolidado por área'!A29, "")</f>
        <v/>
      </c>
      <c r="E29" s="5" t="str">
        <f>IF(SUMIF($A$5:$A$14, 'Consolidado por área'!B29, $B$5:$B$14)&gt;=1, 'Consolidado por área'!B29, "")</f>
        <v/>
      </c>
      <c r="F29" s="8" t="str">
        <f>IF(SUMIF($A$5:$A$14, 'Consolidado por área'!B29, $B$5:$B$14)&gt;=1, 'Consolidado por área'!C29, "")</f>
        <v/>
      </c>
      <c r="G29" s="8" t="str">
        <f>IF(SUMIF($A$5:$A$14, 'Consolidado por área'!B29, $B$5:$B$14)&gt;=1, 'Consolidado por área'!D29, "")</f>
        <v/>
      </c>
      <c r="H29" s="8" t="str">
        <f>IF(SUMIF($A$5:$A$14, 'Consolidado por área'!B29, $B$5:$B$14)&gt;=1, 'Consolidado por área'!E29, "")</f>
        <v/>
      </c>
      <c r="I29" s="9" t="str">
        <f>IF(SUMIF($A$5:$A$14, 'Consolidado por área'!B29, $B$5:$B$14)&gt;=1, 'Consolidado por área'!F29, "")</f>
        <v/>
      </c>
      <c r="J29" s="4" t="str">
        <f>IF(SUMIF($A$5:$A$14, 'Consolidado por área'!B29, $B$5:$B$14)&gt;=1, 'Consolidado por área'!G29, "")</f>
        <v/>
      </c>
      <c r="K29" s="7" t="str">
        <f>IF(SUMIF($A$5:$A$14, 'Consolidado por área'!B29, $B$5:$B$14)&gt;=1, 'Consolidado por área'!H29, "")</f>
        <v/>
      </c>
      <c r="L29" s="23" t="str">
        <f>IF(SUMIF($A$5:$A$14, 'Consolidado por área'!B29, $B$5:$B$14)&gt;=1, 'Consolidado por área'!L29, "")</f>
        <v/>
      </c>
    </row>
    <row r="30">
      <c r="D30" s="5" t="str">
        <f>IF(SUMIF($A$5:$A$14, 'Consolidado por área'!B30, $B$5:$B$14)&gt;=1, 'Consolidado por área'!A30, "")</f>
        <v/>
      </c>
      <c r="E30" s="5" t="str">
        <f>IF(SUMIF($A$5:$A$14, 'Consolidado por área'!B30, $B$5:$B$14)&gt;=1, 'Consolidado por área'!B30, "")</f>
        <v/>
      </c>
      <c r="F30" s="8" t="str">
        <f>IF(SUMIF($A$5:$A$14, 'Consolidado por área'!B30, $B$5:$B$14)&gt;=1, 'Consolidado por área'!C30, "")</f>
        <v/>
      </c>
      <c r="G30" s="8" t="str">
        <f>IF(SUMIF($A$5:$A$14, 'Consolidado por área'!B30, $B$5:$B$14)&gt;=1, 'Consolidado por área'!D30, "")</f>
        <v/>
      </c>
      <c r="H30" s="8" t="str">
        <f>IF(SUMIF($A$5:$A$14, 'Consolidado por área'!B30, $B$5:$B$14)&gt;=1, 'Consolidado por área'!E30, "")</f>
        <v/>
      </c>
      <c r="I30" s="9" t="str">
        <f>IF(SUMIF($A$5:$A$14, 'Consolidado por área'!B30, $B$5:$B$14)&gt;=1, 'Consolidado por área'!F30, "")</f>
        <v/>
      </c>
      <c r="J30" s="4" t="str">
        <f>IF(SUMIF($A$5:$A$14, 'Consolidado por área'!B30, $B$5:$B$14)&gt;=1, 'Consolidado por área'!G30, "")</f>
        <v/>
      </c>
      <c r="K30" s="7" t="str">
        <f>IF(SUMIF($A$5:$A$14, 'Consolidado por área'!B30, $B$5:$B$14)&gt;=1, 'Consolidado por área'!H30, "")</f>
        <v/>
      </c>
      <c r="L30" s="23" t="str">
        <f>IF(SUMIF($A$5:$A$14, 'Consolidado por área'!B30, $B$5:$B$14)&gt;=1, 'Consolidado por área'!L30, "")</f>
        <v/>
      </c>
    </row>
    <row r="31">
      <c r="D31" s="5" t="str">
        <f>IF(SUMIF($A$5:$A$14, 'Consolidado por área'!B31, $B$5:$B$14)&gt;=1, 'Consolidado por área'!A31, "")</f>
        <v>DEPARTAMENTO DE SEGURIDAD</v>
      </c>
      <c r="E31" s="5" t="str">
        <f>IF(SUMIF($A$5:$A$14, 'Consolidado por área'!B31, $B$5:$B$14)&gt;=1, 'Consolidado por área'!B31, "")</f>
        <v>Gerencia Administrativa</v>
      </c>
      <c r="F31" s="8">
        <f>IF(SUMIF($A$5:$A$14, 'Consolidado por área'!B31, $B$5:$B$14)&gt;=1, 'Consolidado por área'!C31, "")</f>
        <v>2</v>
      </c>
      <c r="G31" s="8">
        <f>IF(SUMIF($A$5:$A$14, 'Consolidado por área'!B31, $B$5:$B$14)&gt;=1, 'Consolidado por área'!D31, "")</f>
        <v>2</v>
      </c>
      <c r="H31" s="8">
        <f>IF(SUMIF($A$5:$A$14, 'Consolidado por área'!B31, $B$5:$B$14)&gt;=1, 'Consolidado por área'!E31, "")</f>
        <v>0</v>
      </c>
      <c r="I31" s="9">
        <f>IF(SUMIF($A$5:$A$14, 'Consolidado por área'!B31, $B$5:$B$14)&gt;=1, 'Consolidado por área'!F31, "")</f>
        <v>1</v>
      </c>
      <c r="J31" s="4" t="str">
        <f>IF(SUMIF($A$5:$A$14, 'Consolidado por área'!B31, $B$5:$B$14)&gt;=1, 'Consolidado por área'!G31, "")</f>
        <v>Completo</v>
      </c>
      <c r="K31" s="7">
        <f>IF(SUMIF($A$5:$A$14, 'Consolidado por área'!B31, $B$5:$B$14)&gt;=1, 'Consolidado por área'!H31, "")</f>
        <v>95</v>
      </c>
      <c r="L31" s="23">
        <f>IF(SUMIF($A$5:$A$14, 'Consolidado por área'!B31, $B$5:$B$14)&gt;=1, 'Consolidado por área'!L31, "")</f>
        <v>46296.46072916667</v>
      </c>
    </row>
    <row r="32">
      <c r="D32" s="5" t="str">
        <f>IF(SUMIF($A$5:$A$14, 'Consolidado por área'!B32, $B$5:$B$14)&gt;=1, 'Consolidado por área'!A32, "")</f>
        <v/>
      </c>
      <c r="E32" s="5" t="str">
        <f>IF(SUMIF($A$5:$A$14, 'Consolidado por área'!B32, $B$5:$B$14)&gt;=1, 'Consolidado por área'!B32, "")</f>
        <v/>
      </c>
      <c r="F32" s="8" t="str">
        <f>IF(SUMIF($A$5:$A$14, 'Consolidado por área'!B32, $B$5:$B$14)&gt;=1, 'Consolidado por área'!C32, "")</f>
        <v/>
      </c>
      <c r="G32" s="8" t="str">
        <f>IF(SUMIF($A$5:$A$14, 'Consolidado por área'!B32, $B$5:$B$14)&gt;=1, 'Consolidado por área'!D32, "")</f>
        <v/>
      </c>
      <c r="H32" s="8" t="str">
        <f>IF(SUMIF($A$5:$A$14, 'Consolidado por área'!B32, $B$5:$B$14)&gt;=1, 'Consolidado por área'!E32, "")</f>
        <v/>
      </c>
      <c r="I32" s="9" t="str">
        <f>IF(SUMIF($A$5:$A$14, 'Consolidado por área'!B32, $B$5:$B$14)&gt;=1, 'Consolidado por área'!F32, "")</f>
        <v/>
      </c>
      <c r="J32" s="4" t="str">
        <f>IF(SUMIF($A$5:$A$14, 'Consolidado por área'!B32, $B$5:$B$14)&gt;=1, 'Consolidado por área'!G32, "")</f>
        <v/>
      </c>
      <c r="K32" s="7" t="str">
        <f>IF(SUMIF($A$5:$A$14, 'Consolidado por área'!B32, $B$5:$B$14)&gt;=1, 'Consolidado por área'!H32, "")</f>
        <v/>
      </c>
      <c r="L32" s="23" t="str">
        <f>IF(SUMIF($A$5:$A$14, 'Consolidado por área'!B32, $B$5:$B$14)&gt;=1, 'Consolidado por área'!L32, "")</f>
        <v/>
      </c>
    </row>
    <row r="33">
      <c r="D33" s="5" t="str">
        <f>IF(SUMIF($A$5:$A$14, 'Consolidado por área'!B33, $B$5:$B$14)&gt;=1, 'Consolidado por área'!A33, "")</f>
        <v>DEPARTAMENTO DE SERVICIOS GENERALES</v>
      </c>
      <c r="E33" s="5" t="str">
        <f>IF(SUMIF($A$5:$A$14, 'Consolidado por área'!B33, $B$5:$B$14)&gt;=1, 'Consolidado por área'!B33, "")</f>
        <v>Gerencia Administrativa</v>
      </c>
      <c r="F33" s="8">
        <f>IF(SUMIF($A$5:$A$14, 'Consolidado por área'!B33, $B$5:$B$14)&gt;=1, 'Consolidado por área'!C33, "")</f>
        <v>17</v>
      </c>
      <c r="G33" s="8">
        <f>IF(SUMIF($A$5:$A$14, 'Consolidado por área'!B33, $B$5:$B$14)&gt;=1, 'Consolidado por área'!D33, "")</f>
        <v>16</v>
      </c>
      <c r="H33" s="8">
        <f>IF(SUMIF($A$5:$A$14, 'Consolidado por área'!B33, $B$5:$B$14)&gt;=1, 'Consolidado por área'!E33, "")</f>
        <v>1</v>
      </c>
      <c r="I33" s="9">
        <f>IF(SUMIF($A$5:$A$14, 'Consolidado por área'!B33, $B$5:$B$14)&gt;=1, 'Consolidado por área'!F33, "")</f>
        <v>0.941176470588235</v>
      </c>
      <c r="J33" s="4" t="str">
        <f>IF(SUMIF($A$5:$A$14, 'Consolidado por área'!B33, $B$5:$B$14)&gt;=1, 'Consolidado por área'!G33, "")</f>
        <v>Pendiente</v>
      </c>
      <c r="K33" s="7">
        <f>IF(SUMIF($A$5:$A$14, 'Consolidado por área'!B33, $B$5:$B$14)&gt;=1, 'Consolidado por área'!H33, "")</f>
        <v>85.625</v>
      </c>
      <c r="L33" s="23">
        <f>IF(SUMIF($A$5:$A$14, 'Consolidado por área'!B33, $B$5:$B$14)&gt;=1, 'Consolidado por área'!L33, "")</f>
        <v>46304.520787037036</v>
      </c>
    </row>
    <row r="34">
      <c r="D34" s="5" t="str">
        <f>IF(SUMIF($A$5:$A$14, 'Consolidado por área'!B34, $B$5:$B$14)&gt;=1, 'Consolidado por área'!A34, "")</f>
        <v/>
      </c>
      <c r="E34" s="5" t="str">
        <f>IF(SUMIF($A$5:$A$14, 'Consolidado por área'!B34, $B$5:$B$14)&gt;=1, 'Consolidado por área'!B34, "")</f>
        <v/>
      </c>
      <c r="F34" s="8" t="str">
        <f>IF(SUMIF($A$5:$A$14, 'Consolidado por área'!B34, $B$5:$B$14)&gt;=1, 'Consolidado por área'!C34, "")</f>
        <v/>
      </c>
      <c r="G34" s="8" t="str">
        <f>IF(SUMIF($A$5:$A$14, 'Consolidado por área'!B34, $B$5:$B$14)&gt;=1, 'Consolidado por área'!D34, "")</f>
        <v/>
      </c>
      <c r="H34" s="8" t="str">
        <f>IF(SUMIF($A$5:$A$14, 'Consolidado por área'!B34, $B$5:$B$14)&gt;=1, 'Consolidado por área'!E34, "")</f>
        <v/>
      </c>
      <c r="I34" s="9" t="str">
        <f>IF(SUMIF($A$5:$A$14, 'Consolidado por área'!B34, $B$5:$B$14)&gt;=1, 'Consolidado por área'!F34, "")</f>
        <v/>
      </c>
      <c r="J34" s="4" t="str">
        <f>IF(SUMIF($A$5:$A$14, 'Consolidado por área'!B34, $B$5:$B$14)&gt;=1, 'Consolidado por área'!G34, "")</f>
        <v/>
      </c>
      <c r="K34" s="7" t="str">
        <f>IF(SUMIF($A$5:$A$14, 'Consolidado por área'!B34, $B$5:$B$14)&gt;=1, 'Consolidado por área'!H34, "")</f>
        <v/>
      </c>
      <c r="L34" s="23" t="str">
        <f>IF(SUMIF($A$5:$A$14, 'Consolidado por área'!B34, $B$5:$B$14)&gt;=1, 'Consolidado por área'!L34, "")</f>
        <v/>
      </c>
    </row>
    <row r="35">
      <c r="D35" s="5" t="str">
        <f>IF(SUMIF($A$5:$A$14, 'Consolidado por área'!B35, $B$5:$B$14)&gt;=1, 'Consolidado por área'!A35, "")</f>
        <v>DEPARTAMENTO DE TALENTO HUMANO</v>
      </c>
      <c r="E35" s="5" t="str">
        <f>IF(SUMIF($A$5:$A$14, 'Consolidado por área'!B35, $B$5:$B$14)&gt;=1, 'Consolidado por área'!B35, "")</f>
        <v>Gerencia Administrativa</v>
      </c>
      <c r="F35" s="8">
        <f>IF(SUMIF($A$5:$A$14, 'Consolidado por área'!B35, $B$5:$B$14)&gt;=1, 'Consolidado por área'!C35, "")</f>
        <v>3</v>
      </c>
      <c r="G35" s="8">
        <f>IF(SUMIF($A$5:$A$14, 'Consolidado por área'!B35, $B$5:$B$14)&gt;=1, 'Consolidado por área'!D35, "")</f>
        <v>2</v>
      </c>
      <c r="H35" s="8">
        <f>IF(SUMIF($A$5:$A$14, 'Consolidado por área'!B35, $B$5:$B$14)&gt;=1, 'Consolidado por área'!E35, "")</f>
        <v>1</v>
      </c>
      <c r="I35" s="9">
        <f>IF(SUMIF($A$5:$A$14, 'Consolidado por área'!B35, $B$5:$B$14)&gt;=1, 'Consolidado por área'!F35, "")</f>
        <v>0.666666666666667</v>
      </c>
      <c r="J35" s="4" t="str">
        <f>IF(SUMIF($A$5:$A$14, 'Consolidado por área'!B35, $B$5:$B$14)&gt;=1, 'Consolidado por área'!G35, "")</f>
        <v>Pendiente</v>
      </c>
      <c r="K35" s="7">
        <f>IF(SUMIF($A$5:$A$14, 'Consolidado por área'!B35, $B$5:$B$14)&gt;=1, 'Consolidado por área'!H35, "")</f>
        <v>95</v>
      </c>
      <c r="L35" s="23">
        <f>IF(SUMIF($A$5:$A$14, 'Consolidado por área'!B35, $B$5:$B$14)&gt;=1, 'Consolidado por área'!L35, "")</f>
        <v>46304.52142361111</v>
      </c>
    </row>
    <row r="36">
      <c r="D36" s="5" t="str">
        <f>IF(SUMIF($A$5:$A$14, 'Consolidado por área'!B36, $B$5:$B$14)&gt;=1, 'Consolidado por área'!A36, "")</f>
        <v/>
      </c>
      <c r="E36" s="5" t="str">
        <f>IF(SUMIF($A$5:$A$14, 'Consolidado por área'!B36, $B$5:$B$14)&gt;=1, 'Consolidado por área'!B36, "")</f>
        <v/>
      </c>
      <c r="F36" s="8" t="str">
        <f>IF(SUMIF($A$5:$A$14, 'Consolidado por área'!B36, $B$5:$B$14)&gt;=1, 'Consolidado por área'!C36, "")</f>
        <v/>
      </c>
      <c r="G36" s="8" t="str">
        <f>IF(SUMIF($A$5:$A$14, 'Consolidado por área'!B36, $B$5:$B$14)&gt;=1, 'Consolidado por área'!D36, "")</f>
        <v/>
      </c>
      <c r="H36" s="8" t="str">
        <f>IF(SUMIF($A$5:$A$14, 'Consolidado por área'!B36, $B$5:$B$14)&gt;=1, 'Consolidado por área'!E36, "")</f>
        <v/>
      </c>
      <c r="I36" s="9" t="str">
        <f>IF(SUMIF($A$5:$A$14, 'Consolidado por área'!B36, $B$5:$B$14)&gt;=1, 'Consolidado por área'!F36, "")</f>
        <v/>
      </c>
      <c r="J36" s="4" t="str">
        <f>IF(SUMIF($A$5:$A$14, 'Consolidado por área'!B36, $B$5:$B$14)&gt;=1, 'Consolidado por área'!G36, "")</f>
        <v/>
      </c>
      <c r="K36" s="7" t="str">
        <f>IF(SUMIF($A$5:$A$14, 'Consolidado por área'!B36, $B$5:$B$14)&gt;=1, 'Consolidado por área'!H36, "")</f>
        <v/>
      </c>
      <c r="L36" s="23" t="str">
        <f>IF(SUMIF($A$5:$A$14, 'Consolidado por área'!B36, $B$5:$B$14)&gt;=1, 'Consolidado por área'!L36, "")</f>
        <v/>
      </c>
    </row>
    <row r="37">
      <c r="D37" s="5" t="str">
        <f>IF(SUMIF($A$5:$A$14, 'Consolidado por área'!B37, $B$5:$B$14)&gt;=1, 'Consolidado por área'!A37, "")</f>
        <v/>
      </c>
      <c r="E37" s="5" t="str">
        <f>IF(SUMIF($A$5:$A$14, 'Consolidado por área'!B37, $B$5:$B$14)&gt;=1, 'Consolidado por área'!B37, "")</f>
        <v/>
      </c>
      <c r="F37" s="8" t="str">
        <f>IF(SUMIF($A$5:$A$14, 'Consolidado por área'!B37, $B$5:$B$14)&gt;=1, 'Consolidado por área'!C37, "")</f>
        <v/>
      </c>
      <c r="G37" s="8" t="str">
        <f>IF(SUMIF($A$5:$A$14, 'Consolidado por área'!B37, $B$5:$B$14)&gt;=1, 'Consolidado por área'!D37, "")</f>
        <v/>
      </c>
      <c r="H37" s="8" t="str">
        <f>IF(SUMIF($A$5:$A$14, 'Consolidado por área'!B37, $B$5:$B$14)&gt;=1, 'Consolidado por área'!E37, "")</f>
        <v/>
      </c>
      <c r="I37" s="9" t="str">
        <f>IF(SUMIF($A$5:$A$14, 'Consolidado por área'!B37, $B$5:$B$14)&gt;=1, 'Consolidado por área'!F37, "")</f>
        <v/>
      </c>
      <c r="J37" s="4" t="str">
        <f>IF(SUMIF($A$5:$A$14, 'Consolidado por área'!B37, $B$5:$B$14)&gt;=1, 'Consolidado por área'!G37, "")</f>
        <v/>
      </c>
      <c r="K37" s="7" t="str">
        <f>IF(SUMIF($A$5:$A$14, 'Consolidado por área'!B37, $B$5:$B$14)&gt;=1, 'Consolidado por área'!H37, "")</f>
        <v/>
      </c>
      <c r="L37" s="23" t="str">
        <f>IF(SUMIF($A$5:$A$14, 'Consolidado por área'!B37, $B$5:$B$14)&gt;=1, 'Consolidado por área'!L37, "")</f>
        <v/>
      </c>
    </row>
    <row r="38">
      <c r="D38" s="5" t="str">
        <f>IF(SUMIF($A$5:$A$14, 'Consolidado por área'!B38, $B$5:$B$14)&gt;=1, 'Consolidado por área'!A38, "")</f>
        <v>GERENCIA  ADMINISTRATIVA</v>
      </c>
      <c r="E38" s="5" t="str">
        <f>IF(SUMIF($A$5:$A$14, 'Consolidado por área'!B38, $B$5:$B$14)&gt;=1, 'Consolidado por área'!B38, "")</f>
        <v>Gerencia Administrativa</v>
      </c>
      <c r="F38" s="8">
        <f>IF(SUMIF($A$5:$A$14, 'Consolidado por área'!B38, $B$5:$B$14)&gt;=1, 'Consolidado por área'!C38, "")</f>
        <v>2</v>
      </c>
      <c r="G38" s="8">
        <f>IF(SUMIF($A$5:$A$14, 'Consolidado por área'!B38, $B$5:$B$14)&gt;=1, 'Consolidado por área'!D38, "")</f>
        <v>1</v>
      </c>
      <c r="H38" s="8">
        <f>IF(SUMIF($A$5:$A$14, 'Consolidado por área'!B38, $B$5:$B$14)&gt;=1, 'Consolidado por área'!E38, "")</f>
        <v>1</v>
      </c>
      <c r="I38" s="9">
        <f>IF(SUMIF($A$5:$A$14, 'Consolidado por área'!B38, $B$5:$B$14)&gt;=1, 'Consolidado por área'!F38, "")</f>
        <v>0.5</v>
      </c>
      <c r="J38" s="4" t="str">
        <f>IF(SUMIF($A$5:$A$14, 'Consolidado por área'!B38, $B$5:$B$14)&gt;=1, 'Consolidado por área'!G38, "")</f>
        <v>Pendiente</v>
      </c>
      <c r="K38" s="7">
        <f>IF(SUMIF($A$5:$A$14, 'Consolidado por área'!B38, $B$5:$B$14)&gt;=1, 'Consolidado por área'!H38, "")</f>
        <v>100</v>
      </c>
      <c r="L38" s="23">
        <f>IF(SUMIF($A$5:$A$14, 'Consolidado por área'!B38, $B$5:$B$14)&gt;=1, 'Consolidado por área'!L38, "")</f>
        <v>46297.63836805556</v>
      </c>
    </row>
    <row r="39">
      <c r="D39" s="5" t="str">
        <f>IF(SUMIF($A$5:$A$14, 'Consolidado por área'!B39, $B$5:$B$14)&gt;=1, 'Consolidado por área'!A39, "")</f>
        <v/>
      </c>
      <c r="E39" s="5" t="str">
        <f>IF(SUMIF($A$5:$A$14, 'Consolidado por área'!B39, $B$5:$B$14)&gt;=1, 'Consolidado por área'!B39, "")</f>
        <v/>
      </c>
      <c r="F39" s="8" t="str">
        <f>IF(SUMIF($A$5:$A$14, 'Consolidado por área'!B39, $B$5:$B$14)&gt;=1, 'Consolidado por área'!C39, "")</f>
        <v/>
      </c>
      <c r="G39" s="8" t="str">
        <f>IF(SUMIF($A$5:$A$14, 'Consolidado por área'!B39, $B$5:$B$14)&gt;=1, 'Consolidado por área'!D39, "")</f>
        <v/>
      </c>
      <c r="H39" s="8" t="str">
        <f>IF(SUMIF($A$5:$A$14, 'Consolidado por área'!B39, $B$5:$B$14)&gt;=1, 'Consolidado por área'!E39, "")</f>
        <v/>
      </c>
      <c r="I39" s="9" t="str">
        <f>IF(SUMIF($A$5:$A$14, 'Consolidado por área'!B39, $B$5:$B$14)&gt;=1, 'Consolidado por área'!F39, "")</f>
        <v/>
      </c>
      <c r="J39" s="4" t="str">
        <f>IF(SUMIF($A$5:$A$14, 'Consolidado por área'!B39, $B$5:$B$14)&gt;=1, 'Consolidado por área'!G39, "")</f>
        <v/>
      </c>
      <c r="K39" s="7" t="str">
        <f>IF(SUMIF($A$5:$A$14, 'Consolidado por área'!B39, $B$5:$B$14)&gt;=1, 'Consolidado por área'!H39, "")</f>
        <v/>
      </c>
      <c r="L39" s="23" t="str">
        <f>IF(SUMIF($A$5:$A$14, 'Consolidado por área'!B39, $B$5:$B$14)&gt;=1, 'Consolidado por área'!L39, "")</f>
        <v/>
      </c>
    </row>
    <row r="40">
      <c r="D40" s="5" t="str">
        <f>IF(SUMIF($A$5:$A$14, 'Consolidado por área'!B40, $B$5:$B$14)&gt;=1, 'Consolidado por área'!A40, "")</f>
        <v/>
      </c>
      <c r="E40" s="5" t="str">
        <f>IF(SUMIF($A$5:$A$14, 'Consolidado por área'!B40, $B$5:$B$14)&gt;=1, 'Consolidado por área'!B40, "")</f>
        <v/>
      </c>
      <c r="F40" s="8" t="str">
        <f>IF(SUMIF($A$5:$A$14, 'Consolidado por área'!B40, $B$5:$B$14)&gt;=1, 'Consolidado por área'!C40, "")</f>
        <v/>
      </c>
      <c r="G40" s="8" t="str">
        <f>IF(SUMIF($A$5:$A$14, 'Consolidado por área'!B40, $B$5:$B$14)&gt;=1, 'Consolidado por área'!D40, "")</f>
        <v/>
      </c>
      <c r="H40" s="8" t="str">
        <f>IF(SUMIF($A$5:$A$14, 'Consolidado por área'!B40, $B$5:$B$14)&gt;=1, 'Consolidado por área'!E40, "")</f>
        <v/>
      </c>
      <c r="I40" s="9" t="str">
        <f>IF(SUMIF($A$5:$A$14, 'Consolidado por área'!B40, $B$5:$B$14)&gt;=1, 'Consolidado por área'!F40, "")</f>
        <v/>
      </c>
      <c r="J40" s="4" t="str">
        <f>IF(SUMIF($A$5:$A$14, 'Consolidado por área'!B40, $B$5:$B$14)&gt;=1, 'Consolidado por área'!G40, "")</f>
        <v/>
      </c>
      <c r="K40" s="7" t="str">
        <f>IF(SUMIF($A$5:$A$14, 'Consolidado por área'!B40, $B$5:$B$14)&gt;=1, 'Consolidado por área'!H40, "")</f>
        <v/>
      </c>
      <c r="L40" s="23" t="str">
        <f>IF(SUMIF($A$5:$A$14, 'Consolidado por área'!B40, $B$5:$B$14)&gt;=1, 'Consolidado por área'!L40, "")</f>
        <v/>
      </c>
    </row>
    <row r="41">
      <c r="D41" s="5" t="str">
        <f>IF(SUMIF($A$5:$A$14, 'Consolidado por área'!B41, $B$5:$B$14)&gt;=1, 'Consolidado por área'!A41, "")</f>
        <v/>
      </c>
      <c r="E41" s="5" t="str">
        <f>IF(SUMIF($A$5:$A$14, 'Consolidado por área'!B41, $B$5:$B$14)&gt;=1, 'Consolidado por área'!B41, "")</f>
        <v/>
      </c>
      <c r="F41" s="8" t="str">
        <f>IF(SUMIF($A$5:$A$14, 'Consolidado por área'!B41, $B$5:$B$14)&gt;=1, 'Consolidado por área'!C41, "")</f>
        <v/>
      </c>
      <c r="G41" s="8" t="str">
        <f>IF(SUMIF($A$5:$A$14, 'Consolidado por área'!B41, $B$5:$B$14)&gt;=1, 'Consolidado por área'!D41, "")</f>
        <v/>
      </c>
      <c r="H41" s="8" t="str">
        <f>IF(SUMIF($A$5:$A$14, 'Consolidado por área'!B41, $B$5:$B$14)&gt;=1, 'Consolidado por área'!E41, "")</f>
        <v/>
      </c>
      <c r="I41" s="9" t="str">
        <f>IF(SUMIF($A$5:$A$14, 'Consolidado por área'!B41, $B$5:$B$14)&gt;=1, 'Consolidado por área'!F41, "")</f>
        <v/>
      </c>
      <c r="J41" s="4" t="str">
        <f>IF(SUMIF($A$5:$A$14, 'Consolidado por área'!B41, $B$5:$B$14)&gt;=1, 'Consolidado por área'!G41, "")</f>
        <v/>
      </c>
      <c r="K41" s="7" t="str">
        <f>IF(SUMIF($A$5:$A$14, 'Consolidado por área'!B41, $B$5:$B$14)&gt;=1, 'Consolidado por área'!H41, "")</f>
        <v/>
      </c>
      <c r="L41" s="23" t="str">
        <f>IF(SUMIF($A$5:$A$14, 'Consolidado por área'!B41, $B$5:$B$14)&gt;=1, 'Consolidado por área'!L41, "")</f>
        <v/>
      </c>
    </row>
    <row r="42">
      <c r="D42" s="5" t="str">
        <f>IF(SUMIF($A$5:$A$14, 'Consolidado por área'!B42, $B$5:$B$14)&gt;=1, 'Consolidado por área'!A42, "")</f>
        <v/>
      </c>
      <c r="E42" s="5" t="str">
        <f>IF(SUMIF($A$5:$A$14, 'Consolidado por área'!B42, $B$5:$B$14)&gt;=1, 'Consolidado por área'!B42, "")</f>
        <v/>
      </c>
      <c r="F42" s="8" t="str">
        <f>IF(SUMIF($A$5:$A$14, 'Consolidado por área'!B42, $B$5:$B$14)&gt;=1, 'Consolidado por área'!C42, "")</f>
        <v/>
      </c>
      <c r="G42" s="8" t="str">
        <f>IF(SUMIF($A$5:$A$14, 'Consolidado por área'!B42, $B$5:$B$14)&gt;=1, 'Consolidado por área'!D42, "")</f>
        <v/>
      </c>
      <c r="H42" s="8" t="str">
        <f>IF(SUMIF($A$5:$A$14, 'Consolidado por área'!B42, $B$5:$B$14)&gt;=1, 'Consolidado por área'!E42, "")</f>
        <v/>
      </c>
      <c r="I42" s="9" t="str">
        <f>IF(SUMIF($A$5:$A$14, 'Consolidado por área'!B42, $B$5:$B$14)&gt;=1, 'Consolidado por área'!F42, "")</f>
        <v/>
      </c>
      <c r="J42" s="4" t="str">
        <f>IF(SUMIF($A$5:$A$14, 'Consolidado por área'!B42, $B$5:$B$14)&gt;=1, 'Consolidado por área'!G42, "")</f>
        <v/>
      </c>
      <c r="K42" s="7" t="str">
        <f>IF(SUMIF($A$5:$A$14, 'Consolidado por área'!B42, $B$5:$B$14)&gt;=1, 'Consolidado por área'!H42, "")</f>
        <v/>
      </c>
      <c r="L42" s="23" t="str">
        <f>IF(SUMIF($A$5:$A$14, 'Consolidado por área'!B42, $B$5:$B$14)&gt;=1, 'Consolidado por área'!L42, "")</f>
        <v/>
      </c>
    </row>
    <row r="43">
      <c r="D43" s="5" t="str">
        <f>IF(SUMIF($A$5:$A$14, 'Consolidado por área'!B43, $B$5:$B$14)&gt;=1, 'Consolidado por área'!A43, "")</f>
        <v/>
      </c>
      <c r="E43" s="5" t="str">
        <f>IF(SUMIF($A$5:$A$14, 'Consolidado por área'!B43, $B$5:$B$14)&gt;=1, 'Consolidado por área'!B43, "")</f>
        <v/>
      </c>
      <c r="F43" s="8" t="str">
        <f>IF(SUMIF($A$5:$A$14, 'Consolidado por área'!B43, $B$5:$B$14)&gt;=1, 'Consolidado por área'!C43, "")</f>
        <v/>
      </c>
      <c r="G43" s="8" t="str">
        <f>IF(SUMIF($A$5:$A$14, 'Consolidado por área'!B43, $B$5:$B$14)&gt;=1, 'Consolidado por área'!D43, "")</f>
        <v/>
      </c>
      <c r="H43" s="8" t="str">
        <f>IF(SUMIF($A$5:$A$14, 'Consolidado por área'!B43, $B$5:$B$14)&gt;=1, 'Consolidado por área'!E43, "")</f>
        <v/>
      </c>
      <c r="I43" s="9" t="str">
        <f>IF(SUMIF($A$5:$A$14, 'Consolidado por área'!B43, $B$5:$B$14)&gt;=1, 'Consolidado por área'!F43, "")</f>
        <v/>
      </c>
      <c r="J43" s="4" t="str">
        <f>IF(SUMIF($A$5:$A$14, 'Consolidado por área'!B43, $B$5:$B$14)&gt;=1, 'Consolidado por área'!G43, "")</f>
        <v/>
      </c>
      <c r="K43" s="7" t="str">
        <f>IF(SUMIF($A$5:$A$14, 'Consolidado por área'!B43, $B$5:$B$14)&gt;=1, 'Consolidado por área'!H43, "")</f>
        <v/>
      </c>
      <c r="L43" s="23" t="str">
        <f>IF(SUMIF($A$5:$A$14, 'Consolidado por área'!B43, $B$5:$B$14)&gt;=1, 'Consolidado por área'!L43, "")</f>
        <v/>
      </c>
    </row>
    <row r="44">
      <c r="D44" s="5" t="str">
        <f>IF(SUMIF($A$5:$A$14, 'Consolidado por área'!B44, $B$5:$B$14)&gt;=1, 'Consolidado por área'!A44, "")</f>
        <v/>
      </c>
      <c r="E44" s="5" t="str">
        <f>IF(SUMIF($A$5:$A$14, 'Consolidado por área'!B44, $B$5:$B$14)&gt;=1, 'Consolidado por área'!B44, "")</f>
        <v/>
      </c>
      <c r="F44" s="8" t="str">
        <f>IF(SUMIF($A$5:$A$14, 'Consolidado por área'!B44, $B$5:$B$14)&gt;=1, 'Consolidado por área'!C44, "")</f>
        <v/>
      </c>
      <c r="G44" s="8" t="str">
        <f>IF(SUMIF($A$5:$A$14, 'Consolidado por área'!B44, $B$5:$B$14)&gt;=1, 'Consolidado por área'!D44, "")</f>
        <v/>
      </c>
      <c r="H44" s="8" t="str">
        <f>IF(SUMIF($A$5:$A$14, 'Consolidado por área'!B44, $B$5:$B$14)&gt;=1, 'Consolidado por área'!E44, "")</f>
        <v/>
      </c>
      <c r="I44" s="9" t="str">
        <f>IF(SUMIF($A$5:$A$14, 'Consolidado por área'!B44, $B$5:$B$14)&gt;=1, 'Consolidado por área'!F44, "")</f>
        <v/>
      </c>
      <c r="J44" s="4" t="str">
        <f>IF(SUMIF($A$5:$A$14, 'Consolidado por área'!B44, $B$5:$B$14)&gt;=1, 'Consolidado por área'!G44, "")</f>
        <v/>
      </c>
      <c r="K44" s="7" t="str">
        <f>IF(SUMIF($A$5:$A$14, 'Consolidado por área'!B44, $B$5:$B$14)&gt;=1, 'Consolidado por área'!H44, "")</f>
        <v/>
      </c>
      <c r="L44" s="23" t="str">
        <f>IF(SUMIF($A$5:$A$14, 'Consolidado por área'!B44, $B$5:$B$14)&gt;=1, 'Consolidado por área'!L44, "")</f>
        <v/>
      </c>
    </row>
    <row r="45">
      <c r="D45" s="5" t="str">
        <f>IF(SUMIF($A$5:$A$14, 'Consolidado por área'!B45, $B$5:$B$14)&gt;=1, 'Consolidado por área'!A45, "")</f>
        <v/>
      </c>
      <c r="E45" s="5" t="str">
        <f>IF(SUMIF($A$5:$A$14, 'Consolidado por área'!B45, $B$5:$B$14)&gt;=1, 'Consolidado por área'!B45, "")</f>
        <v/>
      </c>
      <c r="F45" s="8" t="str">
        <f>IF(SUMIF($A$5:$A$14, 'Consolidado por área'!B45, $B$5:$B$14)&gt;=1, 'Consolidado por área'!C45, "")</f>
        <v/>
      </c>
      <c r="G45" s="8" t="str">
        <f>IF(SUMIF($A$5:$A$14, 'Consolidado por área'!B45, $B$5:$B$14)&gt;=1, 'Consolidado por área'!D45, "")</f>
        <v/>
      </c>
      <c r="H45" s="8" t="str">
        <f>IF(SUMIF($A$5:$A$14, 'Consolidado por área'!B45, $B$5:$B$14)&gt;=1, 'Consolidado por área'!E45, "")</f>
        <v/>
      </c>
      <c r="I45" s="9" t="str">
        <f>IF(SUMIF($A$5:$A$14, 'Consolidado por área'!B45, $B$5:$B$14)&gt;=1, 'Consolidado por área'!F45, "")</f>
        <v/>
      </c>
      <c r="J45" s="4" t="str">
        <f>IF(SUMIF($A$5:$A$14, 'Consolidado por área'!B45, $B$5:$B$14)&gt;=1, 'Consolidado por área'!G45, "")</f>
        <v/>
      </c>
      <c r="K45" s="7" t="str">
        <f>IF(SUMIF($A$5:$A$14, 'Consolidado por área'!B45, $B$5:$B$14)&gt;=1, 'Consolidado por área'!H45, "")</f>
        <v/>
      </c>
      <c r="L45" s="23" t="str">
        <f>IF(SUMIF($A$5:$A$14, 'Consolidado por área'!B45, $B$5:$B$14)&gt;=1, 'Consolidado por área'!L45, "")</f>
        <v/>
      </c>
    </row>
    <row r="46">
      <c r="D46" s="5" t="str">
        <f>IF(SUMIF($A$5:$A$14, 'Consolidado por área'!B46, $B$5:$B$14)&gt;=1, 'Consolidado por área'!A46, "")</f>
        <v/>
      </c>
      <c r="E46" s="5" t="str">
        <f>IF(SUMIF($A$5:$A$14, 'Consolidado por área'!B46, $B$5:$B$14)&gt;=1, 'Consolidado por área'!B46, "")</f>
        <v/>
      </c>
      <c r="F46" s="8" t="str">
        <f>IF(SUMIF($A$5:$A$14, 'Consolidado por área'!B46, $B$5:$B$14)&gt;=1, 'Consolidado por área'!C46, "")</f>
        <v/>
      </c>
      <c r="G46" s="8" t="str">
        <f>IF(SUMIF($A$5:$A$14, 'Consolidado por área'!B46, $B$5:$B$14)&gt;=1, 'Consolidado por área'!D46, "")</f>
        <v/>
      </c>
      <c r="H46" s="8" t="str">
        <f>IF(SUMIF($A$5:$A$14, 'Consolidado por área'!B46, $B$5:$B$14)&gt;=1, 'Consolidado por área'!E46, "")</f>
        <v/>
      </c>
      <c r="I46" s="9" t="str">
        <f>IF(SUMIF($A$5:$A$14, 'Consolidado por área'!B46, $B$5:$B$14)&gt;=1, 'Consolidado por área'!F46, "")</f>
        <v/>
      </c>
      <c r="J46" s="4" t="str">
        <f>IF(SUMIF($A$5:$A$14, 'Consolidado por área'!B46, $B$5:$B$14)&gt;=1, 'Consolidado por área'!G46, "")</f>
        <v/>
      </c>
      <c r="K46" s="7" t="str">
        <f>IF(SUMIF($A$5:$A$14, 'Consolidado por área'!B46, $B$5:$B$14)&gt;=1, 'Consolidado por área'!H46, "")</f>
        <v/>
      </c>
      <c r="L46" s="23" t="str">
        <f>IF(SUMIF($A$5:$A$14, 'Consolidado por área'!B46, $B$5:$B$14)&gt;=1, 'Consolidado por área'!L46, "")</f>
        <v/>
      </c>
    </row>
    <row r="47">
      <c r="D47" s="5" t="str">
        <f>IF(SUMIF($A$5:$A$14, 'Consolidado por área'!B47, $B$5:$B$14)&gt;=1, 'Consolidado por área'!A47, "")</f>
        <v/>
      </c>
      <c r="E47" s="5" t="str">
        <f>IF(SUMIF($A$5:$A$14, 'Consolidado por área'!B47, $B$5:$B$14)&gt;=1, 'Consolidado por área'!B47, "")</f>
        <v/>
      </c>
      <c r="F47" s="8" t="str">
        <f>IF(SUMIF($A$5:$A$14, 'Consolidado por área'!B47, $B$5:$B$14)&gt;=1, 'Consolidado por área'!C47, "")</f>
        <v/>
      </c>
      <c r="G47" s="8" t="str">
        <f>IF(SUMIF($A$5:$A$14, 'Consolidado por área'!B47, $B$5:$B$14)&gt;=1, 'Consolidado por área'!D47, "")</f>
        <v/>
      </c>
      <c r="H47" s="8" t="str">
        <f>IF(SUMIF($A$5:$A$14, 'Consolidado por área'!B47, $B$5:$B$14)&gt;=1, 'Consolidado por área'!E47, "")</f>
        <v/>
      </c>
      <c r="I47" s="9" t="str">
        <f>IF(SUMIF($A$5:$A$14, 'Consolidado por área'!B47, $B$5:$B$14)&gt;=1, 'Consolidado por área'!F47, "")</f>
        <v/>
      </c>
      <c r="J47" s="4" t="str">
        <f>IF(SUMIF($A$5:$A$14, 'Consolidado por área'!B47, $B$5:$B$14)&gt;=1, 'Consolidado por área'!G47, "")</f>
        <v/>
      </c>
      <c r="K47" s="7" t="str">
        <f>IF(SUMIF($A$5:$A$14, 'Consolidado por área'!B47, $B$5:$B$14)&gt;=1, 'Consolidado por área'!H47, "")</f>
        <v/>
      </c>
      <c r="L47" s="23" t="str">
        <f>IF(SUMIF($A$5:$A$14, 'Consolidado por área'!B47, $B$5:$B$14)&gt;=1, 'Consolidado por área'!L47, 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1" workbookViewId="0">
      <selection activeCell="A1" sqref="A1"/>
    </sheetView>
  </sheetViews>
  <sheetFormatPr baseColWidth="8" defaultRowHeight="15"/>
  <cols>
    <col width="47" customWidth="1" min="1" max="1"/>
    <col width="12" customWidth="1" min="2" max="2"/>
    <col width="12" customWidth="1" min="3" max="3"/>
    <col width="47" customWidth="1" min="4" max="4"/>
    <col width="12" customWidth="1" min="5" max="5"/>
    <col width="12" customWidth="1" min="6" max="6"/>
    <col width="25" customWidth="1" min="7" max="7"/>
    <col width="12" customWidth="1" min="8" max="8"/>
    <col width="12" customWidth="1" min="9" max="9"/>
    <col width="20" customWidth="1" min="10" max="10"/>
    <col width="12" customWidth="1" min="11" max="11"/>
    <col width="12" customWidth="1" min="12" max="12"/>
    <col width="12" customWidth="1" min="13" max="13"/>
    <col width="15" customWidth="1" min="14" max="14"/>
    <col width="12" customWidth="1" min="15" max="15"/>
  </cols>
  <sheetData>
    <row r="1">
      <c r="A1" s="1" t="inlineStr">
        <is>
          <t>DASHBOARD EJECUTIVO DE CUMPLIMIENTO (POR GERENCIA)</t>
        </is>
      </c>
      <c r="D1" s="12" t="n"/>
      <c r="E1" s="12" t="n"/>
      <c r="F1" s="12" t="n"/>
    </row>
    <row r="2">
      <c r="A2" s="2" t="inlineStr">
        <is>
          <t>Resumen gerencial de avance institucional y por gerencia</t>
        </is>
      </c>
      <c r="D2" s="12" t="n"/>
      <c r="E2" s="12" t="n"/>
      <c r="F2" s="12" t="n"/>
    </row>
    <row r="4">
      <c r="A4" s="13" t="inlineStr">
        <is>
          <t>TOTAL PERSONAL ESPERADO</t>
        </is>
      </c>
      <c r="D4" s="14" t="inlineStr">
        <is>
          <t>TOTAL COMPLETADOS</t>
        </is>
      </c>
      <c r="E4" s="19" t="n"/>
      <c r="F4" s="12" t="n"/>
      <c r="G4" s="13" t="inlineStr">
        <is>
          <t>% CUMPLIMIENTO GLOBAL</t>
        </is>
      </c>
      <c r="J4" s="13" t="inlineStr">
        <is>
          <t>TOTAL PENDIENTES</t>
        </is>
      </c>
      <c r="N4" t="inlineStr">
        <is>
          <t>Estado</t>
        </is>
      </c>
      <c r="O4" t="inlineStr">
        <is>
          <t>Cantidad</t>
        </is>
      </c>
    </row>
    <row r="5">
      <c r="A5" s="15">
        <f>SUM('Consolidado por Gerencia'!$B$5:$B$14)</f>
        <v>291</v>
      </c>
      <c r="D5" s="16">
        <f>SUM('Consolidado por Gerencia'!$C$5:$C$14)</f>
        <v>146</v>
      </c>
      <c r="E5" s="20" t="n"/>
      <c r="F5" s="12" t="n"/>
      <c r="G5" s="17">
        <f>D5/A5</f>
        <v>0.501718213058419</v>
      </c>
      <c r="J5" s="15">
        <f>A5-D5</f>
        <v>145</v>
      </c>
      <c r="N5" t="inlineStr">
        <is>
          <t>Completados</t>
        </is>
      </c>
      <c r="O5">
        <f>D5</f>
        <v>146</v>
      </c>
    </row>
    <row r="6">
      <c r="D6" s="21" t="n"/>
      <c r="E6" s="22" t="n"/>
      <c r="N6" t="inlineStr">
        <is>
          <t>Pendientes</t>
        </is>
      </c>
      <c r="O6">
        <f>J5</f>
        <v>145</v>
      </c>
    </row>
    <row r="7">
      <c r="D7" s="12" t="n"/>
      <c r="E7" s="12" t="n"/>
      <c r="F7" s="12" t="n"/>
    </row>
    <row r="8">
      <c r="D8" s="12" t="n"/>
      <c r="E8" s="12" t="n"/>
      <c r="F8" s="12" t="n"/>
    </row>
    <row r="10">
      <c r="D10" s="12" t="n"/>
      <c r="E10" s="12" t="n"/>
      <c r="F10" s="12" t="n"/>
    </row>
    <row r="11">
      <c r="D11" s="12" t="n"/>
      <c r="E11" s="12" t="n"/>
      <c r="F11" s="12" t="n"/>
    </row>
  </sheetData>
  <mergeCells count="8">
    <mergeCell ref="A4:B4"/>
    <mergeCell ref="G4:H4"/>
    <mergeCell ref="J4:K4"/>
    <mergeCell ref="D5:E6"/>
    <mergeCell ref="A5:B6"/>
    <mergeCell ref="G5:H6"/>
    <mergeCell ref="D4:E4"/>
    <mergeCell ref="J5:K6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1"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1" t="inlineStr">
        <is>
          <t>DASHBOARD — CUMPLIMIENTO POR DEPARTAMENTO / AGENCIA</t>
        </is>
      </c>
    </row>
    <row r="2">
      <c r="A2" s="2" t="inlineStr">
        <is>
          <t>Gráfica detallada de completados y pendientes por cada área institucional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inlineStr">
        <is>
          <t>DEPARTAMENTO DE PROCESOS</t>
        </is>
      </c>
      <c r="C5" s="4" t="n">
        <v>3</v>
      </c>
      <c r="D5" s="4" t="inlineStr">
        <is>
          <t>2026-10-01 10:35:45</t>
        </is>
      </c>
      <c r="E5" s="7" t="n">
        <v>100</v>
      </c>
    </row>
    <row r="6">
      <c r="A6" s="18" t="inlineStr">
        <is>
          <t>2° Lugar</t>
        </is>
      </c>
      <c r="B6" s="5" t="inlineStr">
        <is>
          <t>OFICIALIA DE SEGURIDAD DE LA INFORMACION</t>
        </is>
      </c>
      <c r="C6" s="4" t="n">
        <v>4</v>
      </c>
      <c r="D6" s="4" t="inlineStr">
        <is>
          <t>2026-10-01 10:46:42</t>
        </is>
      </c>
      <c r="E6" s="7" t="n">
        <v>96.25</v>
      </c>
    </row>
    <row r="7">
      <c r="A7" s="18" t="inlineStr">
        <is>
          <t>3° Lugar</t>
        </is>
      </c>
      <c r="B7" s="5" t="inlineStr">
        <is>
          <t>DEPARTAMENTO DE SEGURIDAD</t>
        </is>
      </c>
      <c r="C7" s="4" t="n">
        <v>2</v>
      </c>
      <c r="D7" s="4" t="inlineStr">
        <is>
          <t>2026-10-01 11:03:27</t>
        </is>
      </c>
      <c r="E7" s="7" t="n">
        <v>95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José Augusto De la O Gallegos</t>
        </is>
      </c>
      <c r="C5" s="5" t="inlineStr">
        <is>
          <t>Gerencia de Finanzas y Planificación</t>
        </is>
      </c>
      <c r="D5" s="4" t="inlineStr">
        <is>
          <t>2026-10-01 10:14:58</t>
        </is>
      </c>
      <c r="E5" s="4" t="inlineStr">
        <is>
          <t>2026-10-01 10:18:34</t>
        </is>
      </c>
      <c r="F5" s="7" t="n">
        <v>3.6</v>
      </c>
      <c r="G5" s="4" t="n">
        <v>100</v>
      </c>
    </row>
    <row r="6">
      <c r="A6" s="4" t="n">
        <v>2</v>
      </c>
      <c r="B6" s="5" t="inlineStr">
        <is>
          <t>Henry Oswaldo Pineda García</t>
        </is>
      </c>
      <c r="C6" s="5" t="inlineStr">
        <is>
          <t>Seguros</t>
        </is>
      </c>
      <c r="D6" s="4" t="inlineStr">
        <is>
          <t>2026-10-01 10:14:02</t>
        </is>
      </c>
      <c r="E6" s="4" t="inlineStr">
        <is>
          <t>2026-10-01 10:21:54</t>
        </is>
      </c>
      <c r="F6" s="7" t="n">
        <v>7.866666666666666</v>
      </c>
      <c r="G6" s="4" t="n">
        <v>100</v>
      </c>
    </row>
    <row r="7">
      <c r="A7" s="4" t="n">
        <v>3</v>
      </c>
      <c r="B7" s="5" t="inlineStr">
        <is>
          <t>Sara Patricia González de Jiménez</t>
        </is>
      </c>
      <c r="C7" s="5" t="inlineStr">
        <is>
          <t>Departamento de Riesgos</t>
        </is>
      </c>
      <c r="D7" s="4" t="inlineStr">
        <is>
          <t>2026-10-01 10:28:49</t>
        </is>
      </c>
      <c r="E7" s="4" t="inlineStr">
        <is>
          <t>2026-10-01 10:31:52</t>
        </is>
      </c>
      <c r="F7" s="7" t="n">
        <v>3.05</v>
      </c>
      <c r="G7" s="4" t="n">
        <v>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49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58" customWidth="1" min="3" max="3"/>
    <col width="57" customWidth="1" min="4" max="4"/>
    <col width="43" customWidth="1" min="5" max="5"/>
  </cols>
  <sheetData>
    <row r="1">
      <c r="A1" s="1" t="inlineStr">
        <is>
          <t>LISTADO GENERAL DE COLABORADORES PENDIENTES</t>
        </is>
      </c>
    </row>
    <row r="2">
      <c r="A2" s="2" t="inlineStr">
        <is>
          <t>Colaboradores del listado oficial que aún no han completado la evaluación.</t>
        </is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inlineStr">
        <is>
          <t xml:space="preserve">MERALYS CHAVEZ RODRIGUEZ </t>
        </is>
      </c>
      <c r="B5" s="4" t="inlineStr">
        <is>
          <t>330</t>
        </is>
      </c>
      <c r="C5" s="5" t="inlineStr">
        <is>
          <t>AUDITOR INTERNO</t>
        </is>
      </c>
      <c r="D5" s="5" t="inlineStr">
        <is>
          <t>DEPARTAMENTO DE AUDITORIA INTERNA</t>
        </is>
      </c>
      <c r="E5" s="5" t="inlineStr">
        <is>
          <t>Auditoría Interna</t>
        </is>
      </c>
    </row>
    <row r="6">
      <c r="A6" s="5" t="inlineStr">
        <is>
          <t xml:space="preserve">NELSON DANILO BENITEZ MENDEZ </t>
        </is>
      </c>
      <c r="B6" s="4" t="inlineStr">
        <is>
          <t>534</t>
        </is>
      </c>
      <c r="C6" s="5" t="inlineStr">
        <is>
          <t>AUDITOR DE SISTEMAS</t>
        </is>
      </c>
      <c r="D6" s="5" t="inlineStr">
        <is>
          <t>DEPARTAMENTO DE AUDITORIA INTERNA</t>
        </is>
      </c>
      <c r="E6" s="5" t="inlineStr">
        <is>
          <t>Auditoría Interna</t>
        </is>
      </c>
    </row>
    <row r="7">
      <c r="A7" s="5" t="inlineStr">
        <is>
          <t xml:space="preserve">GLADIS OSIRIS VALLE HERNANDEZ </t>
        </is>
      </c>
      <c r="B7" s="4" t="inlineStr">
        <is>
          <t>609</t>
        </is>
      </c>
      <c r="C7" s="5" t="inlineStr">
        <is>
          <t>ENFERMERA</t>
        </is>
      </c>
      <c r="D7" s="5" t="inlineStr">
        <is>
          <t>CLINICA EMPRESARIAL</t>
        </is>
      </c>
      <c r="E7" s="5" t="inlineStr">
        <is>
          <t>Gerencia Administrativa</t>
        </is>
      </c>
    </row>
    <row r="8">
      <c r="A8" s="5" t="inlineStr">
        <is>
          <t xml:space="preserve">LORENA ELIZABETH GALDAMEZ NUÑEZ </t>
        </is>
      </c>
      <c r="B8" s="4" t="inlineStr">
        <is>
          <t>590</t>
        </is>
      </c>
      <c r="C8" s="5" t="inlineStr">
        <is>
          <t>MEDICO</t>
        </is>
      </c>
      <c r="D8" s="5" t="inlineStr">
        <is>
          <t>CLINICA EMPRESARIAL</t>
        </is>
      </c>
      <c r="E8" s="5" t="inlineStr">
        <is>
          <t>Gerencia Administrativa</t>
        </is>
      </c>
    </row>
    <row r="9">
      <c r="A9" s="5" t="inlineStr">
        <is>
          <t xml:space="preserve">MAURICIO ANTONIO RAMIREZ PEREZ </t>
        </is>
      </c>
      <c r="B9" s="4" t="inlineStr">
        <is>
          <t>436</t>
        </is>
      </c>
      <c r="C9" s="5" t="inlineStr">
        <is>
          <t>AUXILIAR DE MANTENIMIENTO</t>
        </is>
      </c>
      <c r="D9" s="5" t="inlineStr">
        <is>
          <t>DEPARTAMENTO DE SERVICIOS GENERALES</t>
        </is>
      </c>
      <c r="E9" s="5" t="inlineStr">
        <is>
          <t>Gerencia Administrativa</t>
        </is>
      </c>
    </row>
    <row r="10">
      <c r="A10" s="5" t="inlineStr">
        <is>
          <t xml:space="preserve">DORA ALICIA CASTILLO </t>
        </is>
      </c>
      <c r="B10" s="4" t="inlineStr">
        <is>
          <t>65</t>
        </is>
      </c>
      <c r="C10" s="5" t="inlineStr">
        <is>
          <t>JEFE DE TALENTO HUMANO</t>
        </is>
      </c>
      <c r="D10" s="5" t="inlineStr">
        <is>
          <t>DEPARTAMENTO DE TALENTO HUMANO</t>
        </is>
      </c>
      <c r="E10" s="5" t="inlineStr">
        <is>
          <t>Gerencia Administrativa</t>
        </is>
      </c>
    </row>
    <row r="11">
      <c r="A11" s="5" t="inlineStr">
        <is>
          <t>MARTA LILLIAN VIGIL QUIJANO</t>
        </is>
      </c>
      <c r="B11" s="4" t="inlineStr">
        <is>
          <t>45</t>
        </is>
      </c>
      <c r="C11" s="5" t="inlineStr">
        <is>
          <t>ASISTENTE ADMINISTRATIVO DE GERENCIA  ADMINISTRATIVA</t>
        </is>
      </c>
      <c r="D11" s="5" t="inlineStr">
        <is>
          <t>GERENCIA  ADMINISTRATIVA</t>
        </is>
      </c>
      <c r="E11" s="5" t="inlineStr">
        <is>
          <t>Gerencia Administrativa</t>
        </is>
      </c>
    </row>
    <row r="12">
      <c r="A12" s="5" t="inlineStr">
        <is>
          <t xml:space="preserve">HENRRY DANIEL ESCAMILLA ZALDAÑA </t>
        </is>
      </c>
      <c r="B12" s="4" t="inlineStr">
        <is>
          <t>928</t>
        </is>
      </c>
      <c r="C12" s="5" t="inlineStr">
        <is>
          <t>JEFE DE ADMINISTRACION DE RIESGOS</t>
        </is>
      </c>
      <c r="D12" s="5" t="inlineStr">
        <is>
          <t>ADMINISTRACION DE RIESGOS</t>
        </is>
      </c>
      <c r="E12" s="5" t="inlineStr">
        <is>
          <t>Gerencia General</t>
        </is>
      </c>
    </row>
    <row r="13">
      <c r="A13" s="5" t="inlineStr">
        <is>
          <t xml:space="preserve">ANTONIO ALEXANDER  ALFARO ARGUETA </t>
        </is>
      </c>
      <c r="B13" s="4" t="inlineStr">
        <is>
          <t>669</t>
        </is>
      </c>
      <c r="C13" s="5" t="inlineStr">
        <is>
          <t>EJECUTIVO DE NEGOCIOS</t>
        </is>
      </c>
      <c r="D13" s="5" t="inlineStr">
        <is>
          <t>DEPARTAMENTO COMERCIAL DE TARJETA DE CREDITO Y DEBITO</t>
        </is>
      </c>
      <c r="E13" s="5" t="inlineStr">
        <is>
          <t>Gerencia General</t>
        </is>
      </c>
    </row>
    <row r="14">
      <c r="A14" s="5" t="inlineStr">
        <is>
          <t xml:space="preserve">GABRIEL FRANCISCO MOLINA DIAZ </t>
        </is>
      </c>
      <c r="B14" s="4" t="inlineStr">
        <is>
          <t>858</t>
        </is>
      </c>
      <c r="C14" s="5" t="inlineStr">
        <is>
          <t>EJECUTIVO DE NEGOCIOS</t>
        </is>
      </c>
      <c r="D14" s="5" t="inlineStr">
        <is>
          <t>DEPARTAMENTO COMERCIAL DE TARJETA DE CREDITO Y DEBITO</t>
        </is>
      </c>
      <c r="E14" s="5" t="inlineStr">
        <is>
          <t>Gerencia General</t>
        </is>
      </c>
    </row>
    <row r="15">
      <c r="A15" s="5" t="inlineStr">
        <is>
          <t xml:space="preserve">JOSE ALEXANDER ABREGO </t>
        </is>
      </c>
      <c r="B15" s="4" t="inlineStr">
        <is>
          <t>655</t>
        </is>
      </c>
      <c r="C15" s="5" t="inlineStr">
        <is>
          <t>EJECUTIVO DE NEGOCIOS</t>
        </is>
      </c>
      <c r="D15" s="5" t="inlineStr">
        <is>
          <t>DEPARTAMENTO COMERCIAL DE TARJETA DE CREDITO Y DEBITO</t>
        </is>
      </c>
      <c r="E15" s="5" t="inlineStr">
        <is>
          <t>Gerencia General</t>
        </is>
      </c>
    </row>
    <row r="16">
      <c r="A16" s="5" t="inlineStr">
        <is>
          <t xml:space="preserve">LUIS ALBERTO MEJIA DELGADO </t>
        </is>
      </c>
      <c r="B16" s="4" t="inlineStr">
        <is>
          <t>835</t>
        </is>
      </c>
      <c r="C16" s="5" t="inlineStr">
        <is>
          <t>EJECUTIVO DE NEGOCIOS</t>
        </is>
      </c>
      <c r="D16" s="5" t="inlineStr">
        <is>
          <t>DEPARTAMENTO COMERCIAL DE TARJETA DE CREDITO Y DEBITO</t>
        </is>
      </c>
      <c r="E16" s="5" t="inlineStr">
        <is>
          <t>Gerencia General</t>
        </is>
      </c>
    </row>
    <row r="17">
      <c r="A17" s="5" t="inlineStr">
        <is>
          <t>ANTONIA SARAI BELTRAN CARBALLO</t>
        </is>
      </c>
      <c r="B17" s="4" t="inlineStr">
        <is>
          <t>17</t>
        </is>
      </c>
      <c r="C17" s="5" t="inlineStr">
        <is>
          <t>ASISTENTE ADMINISTRATIVO DE GERENCIA GENERAL</t>
        </is>
      </c>
      <c r="D17" s="5" t="inlineStr">
        <is>
          <t>GERENCIA GENERAL</t>
        </is>
      </c>
      <c r="E17" s="5" t="inlineStr">
        <is>
          <t>Gerencia General</t>
        </is>
      </c>
    </row>
    <row r="18">
      <c r="A18" s="5" t="inlineStr">
        <is>
          <t xml:space="preserve">NELSON ULISES CAMPOS FLORES </t>
        </is>
      </c>
      <c r="B18" s="4" t="inlineStr">
        <is>
          <t>977</t>
        </is>
      </c>
      <c r="C18" s="5" t="inlineStr">
        <is>
          <t>GERENTE GENERAL</t>
        </is>
      </c>
      <c r="D18" s="5" t="inlineStr">
        <is>
          <t>GERENCIA GENERAL</t>
        </is>
      </c>
      <c r="E18" s="5" t="inlineStr">
        <is>
          <t>Gerencia General</t>
        </is>
      </c>
    </row>
    <row r="19">
      <c r="A19" s="5" t="inlineStr">
        <is>
          <t xml:space="preserve">ANDREA RAQUEL MONTOYA ALARCON </t>
        </is>
      </c>
      <c r="B19" s="4" t="inlineStr">
        <is>
          <t>814</t>
        </is>
      </c>
      <c r="C19" s="5" t="inlineStr">
        <is>
          <t>AUXILIAR JURIDICO DE ESCRITURACION</t>
        </is>
      </c>
      <c r="D19" s="5" t="inlineStr">
        <is>
          <t>DEPARTAMENTO LEGAL</t>
        </is>
      </c>
      <c r="E19" s="5" t="inlineStr">
        <is>
          <t>Gerencia Legal y Cumplimiento Normativo</t>
        </is>
      </c>
    </row>
    <row r="20">
      <c r="A20" s="5" t="inlineStr">
        <is>
          <t xml:space="preserve">CARLOS RENE CASTILLO GAMEZ </t>
        </is>
      </c>
      <c r="B20" s="4" t="inlineStr">
        <is>
          <t>592</t>
        </is>
      </c>
      <c r="C20" s="5" t="inlineStr">
        <is>
          <t>ASISTENTE TECNICO LEGAL</t>
        </is>
      </c>
      <c r="D20" s="5" t="inlineStr">
        <is>
          <t>DEPARTAMENTO LEGAL</t>
        </is>
      </c>
      <c r="E20" s="5" t="inlineStr">
        <is>
          <t>Gerencia Legal y Cumplimiento Normativo</t>
        </is>
      </c>
    </row>
    <row r="21">
      <c r="A21" s="5" t="inlineStr">
        <is>
          <t xml:space="preserve">CHRISTIAN ENRIQUE CAMPOS PRIVADO </t>
        </is>
      </c>
      <c r="B21" s="4" t="inlineStr">
        <is>
          <t>905</t>
        </is>
      </c>
      <c r="C21" s="5" t="inlineStr">
        <is>
          <t>ASISTENTE TECNICO LEGAL</t>
        </is>
      </c>
      <c r="D21" s="5" t="inlineStr">
        <is>
          <t>DEPARTAMENTO LEGAL</t>
        </is>
      </c>
      <c r="E21" s="5" t="inlineStr">
        <is>
          <t>Gerencia Legal y Cumplimiento Normativo</t>
        </is>
      </c>
    </row>
    <row r="22">
      <c r="A22" s="5" t="inlineStr">
        <is>
          <t xml:space="preserve">DANIELA MARIA FUENTES MEDINA </t>
        </is>
      </c>
      <c r="B22" s="4" t="inlineStr">
        <is>
          <t>843</t>
        </is>
      </c>
      <c r="C22" s="5" t="inlineStr">
        <is>
          <t>AUXILIAR JURIDICO DE CONTRATACION</t>
        </is>
      </c>
      <c r="D22" s="5" t="inlineStr">
        <is>
          <t>DEPARTAMENTO LEGAL</t>
        </is>
      </c>
      <c r="E22" s="5" t="inlineStr">
        <is>
          <t>Gerencia Legal y Cumplimiento Normativo</t>
        </is>
      </c>
    </row>
    <row r="23">
      <c r="A23" s="5" t="inlineStr">
        <is>
          <t xml:space="preserve">JUAN JOSE CAÑAS COMAYAGUA </t>
        </is>
      </c>
      <c r="B23" s="4" t="inlineStr">
        <is>
          <t>442</t>
        </is>
      </c>
      <c r="C23" s="5" t="inlineStr">
        <is>
          <t>JEFE DE DEPARTAMENTO LEGAL</t>
        </is>
      </c>
      <c r="D23" s="5" t="inlineStr">
        <is>
          <t>DEPARTAMENTO LEGAL</t>
        </is>
      </c>
      <c r="E23" s="5" t="inlineStr">
        <is>
          <t>Gerencia Legal y Cumplimiento Normativo</t>
        </is>
      </c>
    </row>
    <row r="24">
      <c r="A24" s="5" t="inlineStr">
        <is>
          <t xml:space="preserve">NICOLLE ALEXANDRA MARINERO GALLARDO </t>
        </is>
      </c>
      <c r="B24" s="4" t="inlineStr">
        <is>
          <t>831</t>
        </is>
      </c>
      <c r="C24" s="5" t="inlineStr">
        <is>
          <t>AUXILIAR JURIDICO NOTARIAL</t>
        </is>
      </c>
      <c r="D24" s="5" t="inlineStr">
        <is>
          <t>DEPARTAMENTO LEGAL</t>
        </is>
      </c>
      <c r="E24" s="5" t="inlineStr">
        <is>
          <t>Gerencia Legal y Cumplimiento Normativo</t>
        </is>
      </c>
    </row>
    <row r="25">
      <c r="A25" s="5" t="inlineStr">
        <is>
          <t xml:space="preserve">CLAUDIA MARLENE CABRERA SANCHEZ </t>
        </is>
      </c>
      <c r="B25" s="4" t="inlineStr">
        <is>
          <t>235</t>
        </is>
      </c>
      <c r="C25" s="5" t="inlineStr">
        <is>
          <t>SUPERVISOR DE CONTABILIDAD</t>
        </is>
      </c>
      <c r="D25" s="5" t="inlineStr">
        <is>
          <t>DEPARTAMENTO DE CONTABILIDAD</t>
        </is>
      </c>
      <c r="E25" s="5" t="inlineStr">
        <is>
          <t>Gerencia de Finanzas y Planificación</t>
        </is>
      </c>
    </row>
    <row r="26">
      <c r="A26" s="5" t="inlineStr">
        <is>
          <t>JENNIFER MARCELA MORALES  TORRES</t>
        </is>
      </c>
      <c r="B26" s="4" t="inlineStr">
        <is>
          <t>749</t>
        </is>
      </c>
      <c r="C26" s="5" t="inlineStr">
        <is>
          <t>CONTADOR BANCARIO</t>
        </is>
      </c>
      <c r="D26" s="5" t="inlineStr">
        <is>
          <t>DEPARTAMENTO DE CONTABILIDAD</t>
        </is>
      </c>
      <c r="E26" s="5" t="inlineStr">
        <is>
          <t>Gerencia de Finanzas y Planificación</t>
        </is>
      </c>
    </row>
    <row r="27">
      <c r="A27" s="5" t="inlineStr">
        <is>
          <t xml:space="preserve">JORDAN ALEXANDER FLORES HERRERA </t>
        </is>
      </c>
      <c r="B27" s="4" t="inlineStr">
        <is>
          <t>916</t>
        </is>
      </c>
      <c r="C27" s="5" t="inlineStr">
        <is>
          <t>AUXILIAR CONTABLE DE DIGITALIZACION</t>
        </is>
      </c>
      <c r="D27" s="5" t="inlineStr">
        <is>
          <t>DEPARTAMENTO DE CONTABILIDAD</t>
        </is>
      </c>
      <c r="E27" s="5" t="inlineStr">
        <is>
          <t>Gerencia de Finanzas y Planificación</t>
        </is>
      </c>
    </row>
    <row r="28">
      <c r="A28" s="5" t="inlineStr">
        <is>
          <t xml:space="preserve">MILAGRO TRINIDAD ROMERO MONTERROSA </t>
        </is>
      </c>
      <c r="B28" s="4" t="inlineStr">
        <is>
          <t>571</t>
        </is>
      </c>
      <c r="C28" s="5" t="inlineStr">
        <is>
          <t>ASISTENTE TECNICO DE IMPUESTOS</t>
        </is>
      </c>
      <c r="D28" s="5" t="inlineStr">
        <is>
          <t>DEPARTAMENTO DE CONTABILIDAD</t>
        </is>
      </c>
      <c r="E28" s="5" t="inlineStr">
        <is>
          <t>Gerencia de Finanzas y Planificación</t>
        </is>
      </c>
    </row>
    <row r="29">
      <c r="A29" s="5" t="inlineStr">
        <is>
          <t xml:space="preserve">RUBIA ESTELA LEIVA SIBRIAN </t>
        </is>
      </c>
      <c r="B29" s="4" t="inlineStr">
        <is>
          <t>70</t>
        </is>
      </c>
      <c r="C29" s="5" t="inlineStr">
        <is>
          <t>ASISTENTE TECNICO DE PAGOS</t>
        </is>
      </c>
      <c r="D29" s="5" t="inlineStr">
        <is>
          <t>DEPARTAMENTO DE CONTABILIDAD</t>
        </is>
      </c>
      <c r="E29" s="5" t="inlineStr">
        <is>
          <t>Gerencia de Finanzas y Planificación</t>
        </is>
      </c>
    </row>
    <row r="30">
      <c r="A30" s="5" t="inlineStr">
        <is>
          <t xml:space="preserve">THELMA JUDITH QUINTANILLA VALLE </t>
        </is>
      </c>
      <c r="B30" s="4" t="inlineStr">
        <is>
          <t>374</t>
        </is>
      </c>
      <c r="C30" s="5" t="inlineStr">
        <is>
          <t>AUXILIAR CONTABLE DE DIGITALIZACION</t>
        </is>
      </c>
      <c r="D30" s="5" t="inlineStr">
        <is>
          <t>DEPARTAMENTO DE CONTABILIDAD</t>
        </is>
      </c>
      <c r="E30" s="5" t="inlineStr">
        <is>
          <t>Gerencia de Finanzas y Planificación</t>
        </is>
      </c>
    </row>
    <row r="31">
      <c r="A31" s="5" t="inlineStr">
        <is>
          <t xml:space="preserve">EFRAIN ANTONIO  AYALA LOPEZ  </t>
        </is>
      </c>
      <c r="B31" s="4" t="inlineStr">
        <is>
          <t>946</t>
        </is>
      </c>
      <c r="C31" s="5" t="inlineStr">
        <is>
          <t>JEFE DE PLANIFICACION Y ANALISIS</t>
        </is>
      </c>
      <c r="D31" s="5" t="inlineStr">
        <is>
          <t>DEPARTAMENTO DE PLANIFICACIÓN Y ANALISIS</t>
        </is>
      </c>
      <c r="E31" s="5" t="inlineStr">
        <is>
          <t>Gerencia de Finanzas y Planificación</t>
        </is>
      </c>
    </row>
    <row r="32">
      <c r="A32" s="5" t="inlineStr">
        <is>
          <t xml:space="preserve">ESTER ALEYDA GODOY CAMPOS </t>
        </is>
      </c>
      <c r="B32" s="4" t="inlineStr">
        <is>
          <t>191</t>
        </is>
      </c>
      <c r="C32" s="5" t="inlineStr">
        <is>
          <t>ASISTENTE TECNICO DE PLANIFICACION</t>
        </is>
      </c>
      <c r="D32" s="5" t="inlineStr">
        <is>
          <t>DEPARTAMENTO DE PLANIFICACIÓN Y ANALISIS</t>
        </is>
      </c>
      <c r="E32" s="5" t="inlineStr">
        <is>
          <t>Gerencia de Finanzas y Planificación</t>
        </is>
      </c>
    </row>
    <row r="33">
      <c r="A33" s="5" t="inlineStr">
        <is>
          <t xml:space="preserve">RAFAEL ANDRES MARAVILLA GUERRA </t>
        </is>
      </c>
      <c r="B33" s="4" t="inlineStr">
        <is>
          <t>839</t>
        </is>
      </c>
      <c r="C33" s="5" t="inlineStr">
        <is>
          <t>ASISTENTE DE ANALISIS Y NORMATIVAS</t>
        </is>
      </c>
      <c r="D33" s="5" t="inlineStr">
        <is>
          <t>DEPARTAMENTO DE PLANIFICACIÓN Y ANALISIS</t>
        </is>
      </c>
      <c r="E33" s="5" t="inlineStr">
        <is>
          <t>Gerencia de Finanzas y Planificación</t>
        </is>
      </c>
    </row>
    <row r="34">
      <c r="A34" s="5" t="inlineStr">
        <is>
          <t xml:space="preserve">PAULA MARIA CALDERON PEREZ </t>
        </is>
      </c>
      <c r="B34" s="4" t="inlineStr">
        <is>
          <t>942</t>
        </is>
      </c>
      <c r="C34" s="5" t="inlineStr">
        <is>
          <t>ASISTENTE DE GERENCIA DE FINANZAS</t>
        </is>
      </c>
      <c r="D34" s="5" t="inlineStr">
        <is>
          <t>GERENCIA DE FINANZAS Y PLANIFICACIÓN</t>
        </is>
      </c>
      <c r="E34" s="5" t="inlineStr">
        <is>
          <t>Gerencia de Finanzas y Planificación</t>
        </is>
      </c>
    </row>
    <row r="35">
      <c r="A35" s="5" t="inlineStr">
        <is>
          <t xml:space="preserve">ALAN RODRIGO BENITEZ RODRIGUEZ </t>
        </is>
      </c>
      <c r="B35" s="4" t="inlineStr">
        <is>
          <t>981</t>
        </is>
      </c>
      <c r="C35" s="5" t="inlineStr">
        <is>
          <t>PASANTE</t>
        </is>
      </c>
      <c r="D35" s="5" t="inlineStr">
        <is>
          <t>DEPARTAMENTO DE ATENCION A ASOCIADO Y CLIENTE</t>
        </is>
      </c>
      <c r="E35" s="5" t="inlineStr">
        <is>
          <t>Gerencia de Negocios</t>
        </is>
      </c>
    </row>
    <row r="36">
      <c r="A36" s="5" t="inlineStr">
        <is>
          <t xml:space="preserve">EMERSON ULISES BELTRAN CORTEZ </t>
        </is>
      </c>
      <c r="B36" s="4" t="inlineStr">
        <is>
          <t>887</t>
        </is>
      </c>
      <c r="C36" s="5" t="inlineStr">
        <is>
          <t>AUXILIAR DE ATENCION A  ASOCIADOS</t>
        </is>
      </c>
      <c r="D36" s="5" t="inlineStr">
        <is>
          <t>DEPARTAMENTO DE ATENCION A ASOCIADO Y CLIENTE</t>
        </is>
      </c>
      <c r="E36" s="5" t="inlineStr">
        <is>
          <t>Gerencia de Negocios</t>
        </is>
      </c>
    </row>
    <row r="37">
      <c r="A37" s="5" t="inlineStr">
        <is>
          <t xml:space="preserve">FABIOLA ELIZABETH TICAS GOMEZ  </t>
        </is>
      </c>
      <c r="B37" s="4" t="inlineStr">
        <is>
          <t>945</t>
        </is>
      </c>
      <c r="C37" s="5" t="inlineStr">
        <is>
          <t>RECEPCIONISTA</t>
        </is>
      </c>
      <c r="D37" s="5" t="inlineStr">
        <is>
          <t>DEPARTAMENTO DE ATENCION A ASOCIADO Y CLIENTE</t>
        </is>
      </c>
      <c r="E37" s="5" t="inlineStr">
        <is>
          <t>Gerencia de Negocios</t>
        </is>
      </c>
    </row>
    <row r="38">
      <c r="A38" s="5" t="inlineStr">
        <is>
          <t>KARLA PATRICIA  ROBLES  CORTEZ</t>
        </is>
      </c>
      <c r="B38" s="4" t="inlineStr">
        <is>
          <t>744</t>
        </is>
      </c>
      <c r="C38" s="5" t="inlineStr">
        <is>
          <t>ASISTENTE TECNICO DE AFILIACION</t>
        </is>
      </c>
      <c r="D38" s="5" t="inlineStr">
        <is>
          <t>DEPARTAMENTO DE ATENCION A ASOCIADO Y CLIENTE</t>
        </is>
      </c>
      <c r="E38" s="5" t="inlineStr">
        <is>
          <t>Gerencia de Negocios</t>
        </is>
      </c>
    </row>
    <row r="39">
      <c r="A39" s="5" t="inlineStr">
        <is>
          <t>ANA ESTER ERAZO ORTIZ</t>
        </is>
      </c>
      <c r="B39" s="4" t="inlineStr">
        <is>
          <t>207</t>
        </is>
      </c>
      <c r="C39" s="5" t="inlineStr">
        <is>
          <t>ANALISTA DE CREDITOS</t>
        </is>
      </c>
      <c r="D39" s="5" t="inlineStr">
        <is>
          <t xml:space="preserve">DEPARTAMENTO DE CREDITOS </t>
        </is>
      </c>
      <c r="E39" s="5" t="inlineStr">
        <is>
          <t>Gerencia de Negocios</t>
        </is>
      </c>
    </row>
    <row r="40">
      <c r="A40" s="5" t="inlineStr">
        <is>
          <t xml:space="preserve">KARLA VANESSA GARCIA OLIVA </t>
        </is>
      </c>
      <c r="B40" s="4" t="inlineStr">
        <is>
          <t>809</t>
        </is>
      </c>
      <c r="C40" s="5" t="inlineStr">
        <is>
          <t>ANALISTA DE CREDITOS</t>
        </is>
      </c>
      <c r="D40" s="5" t="inlineStr">
        <is>
          <t xml:space="preserve">DEPARTAMENTO DE CREDITOS </t>
        </is>
      </c>
      <c r="E40" s="5" t="inlineStr">
        <is>
          <t>Gerencia de Negocios</t>
        </is>
      </c>
    </row>
    <row r="41">
      <c r="A41" s="5" t="inlineStr">
        <is>
          <t>MABEL GERALDINE RAMIREZ PORTILLO</t>
        </is>
      </c>
      <c r="B41" s="4" t="inlineStr">
        <is>
          <t>377</t>
        </is>
      </c>
      <c r="C41" s="5" t="inlineStr">
        <is>
          <t>SUPERVISOR DE ANALISTAS DE CREDITOS</t>
        </is>
      </c>
      <c r="D41" s="5" t="inlineStr">
        <is>
          <t xml:space="preserve">DEPARTAMENTO DE CREDITOS </t>
        </is>
      </c>
      <c r="E41" s="5" t="inlineStr">
        <is>
          <t>Gerencia de Negocios</t>
        </is>
      </c>
    </row>
    <row r="42">
      <c r="A42" s="5" t="inlineStr">
        <is>
          <t xml:space="preserve">MARIA LILIAN MENJIVAR GUARDADO </t>
        </is>
      </c>
      <c r="B42" s="4" t="inlineStr">
        <is>
          <t>979</t>
        </is>
      </c>
      <c r="C42" s="5" t="inlineStr">
        <is>
          <t>ANALISTA DE CREDITOS</t>
        </is>
      </c>
      <c r="D42" s="5" t="inlineStr">
        <is>
          <t xml:space="preserve">DEPARTAMENTO DE CREDITOS </t>
        </is>
      </c>
      <c r="E42" s="5" t="inlineStr">
        <is>
          <t>Gerencia de Negocios</t>
        </is>
      </c>
    </row>
    <row r="43">
      <c r="A43" s="5" t="inlineStr">
        <is>
          <t xml:space="preserve">MARIO LEONEL CANDRAY FLORES </t>
        </is>
      </c>
      <c r="B43" s="4" t="inlineStr">
        <is>
          <t>939</t>
        </is>
      </c>
      <c r="C43" s="5" t="inlineStr">
        <is>
          <t>ANALISTA DE CREDITOS</t>
        </is>
      </c>
      <c r="D43" s="5" t="inlineStr">
        <is>
          <t xml:space="preserve">DEPARTAMENTO DE CREDITOS </t>
        </is>
      </c>
      <c r="E43" s="5" t="inlineStr">
        <is>
          <t>Gerencia de Negocios</t>
        </is>
      </c>
    </row>
    <row r="44">
      <c r="A44" s="5" t="inlineStr">
        <is>
          <t xml:space="preserve">YANETH  HERNANDEZ YANES </t>
        </is>
      </c>
      <c r="B44" s="4" t="inlineStr">
        <is>
          <t>730</t>
        </is>
      </c>
      <c r="C44" s="5" t="inlineStr">
        <is>
          <t>JEFE DE CREDITOS</t>
        </is>
      </c>
      <c r="D44" s="5" t="inlineStr">
        <is>
          <t xml:space="preserve">DEPARTAMENTO DE CREDITOS </t>
        </is>
      </c>
      <c r="E44" s="5" t="inlineStr">
        <is>
          <t>Gerencia de Negocios</t>
        </is>
      </c>
    </row>
    <row r="45">
      <c r="A45" s="5" t="inlineStr">
        <is>
          <t xml:space="preserve">CARLOS EDUARDO SERVELLON PEREZ </t>
        </is>
      </c>
      <c r="B45" s="4" t="inlineStr">
        <is>
          <t>919</t>
        </is>
      </c>
      <c r="C45" s="5" t="inlineStr">
        <is>
          <t>AUXILIAR DE EDUCACION Y RESPONSABILIDAD SOCIAL</t>
        </is>
      </c>
      <c r="D45" s="5" t="inlineStr">
        <is>
          <t>DEPARTAMENTO DE EDUCACION Y RESPONSABILIDAD SOCIAL</t>
        </is>
      </c>
      <c r="E45" s="5" t="inlineStr">
        <is>
          <t>Gerencia de Negocios</t>
        </is>
      </c>
    </row>
    <row r="46">
      <c r="A46" s="5" t="inlineStr">
        <is>
          <t>ZULEYMA ALEJANDRA VASQUEZ  MARIN</t>
        </is>
      </c>
      <c r="B46" s="4" t="inlineStr">
        <is>
          <t>847</t>
        </is>
      </c>
      <c r="C46" s="5" t="inlineStr">
        <is>
          <t>JEFE DE EDUCACION Y RESPONSABILIDAD SOCIAL</t>
        </is>
      </c>
      <c r="D46" s="5" t="inlineStr">
        <is>
          <t>DEPARTAMENTO DE EDUCACION Y RESPONSABILIDAD SOCIAL</t>
        </is>
      </c>
      <c r="E46" s="5" t="inlineStr">
        <is>
          <t>Gerencia de Negocios</t>
        </is>
      </c>
    </row>
    <row r="47">
      <c r="A47" s="5" t="inlineStr">
        <is>
          <t>CARMEN MARIA GUTIERREZ ESTRADA</t>
        </is>
      </c>
      <c r="B47" s="4" t="inlineStr">
        <is>
          <t>591</t>
        </is>
      </c>
      <c r="C47" s="5" t="inlineStr">
        <is>
          <t>JEFE DE MERCADEO</t>
        </is>
      </c>
      <c r="D47" s="5" t="inlineStr">
        <is>
          <t xml:space="preserve">DEPARTAMENTO DE MERCADEO </t>
        </is>
      </c>
      <c r="E47" s="5" t="inlineStr">
        <is>
          <t>Gerencia de Negocios</t>
        </is>
      </c>
    </row>
    <row r="48">
      <c r="A48" s="5" t="inlineStr">
        <is>
          <t xml:space="preserve">GERARDO ALEXANDER  MARTINEZ RIVERA </t>
        </is>
      </c>
      <c r="B48" s="4" t="inlineStr">
        <is>
          <t>897</t>
        </is>
      </c>
      <c r="C48" s="5" t="inlineStr">
        <is>
          <t>ANALISTA DE COMUNICACIONES</t>
        </is>
      </c>
      <c r="D48" s="5" t="inlineStr">
        <is>
          <t xml:space="preserve">DEPARTAMENTO DE MERCADEO </t>
        </is>
      </c>
      <c r="E48" s="5" t="inlineStr">
        <is>
          <t>Gerencia de Negocios</t>
        </is>
      </c>
    </row>
    <row r="49">
      <c r="A49" s="5" t="inlineStr">
        <is>
          <t>IVONNE LISSETH DE JESUS RODRIGUEZ   FLORES</t>
        </is>
      </c>
      <c r="B49" s="4" t="inlineStr">
        <is>
          <t>219</t>
        </is>
      </c>
      <c r="C49" s="5" t="inlineStr">
        <is>
          <t>ASISTENTE TELEMARKETING</t>
        </is>
      </c>
      <c r="D49" s="5" t="inlineStr">
        <is>
          <t xml:space="preserve">DEPARTAMENTO DE MERCADEO </t>
        </is>
      </c>
      <c r="E49" s="5" t="inlineStr">
        <is>
          <t>Gerencia de Negocios</t>
        </is>
      </c>
    </row>
    <row r="50">
      <c r="A50" s="5" t="inlineStr">
        <is>
          <t xml:space="preserve">JOSE CARLOS IRENEO HERNANDEZ RODRIGUEZ </t>
        </is>
      </c>
      <c r="B50" s="4" t="inlineStr">
        <is>
          <t>361</t>
        </is>
      </c>
      <c r="C50" s="5" t="inlineStr">
        <is>
          <t>ASISTENTE TECNICO DE MERCADEO</t>
        </is>
      </c>
      <c r="D50" s="5" t="inlineStr">
        <is>
          <t xml:space="preserve">DEPARTAMENTO DE MERCADEO </t>
        </is>
      </c>
      <c r="E50" s="5" t="inlineStr">
        <is>
          <t>Gerencia de Negocios</t>
        </is>
      </c>
    </row>
    <row r="51">
      <c r="A51" s="5" t="inlineStr">
        <is>
          <t xml:space="preserve">LUIS FAUSTONY VASQUEZ CIENFUEGOS </t>
        </is>
      </c>
      <c r="B51" s="4" t="inlineStr">
        <is>
          <t>723</t>
        </is>
      </c>
      <c r="C51" s="5" t="inlineStr">
        <is>
          <t>GESTOR DE DOCUMENTOS</t>
        </is>
      </c>
      <c r="D51" s="5" t="inlineStr">
        <is>
          <t xml:space="preserve">DEPARTAMENTO DE MERCADEO </t>
        </is>
      </c>
      <c r="E51" s="5" t="inlineStr">
        <is>
          <t>Gerencia de Negocios</t>
        </is>
      </c>
    </row>
    <row r="52">
      <c r="A52" s="5" t="inlineStr">
        <is>
          <t xml:space="preserve">MARIA ALEJANDRA BATRES ALVARADO </t>
        </is>
      </c>
      <c r="B52" s="4" t="inlineStr">
        <is>
          <t>895</t>
        </is>
      </c>
      <c r="C52" s="5" t="inlineStr">
        <is>
          <t>DISEÑADOR  GRAFICO</t>
        </is>
      </c>
      <c r="D52" s="5" t="inlineStr">
        <is>
          <t xml:space="preserve">DEPARTAMENTO DE MERCADEO </t>
        </is>
      </c>
      <c r="E52" s="5" t="inlineStr">
        <is>
          <t>Gerencia de Negocios</t>
        </is>
      </c>
    </row>
    <row r="53">
      <c r="A53" s="5" t="inlineStr">
        <is>
          <t xml:space="preserve">CARLOS ALEXANDER ROMERO ROMERO </t>
        </is>
      </c>
      <c r="B53" s="4" t="inlineStr">
        <is>
          <t>639</t>
        </is>
      </c>
      <c r="C53" s="5" t="inlineStr">
        <is>
          <t>GESTOR DE CARTERA DE SEGUROS</t>
        </is>
      </c>
      <c r="D53" s="5" t="inlineStr">
        <is>
          <t xml:space="preserve">DEPARTAMENTO DE SEGUROS </t>
        </is>
      </c>
      <c r="E53" s="5" t="inlineStr">
        <is>
          <t>Gerencia de Negocios</t>
        </is>
      </c>
    </row>
    <row r="54">
      <c r="A54" s="5" t="inlineStr">
        <is>
          <t>CLAUDIA MARISOL MADRID BARRIENTOS</t>
        </is>
      </c>
      <c r="B54" s="4" t="inlineStr">
        <is>
          <t>544</t>
        </is>
      </c>
      <c r="C54" s="5" t="inlineStr">
        <is>
          <t>GESTOR DE  RECLAMOS Y SUSCRIPCIONES</t>
        </is>
      </c>
      <c r="D54" s="5" t="inlineStr">
        <is>
          <t xml:space="preserve">DEPARTAMENTO DE SEGUROS </t>
        </is>
      </c>
      <c r="E54" s="5" t="inlineStr">
        <is>
          <t>Gerencia de Negocios</t>
        </is>
      </c>
    </row>
    <row r="55">
      <c r="A55" s="5" t="inlineStr">
        <is>
          <t xml:space="preserve">ERIKA VANESSA ALEMAN MIJANGO </t>
        </is>
      </c>
      <c r="B55" s="4" t="inlineStr">
        <is>
          <t>802</t>
        </is>
      </c>
      <c r="C55" s="5" t="inlineStr">
        <is>
          <t>EJECUTIVO DE VENTA DE SEGUROS</t>
        </is>
      </c>
      <c r="D55" s="5" t="inlineStr">
        <is>
          <t xml:space="preserve">DEPARTAMENTO DE SEGUROS </t>
        </is>
      </c>
      <c r="E55" s="5" t="inlineStr">
        <is>
          <t>Gerencia de Negocios</t>
        </is>
      </c>
    </row>
    <row r="56">
      <c r="A56" s="5" t="inlineStr">
        <is>
          <t xml:space="preserve">JENNYFER AYLIN ESCOBAR ZAMORA </t>
        </is>
      </c>
      <c r="B56" s="4" t="inlineStr">
        <is>
          <t>792</t>
        </is>
      </c>
      <c r="C56" s="5" t="inlineStr">
        <is>
          <t>COORDINADOR COMERCIAL DE SEGUROS</t>
        </is>
      </c>
      <c r="D56" s="5" t="inlineStr">
        <is>
          <t xml:space="preserve">DEPARTAMENTO DE SEGUROS </t>
        </is>
      </c>
      <c r="E56" s="5" t="inlineStr">
        <is>
          <t>Gerencia de Negocios</t>
        </is>
      </c>
    </row>
    <row r="57">
      <c r="A57" s="5" t="inlineStr">
        <is>
          <t xml:space="preserve">JUANA HAZEL GARCIA COREAS </t>
        </is>
      </c>
      <c r="B57" s="4" t="inlineStr">
        <is>
          <t>805</t>
        </is>
      </c>
      <c r="C57" s="5" t="inlineStr">
        <is>
          <t>EJECUTIVO DE VENTA DE SEGUROS</t>
        </is>
      </c>
      <c r="D57" s="5" t="inlineStr">
        <is>
          <t xml:space="preserve">DEPARTAMENTO DE SEGUROS </t>
        </is>
      </c>
      <c r="E57" s="5" t="inlineStr">
        <is>
          <t>Gerencia de Negocios</t>
        </is>
      </c>
    </row>
    <row r="58">
      <c r="A58" s="5" t="inlineStr">
        <is>
          <t xml:space="preserve">LISSETTE MARICELA SANCHEZ MOLINA </t>
        </is>
      </c>
      <c r="B58" s="4" t="inlineStr">
        <is>
          <t>643</t>
        </is>
      </c>
      <c r="C58" s="5" t="inlineStr">
        <is>
          <t>ASISTENTE DE SEGUROS</t>
        </is>
      </c>
      <c r="D58" s="5" t="inlineStr">
        <is>
          <t xml:space="preserve">DEPARTAMENTO DE SEGUROS </t>
        </is>
      </c>
      <c r="E58" s="5" t="inlineStr">
        <is>
          <t>Gerencia de Negocios</t>
        </is>
      </c>
    </row>
    <row r="59">
      <c r="A59" s="5" t="inlineStr">
        <is>
          <t xml:space="preserve">ALBA BEATRIZ MELENDEZ PRUDENCIO </t>
        </is>
      </c>
      <c r="B59" s="4" t="inlineStr">
        <is>
          <t>885</t>
        </is>
      </c>
      <c r="C59" s="5" t="inlineStr">
        <is>
          <t>ASISTENTE DE RECUPERACION JUDICIAL Y CARTERA CASTIGADA</t>
        </is>
      </c>
      <c r="D59" s="5" t="inlineStr">
        <is>
          <t>DEPARTAMENTO DE SOLUCIONES FINANCIERAS</t>
        </is>
      </c>
      <c r="E59" s="5" t="inlineStr">
        <is>
          <t>Gerencia de Negocios</t>
        </is>
      </c>
    </row>
    <row r="60">
      <c r="A60" s="5" t="inlineStr">
        <is>
          <t xml:space="preserve">ANA GRISELDA SIGÜENZA MARTINEZ </t>
        </is>
      </c>
      <c r="B60" s="4" t="inlineStr">
        <is>
          <t>528</t>
        </is>
      </c>
      <c r="C60" s="5" t="inlineStr">
        <is>
          <t>AUXILIAR DE DEPARTAMENTO DE SOLUCIONES FINANCIERAS</t>
        </is>
      </c>
      <c r="D60" s="5" t="inlineStr">
        <is>
          <t>DEPARTAMENTO DE SOLUCIONES FINANCIERAS</t>
        </is>
      </c>
      <c r="E60" s="5" t="inlineStr">
        <is>
          <t>Gerencia de Negocios</t>
        </is>
      </c>
    </row>
    <row r="61">
      <c r="A61" s="5" t="inlineStr">
        <is>
          <t>ANA SILVIA MARTINEZ  RODRIGUEZ</t>
        </is>
      </c>
      <c r="B61" s="4" t="inlineStr">
        <is>
          <t>289</t>
        </is>
      </c>
      <c r="C61" s="5" t="inlineStr">
        <is>
          <t>EJECUTIVO DE SOLUCIONES FINANCIERAS</t>
        </is>
      </c>
      <c r="D61" s="5" t="inlineStr">
        <is>
          <t>DEPARTAMENTO DE SOLUCIONES FINANCIERAS</t>
        </is>
      </c>
      <c r="E61" s="5" t="inlineStr">
        <is>
          <t>Gerencia de Negocios</t>
        </is>
      </c>
    </row>
    <row r="62">
      <c r="A62" s="5" t="inlineStr">
        <is>
          <t xml:space="preserve">JUAN PABLO HENRIQUEZ RAMIREZ </t>
        </is>
      </c>
      <c r="B62" s="4" t="inlineStr">
        <is>
          <t>573</t>
        </is>
      </c>
      <c r="C62" s="5" t="inlineStr">
        <is>
          <t>EJECUTIVO DE SOLUCIONES FINANCIERAS</t>
        </is>
      </c>
      <c r="D62" s="5" t="inlineStr">
        <is>
          <t>DEPARTAMENTO DE SOLUCIONES FINANCIERAS</t>
        </is>
      </c>
      <c r="E62" s="5" t="inlineStr">
        <is>
          <t>Gerencia de Negocios</t>
        </is>
      </c>
    </row>
    <row r="63">
      <c r="A63" s="5" t="inlineStr">
        <is>
          <t>ROSA ELIZABETH RIVAS AGUILUZ</t>
        </is>
      </c>
      <c r="B63" s="4" t="inlineStr">
        <is>
          <t>182</t>
        </is>
      </c>
      <c r="C63" s="5" t="inlineStr">
        <is>
          <t>EJECUTIVO DE SOLUCIONES FINANCIERAS</t>
        </is>
      </c>
      <c r="D63" s="5" t="inlineStr">
        <is>
          <t>DEPARTAMENTO DE SOLUCIONES FINANCIERAS</t>
        </is>
      </c>
      <c r="E63" s="5" t="inlineStr">
        <is>
          <t>Gerencia de Negocios</t>
        </is>
      </c>
    </row>
    <row r="64">
      <c r="A64" s="5" t="inlineStr">
        <is>
          <t xml:space="preserve">SANDRA GUADALUPE ROQUE SANCHEZ </t>
        </is>
      </c>
      <c r="B64" s="4" t="inlineStr">
        <is>
          <t>298</t>
        </is>
      </c>
      <c r="C64" s="5" t="inlineStr">
        <is>
          <t>EJECUTIVO DE SOLUCIONES FINANCIERAS</t>
        </is>
      </c>
      <c r="D64" s="5" t="inlineStr">
        <is>
          <t>DEPARTAMENTO DE SOLUCIONES FINANCIERAS</t>
        </is>
      </c>
      <c r="E64" s="5" t="inlineStr">
        <is>
          <t>Gerencia de Negocios</t>
        </is>
      </c>
    </row>
    <row r="65">
      <c r="A65" s="5" t="inlineStr">
        <is>
          <t xml:space="preserve">XOCHILT VERONICA NOUBLEAU </t>
        </is>
      </c>
      <c r="B65" s="4" t="inlineStr">
        <is>
          <t>263</t>
        </is>
      </c>
      <c r="C65" s="5" t="inlineStr">
        <is>
          <t>EJECUTIVO DE SOLUCIONES FINANCIERAS</t>
        </is>
      </c>
      <c r="D65" s="5" t="inlineStr">
        <is>
          <t>DEPARTAMENTO DE SOLUCIONES FINANCIERAS</t>
        </is>
      </c>
      <c r="E65" s="5" t="inlineStr">
        <is>
          <t>Gerencia de Negocios</t>
        </is>
      </c>
    </row>
    <row r="66">
      <c r="A66" s="5" t="inlineStr">
        <is>
          <t xml:space="preserve">YENIS MARILU ESCOBAR SORTO </t>
        </is>
      </c>
      <c r="B66" s="4" t="inlineStr">
        <is>
          <t>34</t>
        </is>
      </c>
      <c r="C66" s="5" t="inlineStr">
        <is>
          <t>EJECUTIVO DE SOLUCIONES FINANCIERAS</t>
        </is>
      </c>
      <c r="D66" s="5" t="inlineStr">
        <is>
          <t>DEPARTAMENTO DE SOLUCIONES FINANCIERAS</t>
        </is>
      </c>
      <c r="E66" s="5" t="inlineStr">
        <is>
          <t>Gerencia de Negocios</t>
        </is>
      </c>
    </row>
    <row r="67">
      <c r="A67" s="5" t="inlineStr">
        <is>
          <t xml:space="preserve">JOSE HUMBERTO BARILLAS BURGOS </t>
        </is>
      </c>
      <c r="B67" s="4" t="inlineStr">
        <is>
          <t>741</t>
        </is>
      </c>
      <c r="C67" s="5" t="inlineStr">
        <is>
          <t>GERENTE DE NEGOCIOS</t>
        </is>
      </c>
      <c r="D67" s="5" t="inlineStr">
        <is>
          <t>GERENCIA DE NEGOCIOS</t>
        </is>
      </c>
      <c r="E67" s="5" t="inlineStr">
        <is>
          <t>Gerencia de Negocios</t>
        </is>
      </c>
    </row>
    <row r="68">
      <c r="A68" s="5" t="inlineStr">
        <is>
          <t xml:space="preserve">JUAN CARLOS AGUILAR ASCENCIO </t>
        </is>
      </c>
      <c r="B68" s="4" t="inlineStr">
        <is>
          <t>581</t>
        </is>
      </c>
      <c r="C68" s="5" t="inlineStr">
        <is>
          <t>CAJERO MOVIL</t>
        </is>
      </c>
      <c r="D68" s="5" t="inlineStr">
        <is>
          <t xml:space="preserve">SUB GERENCIA DE CANALES </t>
        </is>
      </c>
      <c r="E68" s="5" t="inlineStr">
        <is>
          <t>Gerencia de Negocios</t>
        </is>
      </c>
    </row>
    <row r="69">
      <c r="A69" s="5" t="inlineStr">
        <is>
          <t xml:space="preserve">LUIS FERNANDO MORAN GARCIA </t>
        </is>
      </c>
      <c r="B69" s="4" t="inlineStr">
        <is>
          <t>651</t>
        </is>
      </c>
      <c r="C69" s="5" t="inlineStr">
        <is>
          <t>JEFE MOVIL DE AGENCIAS</t>
        </is>
      </c>
      <c r="D69" s="5" t="inlineStr">
        <is>
          <t xml:space="preserve">SUB GERENCIA DE CANALES </t>
        </is>
      </c>
      <c r="E69" s="5" t="inlineStr">
        <is>
          <t>Gerencia de Negocios</t>
        </is>
      </c>
    </row>
    <row r="70">
      <c r="A70" s="5" t="inlineStr">
        <is>
          <t xml:space="preserve">REBECA ABIGAIL VEGA FLORES </t>
        </is>
      </c>
      <c r="B70" s="4" t="inlineStr">
        <is>
          <t>854</t>
        </is>
      </c>
      <c r="C70" s="5" t="inlineStr">
        <is>
          <t>CAJERO MOVIL</t>
        </is>
      </c>
      <c r="D70" s="5" t="inlineStr">
        <is>
          <t xml:space="preserve">SUB GERENCIA DE CANALES </t>
        </is>
      </c>
      <c r="E70" s="5" t="inlineStr">
        <is>
          <t>Gerencia de Negocios</t>
        </is>
      </c>
    </row>
    <row r="71">
      <c r="A71" s="5" t="inlineStr">
        <is>
          <t xml:space="preserve">SAMUEL ALBERTO SALGUERO RODRIGUEZ </t>
        </is>
      </c>
      <c r="B71" s="4" t="inlineStr">
        <is>
          <t>968</t>
        </is>
      </c>
      <c r="C71" s="5" t="inlineStr">
        <is>
          <t>CAJERO MOVIL</t>
        </is>
      </c>
      <c r="D71" s="5" t="inlineStr">
        <is>
          <t xml:space="preserve">SUB GERENCIA DE CANALES </t>
        </is>
      </c>
      <c r="E71" s="5" t="inlineStr">
        <is>
          <t>Gerencia de Negocios</t>
        </is>
      </c>
    </row>
    <row r="72">
      <c r="A72" s="5" t="inlineStr">
        <is>
          <t xml:space="preserve">SANDRA VERONICA ACEVEDO BELTRAN </t>
        </is>
      </c>
      <c r="B72" s="4" t="inlineStr">
        <is>
          <t>713</t>
        </is>
      </c>
      <c r="C72" s="5" t="inlineStr">
        <is>
          <t xml:space="preserve">ASISTENTE PARA CORRESPONSALES FINANCIEROS </t>
        </is>
      </c>
      <c r="D72" s="5" t="inlineStr">
        <is>
          <t xml:space="preserve">SUB GERENCIA DE CANALES </t>
        </is>
      </c>
      <c r="E72" s="5" t="inlineStr">
        <is>
          <t>Gerencia de Negocios</t>
        </is>
      </c>
    </row>
    <row r="73">
      <c r="A73" s="5" t="inlineStr">
        <is>
          <t xml:space="preserve">ALEXANDRA DANIELA PINEDA JIMENEZ </t>
        </is>
      </c>
      <c r="B73" s="4" t="inlineStr">
        <is>
          <t>958</t>
        </is>
      </c>
      <c r="C73" s="5" t="inlineStr">
        <is>
          <t>AUXILIAR DE ATENCION A  ASOCIADOS</t>
        </is>
      </c>
      <c r="D73" s="5" t="inlineStr">
        <is>
          <t xml:space="preserve">AGENCIA CENTRAL  </t>
        </is>
      </c>
      <c r="E73" s="5" t="inlineStr">
        <is>
          <t>Gerencia de Negocios (Agencias)</t>
        </is>
      </c>
    </row>
    <row r="74">
      <c r="A74" s="5" t="inlineStr">
        <is>
          <t xml:space="preserve">ANGELA GABRIELA  REYES MOLINA </t>
        </is>
      </c>
      <c r="B74" s="4" t="inlineStr">
        <is>
          <t>956</t>
        </is>
      </c>
      <c r="C74" s="5" t="inlineStr">
        <is>
          <t>CAJERO</t>
        </is>
      </c>
      <c r="D74" s="5" t="inlineStr">
        <is>
          <t xml:space="preserve">AGENCIA CENTRAL  </t>
        </is>
      </c>
      <c r="E74" s="5" t="inlineStr">
        <is>
          <t>Gerencia de Negocios (Agencias)</t>
        </is>
      </c>
    </row>
    <row r="75">
      <c r="A75" s="5" t="inlineStr">
        <is>
          <t xml:space="preserve">BLANCA ARACELY MORENO HERNANDEZ </t>
        </is>
      </c>
      <c r="B75" s="4" t="inlineStr">
        <is>
          <t>385</t>
        </is>
      </c>
      <c r="C75" s="5" t="inlineStr">
        <is>
          <t>AUXILIAR DE OPERACIONES Y ATENCION EN  AGENCIA</t>
        </is>
      </c>
      <c r="D75" s="5" t="inlineStr">
        <is>
          <t xml:space="preserve">AGENCIA CENTRAL  </t>
        </is>
      </c>
      <c r="E75" s="5" t="inlineStr">
        <is>
          <t>Gerencia de Negocios (Agencias)</t>
        </is>
      </c>
    </row>
    <row r="76">
      <c r="A76" s="5" t="inlineStr">
        <is>
          <t xml:space="preserve">CAROLINA ELIZABETH RAMIREZ PONCE </t>
        </is>
      </c>
      <c r="B76" s="4" t="inlineStr">
        <is>
          <t>33</t>
        </is>
      </c>
      <c r="C76" s="5" t="inlineStr">
        <is>
          <t>SUBJEFE DE  AGENCIA</t>
        </is>
      </c>
      <c r="D76" s="5" t="inlineStr">
        <is>
          <t xml:space="preserve">AGENCIA CENTRAL  </t>
        </is>
      </c>
      <c r="E76" s="5" t="inlineStr">
        <is>
          <t>Gerencia de Negocios (Agencias)</t>
        </is>
      </c>
    </row>
    <row r="77">
      <c r="A77" s="5" t="inlineStr">
        <is>
          <t xml:space="preserve">ELSY GUADALUPE COREA AGUILUZ </t>
        </is>
      </c>
      <c r="B77" s="4" t="inlineStr">
        <is>
          <t>253</t>
        </is>
      </c>
      <c r="C77" s="5" t="inlineStr">
        <is>
          <t>EJECUTIVO DE NEGOCIOS</t>
        </is>
      </c>
      <c r="D77" s="5" t="inlineStr">
        <is>
          <t xml:space="preserve">AGENCIA CENTRAL  </t>
        </is>
      </c>
      <c r="E77" s="5" t="inlineStr">
        <is>
          <t>Gerencia de Negocios (Agencias)</t>
        </is>
      </c>
    </row>
    <row r="78">
      <c r="A78" s="5" t="inlineStr">
        <is>
          <t xml:space="preserve">ESTHER ABIGAIL FLORES GRANDE </t>
        </is>
      </c>
      <c r="B78" s="4" t="inlineStr">
        <is>
          <t>857</t>
        </is>
      </c>
      <c r="C78" s="5" t="inlineStr">
        <is>
          <t>AUXILIAR DE OPERACIONES Y ATENCION EN  AGENCIA</t>
        </is>
      </c>
      <c r="D78" s="5" t="inlineStr">
        <is>
          <t xml:space="preserve">AGENCIA CENTRAL  </t>
        </is>
      </c>
      <c r="E78" s="5" t="inlineStr">
        <is>
          <t>Gerencia de Negocios (Agencias)</t>
        </is>
      </c>
    </row>
    <row r="79">
      <c r="A79" s="5" t="inlineStr">
        <is>
          <t>GRISELDA DEL CARMEN DOMINGUEZ MERINO</t>
        </is>
      </c>
      <c r="B79" s="4" t="inlineStr">
        <is>
          <t>49</t>
        </is>
      </c>
      <c r="C79" s="5" t="inlineStr">
        <is>
          <t>EJECUTIVO DE NEGOCIOS</t>
        </is>
      </c>
      <c r="D79" s="5" t="inlineStr">
        <is>
          <t xml:space="preserve">AGENCIA CENTRAL  </t>
        </is>
      </c>
      <c r="E79" s="5" t="inlineStr">
        <is>
          <t>Gerencia de Negocios (Agencias)</t>
        </is>
      </c>
    </row>
    <row r="80">
      <c r="A80" s="5" t="inlineStr">
        <is>
          <t xml:space="preserve">JAZMIN ABIGAIL VASQUEZ AVELAR </t>
        </is>
      </c>
      <c r="B80" s="4" t="inlineStr">
        <is>
          <t>848</t>
        </is>
      </c>
      <c r="C80" s="5" t="inlineStr">
        <is>
          <t>CAJERO</t>
        </is>
      </c>
      <c r="D80" s="5" t="inlineStr">
        <is>
          <t xml:space="preserve">AGENCIA CENTRAL  </t>
        </is>
      </c>
      <c r="E80" s="5" t="inlineStr">
        <is>
          <t>Gerencia de Negocios (Agencias)</t>
        </is>
      </c>
    </row>
    <row r="81">
      <c r="A81" s="5" t="inlineStr">
        <is>
          <t xml:space="preserve">JOHANA PATRICIA LUNA RAMOS </t>
        </is>
      </c>
      <c r="B81" s="4" t="inlineStr">
        <is>
          <t>739</t>
        </is>
      </c>
      <c r="C81" s="5" t="inlineStr">
        <is>
          <t>CAJERO</t>
        </is>
      </c>
      <c r="D81" s="5" t="inlineStr">
        <is>
          <t xml:space="preserve">AGENCIA CENTRAL  </t>
        </is>
      </c>
      <c r="E81" s="5" t="inlineStr">
        <is>
          <t>Gerencia de Negocios (Agencias)</t>
        </is>
      </c>
    </row>
    <row r="82">
      <c r="A82" s="5" t="inlineStr">
        <is>
          <t xml:space="preserve">KARLA MERCEDES DELEON DELGADO </t>
        </is>
      </c>
      <c r="B82" s="4" t="inlineStr">
        <is>
          <t>440</t>
        </is>
      </c>
      <c r="C82" s="5" t="inlineStr">
        <is>
          <t xml:space="preserve">JEFE DE AGENCIA  </t>
        </is>
      </c>
      <c r="D82" s="5" t="inlineStr">
        <is>
          <t xml:space="preserve">AGENCIA CENTRAL  </t>
        </is>
      </c>
      <c r="E82" s="5" t="inlineStr">
        <is>
          <t>Gerencia de Negocios (Agencias)</t>
        </is>
      </c>
    </row>
    <row r="83">
      <c r="A83" s="5" t="inlineStr">
        <is>
          <t xml:space="preserve">KATHERINE MICHELLE LOPEZ LOPEZ </t>
        </is>
      </c>
      <c r="B83" s="4" t="inlineStr">
        <is>
          <t>768</t>
        </is>
      </c>
      <c r="C83" s="5" t="inlineStr">
        <is>
          <t>AUXILIAR DE OPERACIONES Y ATENCION EN  AGENCIA</t>
        </is>
      </c>
      <c r="D83" s="5" t="inlineStr">
        <is>
          <t xml:space="preserve">AGENCIA CENTRAL  </t>
        </is>
      </c>
      <c r="E83" s="5" t="inlineStr">
        <is>
          <t>Gerencia de Negocios (Agencias)</t>
        </is>
      </c>
    </row>
    <row r="84">
      <c r="A84" s="5" t="inlineStr">
        <is>
          <t xml:space="preserve">LEIDY VANESSA GUZMAN SERVELLON  </t>
        </is>
      </c>
      <c r="B84" s="4" t="inlineStr">
        <is>
          <t>974</t>
        </is>
      </c>
      <c r="C84" s="5" t="inlineStr">
        <is>
          <t>CAJERO</t>
        </is>
      </c>
      <c r="D84" s="5" t="inlineStr">
        <is>
          <t xml:space="preserve">AGENCIA CENTRAL  </t>
        </is>
      </c>
      <c r="E84" s="5" t="inlineStr">
        <is>
          <t>Gerencia de Negocios (Agencias)</t>
        </is>
      </c>
    </row>
    <row r="85">
      <c r="A85" s="5" t="inlineStr">
        <is>
          <t xml:space="preserve">LETICIA ESMERALDA ROSA </t>
        </is>
      </c>
      <c r="B85" s="4" t="inlineStr">
        <is>
          <t>234</t>
        </is>
      </c>
      <c r="C85" s="5" t="inlineStr">
        <is>
          <t>EJECUTIVO DE NEGOCIOS</t>
        </is>
      </c>
      <c r="D85" s="5" t="inlineStr">
        <is>
          <t xml:space="preserve">AGENCIA CENTRAL  </t>
        </is>
      </c>
      <c r="E85" s="5" t="inlineStr">
        <is>
          <t>Gerencia de Negocios (Agencias)</t>
        </is>
      </c>
    </row>
    <row r="86">
      <c r="A86" s="5" t="inlineStr">
        <is>
          <t>CLAUDIA ELENA GUARDADO VARELA</t>
        </is>
      </c>
      <c r="B86" s="4" t="inlineStr">
        <is>
          <t>543</t>
        </is>
      </c>
      <c r="C86" s="5" t="inlineStr">
        <is>
          <t>EJECUTIVA DE SEGUROS</t>
        </is>
      </c>
      <c r="D86" s="5" t="inlineStr">
        <is>
          <t xml:space="preserve">AGENCIA COLEGIO MEDICO </t>
        </is>
      </c>
      <c r="E86" s="5" t="inlineStr">
        <is>
          <t>Gerencia de Negocios (Agencias)</t>
        </is>
      </c>
    </row>
    <row r="87">
      <c r="A87" s="5" t="inlineStr">
        <is>
          <t xml:space="preserve">DORIS ELISA HERNANDEZ </t>
        </is>
      </c>
      <c r="B87" s="4" t="inlineStr">
        <is>
          <t>466</t>
        </is>
      </c>
      <c r="C87" s="5" t="inlineStr">
        <is>
          <t>SERVICIOS VARIOS</t>
        </is>
      </c>
      <c r="D87" s="5" t="inlineStr">
        <is>
          <t xml:space="preserve">AGENCIA COLEGIO MEDICO </t>
        </is>
      </c>
      <c r="E87" s="5" t="inlineStr">
        <is>
          <t>Gerencia de Negocios (Agencias)</t>
        </is>
      </c>
    </row>
    <row r="88">
      <c r="A88" s="5" t="inlineStr">
        <is>
          <t>FLOR IMELDA VILLALOBOS ARDON</t>
        </is>
      </c>
      <c r="B88" s="4" t="inlineStr">
        <is>
          <t>26</t>
        </is>
      </c>
      <c r="C88" s="5" t="inlineStr">
        <is>
          <t>EJECUTIVO DE NEGOCIOS</t>
        </is>
      </c>
      <c r="D88" s="5" t="inlineStr">
        <is>
          <t xml:space="preserve">AGENCIA COLEGIO MEDICO </t>
        </is>
      </c>
      <c r="E88" s="5" t="inlineStr">
        <is>
          <t>Gerencia de Negocios (Agencias)</t>
        </is>
      </c>
    </row>
    <row r="89">
      <c r="A89" s="5" t="inlineStr">
        <is>
          <t xml:space="preserve">GABRIELA CONCEPCION GARCIA GUTIERREZ </t>
        </is>
      </c>
      <c r="B89" s="4" t="inlineStr">
        <is>
          <t>975</t>
        </is>
      </c>
      <c r="C89" s="5" t="inlineStr">
        <is>
          <t>AUXILIAR DE ATENCION AL ASOCIADO EN AGENCIA</t>
        </is>
      </c>
      <c r="D89" s="5" t="inlineStr">
        <is>
          <t xml:space="preserve">AGENCIA COLEGIO MEDICO </t>
        </is>
      </c>
      <c r="E89" s="5" t="inlineStr">
        <is>
          <t>Gerencia de Negocios (Agencias)</t>
        </is>
      </c>
    </row>
    <row r="90">
      <c r="A90" s="5" t="inlineStr">
        <is>
          <t xml:space="preserve">JACQUELINE ADRIANA CHAVEZ SARAVIA </t>
        </is>
      </c>
      <c r="B90" s="4" t="inlineStr">
        <is>
          <t>811</t>
        </is>
      </c>
      <c r="C90" s="5" t="inlineStr">
        <is>
          <t>CAJERO</t>
        </is>
      </c>
      <c r="D90" s="5" t="inlineStr">
        <is>
          <t xml:space="preserve">AGENCIA COLEGIO MEDICO </t>
        </is>
      </c>
      <c r="E90" s="5" t="inlineStr">
        <is>
          <t>Gerencia de Negocios (Agencias)</t>
        </is>
      </c>
    </row>
    <row r="91">
      <c r="A91" s="5" t="inlineStr">
        <is>
          <t xml:space="preserve">JAQUELIN JAZMIN ROMERO FLORES </t>
        </is>
      </c>
      <c r="B91" s="4" t="inlineStr">
        <is>
          <t>971</t>
        </is>
      </c>
      <c r="C91" s="5" t="inlineStr">
        <is>
          <t>CAJERO</t>
        </is>
      </c>
      <c r="D91" s="5" t="inlineStr">
        <is>
          <t xml:space="preserve">AGENCIA COLEGIO MEDICO </t>
        </is>
      </c>
      <c r="E91" s="5" t="inlineStr">
        <is>
          <t>Gerencia de Negocios (Agencias)</t>
        </is>
      </c>
    </row>
    <row r="92">
      <c r="A92" s="5" t="inlineStr">
        <is>
          <t xml:space="preserve">KRISSIA ANDREA  DOMINGUEZ OSORIO </t>
        </is>
      </c>
      <c r="B92" s="4" t="inlineStr">
        <is>
          <t>841</t>
        </is>
      </c>
      <c r="C92" s="5" t="inlineStr">
        <is>
          <t>CAJERO</t>
        </is>
      </c>
      <c r="D92" s="5" t="inlineStr">
        <is>
          <t xml:space="preserve">AGENCIA COLEGIO MEDICO </t>
        </is>
      </c>
      <c r="E92" s="5" t="inlineStr">
        <is>
          <t>Gerencia de Negocios (Agencias)</t>
        </is>
      </c>
    </row>
    <row r="93">
      <c r="A93" s="5" t="inlineStr">
        <is>
          <t xml:space="preserve">MARTHA ESPERANZA VALTEZ GARCIA </t>
        </is>
      </c>
      <c r="B93" s="4" t="inlineStr">
        <is>
          <t>536</t>
        </is>
      </c>
      <c r="C93" s="5" t="inlineStr">
        <is>
          <t>CAJERO</t>
        </is>
      </c>
      <c r="D93" s="5" t="inlineStr">
        <is>
          <t xml:space="preserve">AGENCIA COLEGIO MEDICO </t>
        </is>
      </c>
      <c r="E93" s="5" t="inlineStr">
        <is>
          <t>Gerencia de Negocios (Agencias)</t>
        </is>
      </c>
    </row>
    <row r="94">
      <c r="A94" s="5" t="inlineStr">
        <is>
          <t xml:space="preserve">MERCI ANTONIA CERON MEJIA </t>
        </is>
      </c>
      <c r="B94" s="4" t="inlineStr">
        <is>
          <t>190</t>
        </is>
      </c>
      <c r="C94" s="5" t="inlineStr">
        <is>
          <t>EJECUTIVO DE NEGOCIOS</t>
        </is>
      </c>
      <c r="D94" s="5" t="inlineStr">
        <is>
          <t xml:space="preserve">AGENCIA COLEGIO MEDICO </t>
        </is>
      </c>
      <c r="E94" s="5" t="inlineStr">
        <is>
          <t>Gerencia de Negocios (Agencias)</t>
        </is>
      </c>
    </row>
    <row r="95">
      <c r="A95" s="5" t="inlineStr">
        <is>
          <t xml:space="preserve">WILBER ERNESTO DIAZ GONZALEZ </t>
        </is>
      </c>
      <c r="B95" s="4" t="inlineStr">
        <is>
          <t>890</t>
        </is>
      </c>
      <c r="C95" s="5" t="inlineStr">
        <is>
          <t>CAJERO</t>
        </is>
      </c>
      <c r="D95" s="5" t="inlineStr">
        <is>
          <t xml:space="preserve">AGENCIA COLEGIO MEDICO </t>
        </is>
      </c>
      <c r="E95" s="5" t="inlineStr">
        <is>
          <t>Gerencia de Negocios (Agencias)</t>
        </is>
      </c>
    </row>
    <row r="96">
      <c r="A96" s="5" t="inlineStr">
        <is>
          <t>YANIRA ELIZABETH ORTEGA MIRANDA</t>
        </is>
      </c>
      <c r="B96" s="4" t="inlineStr">
        <is>
          <t>29</t>
        </is>
      </c>
      <c r="C96" s="5" t="inlineStr">
        <is>
          <t>SUBJEFE DE  AGENCIA</t>
        </is>
      </c>
      <c r="D96" s="5" t="inlineStr">
        <is>
          <t xml:space="preserve">AGENCIA COLEGIO MEDICO </t>
        </is>
      </c>
      <c r="E96" s="5" t="inlineStr">
        <is>
          <t>Gerencia de Negocios (Agencias)</t>
        </is>
      </c>
    </row>
    <row r="97">
      <c r="A97" s="5" t="inlineStr">
        <is>
          <t xml:space="preserve">ALFREDO ARMANDO RAMOS ESCOBAR </t>
        </is>
      </c>
      <c r="B97" s="4" t="inlineStr">
        <is>
          <t>674</t>
        </is>
      </c>
      <c r="C97" s="5" t="inlineStr">
        <is>
          <t>CAJERO</t>
        </is>
      </c>
      <c r="D97" s="5" t="inlineStr">
        <is>
          <t xml:space="preserve">AGENCIA COLONIA MEDICA  </t>
        </is>
      </c>
      <c r="E97" s="5" t="inlineStr">
        <is>
          <t>Gerencia de Negocios (Agencias)</t>
        </is>
      </c>
    </row>
    <row r="98">
      <c r="A98" s="5" t="inlineStr">
        <is>
          <t>ANA MARGARITA SERRANO RUBIO</t>
        </is>
      </c>
      <c r="B98" s="4" t="inlineStr">
        <is>
          <t>19</t>
        </is>
      </c>
      <c r="C98" s="5" t="inlineStr">
        <is>
          <t>CAJERO</t>
        </is>
      </c>
      <c r="D98" s="5" t="inlineStr">
        <is>
          <t xml:space="preserve">AGENCIA COLONIA MEDICA  </t>
        </is>
      </c>
      <c r="E98" s="5" t="inlineStr">
        <is>
          <t>Gerencia de Negocios (Agencias)</t>
        </is>
      </c>
    </row>
    <row r="99">
      <c r="A99" s="5" t="inlineStr">
        <is>
          <t xml:space="preserve">FLOR DE MARIA ROSALES SORTO </t>
        </is>
      </c>
      <c r="B99" s="4" t="inlineStr">
        <is>
          <t>873</t>
        </is>
      </c>
      <c r="C99" s="5" t="inlineStr">
        <is>
          <t>CAJERO</t>
        </is>
      </c>
      <c r="D99" s="5" t="inlineStr">
        <is>
          <t xml:space="preserve">AGENCIA COLONIA MEDICA  </t>
        </is>
      </c>
      <c r="E99" s="5" t="inlineStr">
        <is>
          <t>Gerencia de Negocios (Agencias)</t>
        </is>
      </c>
    </row>
    <row r="100">
      <c r="A100" s="5" t="inlineStr">
        <is>
          <t xml:space="preserve">FLOR DEL CARMEN GONZALEZ HERNANDEZ </t>
        </is>
      </c>
      <c r="B100" s="4" t="inlineStr">
        <is>
          <t>913</t>
        </is>
      </c>
      <c r="C100" s="5" t="inlineStr">
        <is>
          <t>SERVICIOS VARIOS</t>
        </is>
      </c>
      <c r="D100" s="5" t="inlineStr">
        <is>
          <t xml:space="preserve">AGENCIA COLONIA MEDICA  </t>
        </is>
      </c>
      <c r="E100" s="5" t="inlineStr">
        <is>
          <t>Gerencia de Negocios (Agencias)</t>
        </is>
      </c>
    </row>
    <row r="101">
      <c r="A101" s="5" t="inlineStr">
        <is>
          <t xml:space="preserve">INGRID PAOLA  CORADO HERNANDEZ </t>
        </is>
      </c>
      <c r="B101" s="4" t="inlineStr">
        <is>
          <t>722</t>
        </is>
      </c>
      <c r="C101" s="5" t="inlineStr">
        <is>
          <t>CAJERO</t>
        </is>
      </c>
      <c r="D101" s="5" t="inlineStr">
        <is>
          <t xml:space="preserve">AGENCIA COLONIA MEDICA  </t>
        </is>
      </c>
      <c r="E101" s="5" t="inlineStr">
        <is>
          <t>Gerencia de Negocios (Agencias)</t>
        </is>
      </c>
    </row>
    <row r="102">
      <c r="A102" s="5" t="inlineStr">
        <is>
          <t xml:space="preserve">JACQUELINE GUADALUPE CEA ALVARADO </t>
        </is>
      </c>
      <c r="B102" s="4" t="inlineStr">
        <is>
          <t>933</t>
        </is>
      </c>
      <c r="C102" s="5" t="inlineStr">
        <is>
          <t>EJECUTIVO DE NEGOCIOS</t>
        </is>
      </c>
      <c r="D102" s="5" t="inlineStr">
        <is>
          <t xml:space="preserve">AGENCIA COLONIA MEDICA  </t>
        </is>
      </c>
      <c r="E102" s="5" t="inlineStr">
        <is>
          <t>Gerencia de Negocios (Agencias)</t>
        </is>
      </c>
    </row>
    <row r="103">
      <c r="A103" s="5" t="inlineStr">
        <is>
          <t xml:space="preserve">JULIO ENRIQUE  CAMPOS ANDRADE </t>
        </is>
      </c>
      <c r="B103" s="4" t="inlineStr">
        <is>
          <t>624</t>
        </is>
      </c>
      <c r="C103" s="5" t="inlineStr">
        <is>
          <t>EJECUTIVO DE NEGOCIOS</t>
        </is>
      </c>
      <c r="D103" s="5" t="inlineStr">
        <is>
          <t xml:space="preserve">AGENCIA COLONIA MEDICA  </t>
        </is>
      </c>
      <c r="E103" s="5" t="inlineStr">
        <is>
          <t>Gerencia de Negocios (Agencias)</t>
        </is>
      </c>
    </row>
    <row r="104">
      <c r="A104" s="5" t="inlineStr">
        <is>
          <t xml:space="preserve">JULIO RAFAEL FLORES HENRIQUEZ </t>
        </is>
      </c>
      <c r="B104" s="4" t="inlineStr">
        <is>
          <t>179</t>
        </is>
      </c>
      <c r="C104" s="5" t="inlineStr">
        <is>
          <t xml:space="preserve">JEFE DE AGENCIA  </t>
        </is>
      </c>
      <c r="D104" s="5" t="inlineStr">
        <is>
          <t xml:space="preserve">AGENCIA COLONIA MEDICA  </t>
        </is>
      </c>
      <c r="E104" s="5" t="inlineStr">
        <is>
          <t>Gerencia de Negocios (Agencias)</t>
        </is>
      </c>
    </row>
    <row r="105">
      <c r="A105" s="5" t="inlineStr">
        <is>
          <t xml:space="preserve">STEFFANY MARIELOS MIRO HERNANDEZ </t>
        </is>
      </c>
      <c r="B105" s="4" t="inlineStr">
        <is>
          <t>855</t>
        </is>
      </c>
      <c r="C105" s="5" t="inlineStr">
        <is>
          <t>CAJERO</t>
        </is>
      </c>
      <c r="D105" s="5" t="inlineStr">
        <is>
          <t xml:space="preserve">AGENCIA COLONIA MEDICA  </t>
        </is>
      </c>
      <c r="E105" s="5" t="inlineStr">
        <is>
          <t>Gerencia de Negocios (Agencias)</t>
        </is>
      </c>
    </row>
    <row r="106">
      <c r="A106" s="5" t="inlineStr">
        <is>
          <t xml:space="preserve">YESENIA LISSETH BARAHONA VALLE </t>
        </is>
      </c>
      <c r="B106" s="4" t="inlineStr">
        <is>
          <t>891</t>
        </is>
      </c>
      <c r="C106" s="5" t="inlineStr">
        <is>
          <t>AUXILIAR DE ATENCION AL ASOCIADO EN AGENCIA</t>
        </is>
      </c>
      <c r="D106" s="5" t="inlineStr">
        <is>
          <t xml:space="preserve">AGENCIA COLONIA MEDICA  </t>
        </is>
      </c>
      <c r="E106" s="5" t="inlineStr">
        <is>
          <t>Gerencia de Negocios (Agencias)</t>
        </is>
      </c>
    </row>
    <row r="107">
      <c r="A107" s="5" t="inlineStr">
        <is>
          <t>YHANA MILET  VALLE  HERNANDEZ</t>
        </is>
      </c>
      <c r="B107" s="4" t="inlineStr">
        <is>
          <t>735</t>
        </is>
      </c>
      <c r="C107" s="5" t="inlineStr">
        <is>
          <t>CAJERO</t>
        </is>
      </c>
      <c r="D107" s="5" t="inlineStr">
        <is>
          <t xml:space="preserve">AGENCIA COLONIA MEDICA  </t>
        </is>
      </c>
      <c r="E107" s="5" t="inlineStr">
        <is>
          <t>Gerencia de Negocios (Agencias)</t>
        </is>
      </c>
    </row>
    <row r="108">
      <c r="A108" s="5" t="inlineStr">
        <is>
          <t>CLELIA DESIREE CAMPOS COSS</t>
        </is>
      </c>
      <c r="B108" s="4" t="inlineStr">
        <is>
          <t>657</t>
        </is>
      </c>
      <c r="C108" s="5" t="inlineStr">
        <is>
          <t>SERVICIOS VARIOS</t>
        </is>
      </c>
      <c r="D108" s="5" t="inlineStr">
        <is>
          <t xml:space="preserve">AGENCIA MERLIOT  </t>
        </is>
      </c>
      <c r="E108" s="5" t="inlineStr">
        <is>
          <t>Gerencia de Negocios (Agencias)</t>
        </is>
      </c>
    </row>
    <row r="109">
      <c r="A109" s="5" t="inlineStr">
        <is>
          <t xml:space="preserve">ERIKA IVETH MANCIA HERNANDEZ </t>
        </is>
      </c>
      <c r="B109" s="4" t="inlineStr">
        <is>
          <t>955</t>
        </is>
      </c>
      <c r="C109" s="5" t="inlineStr">
        <is>
          <t>CAJERO</t>
        </is>
      </c>
      <c r="D109" s="5" t="inlineStr">
        <is>
          <t xml:space="preserve">AGENCIA PLAZA MUNDO  </t>
        </is>
      </c>
      <c r="E109" s="5" t="inlineStr">
        <is>
          <t>Gerencia de Negocios (Agencias)</t>
        </is>
      </c>
    </row>
    <row r="110">
      <c r="A110" s="5" t="inlineStr">
        <is>
          <t xml:space="preserve">GABRIELA JEANNETTE BOLAÑOS HERRERA </t>
        </is>
      </c>
      <c r="B110" s="4" t="inlineStr">
        <is>
          <t>616</t>
        </is>
      </c>
      <c r="C110" s="5" t="inlineStr">
        <is>
          <t>EJECUTIVA DE SEGUROS</t>
        </is>
      </c>
      <c r="D110" s="5" t="inlineStr">
        <is>
          <t xml:space="preserve">AGENCIA PLAZA MUNDO  </t>
        </is>
      </c>
      <c r="E110" s="5" t="inlineStr">
        <is>
          <t>Gerencia de Negocios (Agencias)</t>
        </is>
      </c>
    </row>
    <row r="111">
      <c r="A111" s="5" t="inlineStr">
        <is>
          <t xml:space="preserve">NANCY CAROLINA FUENTES SORTO </t>
        </is>
      </c>
      <c r="B111" s="4" t="inlineStr">
        <is>
          <t>675</t>
        </is>
      </c>
      <c r="C111" s="5" t="inlineStr">
        <is>
          <t>CAJERO</t>
        </is>
      </c>
      <c r="D111" s="5" t="inlineStr">
        <is>
          <t xml:space="preserve">AGENCIA PLAZA MUNDO  </t>
        </is>
      </c>
      <c r="E111" s="5" t="inlineStr">
        <is>
          <t>Gerencia de Negocios (Agencias)</t>
        </is>
      </c>
    </row>
    <row r="112">
      <c r="A112" s="5" t="inlineStr">
        <is>
          <t xml:space="preserve">NORMA ARACELY GUILLEN </t>
        </is>
      </c>
      <c r="B112" s="4" t="inlineStr">
        <is>
          <t>331</t>
        </is>
      </c>
      <c r="C112" s="5" t="inlineStr">
        <is>
          <t>SUBJEFE DE  AGENCIA</t>
        </is>
      </c>
      <c r="D112" s="5" t="inlineStr">
        <is>
          <t xml:space="preserve">AGENCIA PLAZA MUNDO  </t>
        </is>
      </c>
      <c r="E112" s="5" t="inlineStr">
        <is>
          <t>Gerencia de Negocios (Agencias)</t>
        </is>
      </c>
    </row>
    <row r="113">
      <c r="A113" s="5" t="inlineStr">
        <is>
          <t xml:space="preserve">PAOLA JEANNETTE ROMERO HERNANDEZ  </t>
        </is>
      </c>
      <c r="B113" s="4" t="inlineStr">
        <is>
          <t>876</t>
        </is>
      </c>
      <c r="C113" s="5" t="inlineStr">
        <is>
          <t>CAJERO</t>
        </is>
      </c>
      <c r="D113" s="5" t="inlineStr">
        <is>
          <t xml:space="preserve">AGENCIA PLAZA MUNDO  </t>
        </is>
      </c>
      <c r="E113" s="5" t="inlineStr">
        <is>
          <t>Gerencia de Negocios (Agencias)</t>
        </is>
      </c>
    </row>
    <row r="114">
      <c r="A114" s="5" t="inlineStr">
        <is>
          <t xml:space="preserve">ROSARIO DEL CARMEN PEREZ LOPEZ </t>
        </is>
      </c>
      <c r="B114" s="4" t="inlineStr">
        <is>
          <t>535</t>
        </is>
      </c>
      <c r="C114" s="5" t="inlineStr">
        <is>
          <t xml:space="preserve">JEFE DE AGENCIA  </t>
        </is>
      </c>
      <c r="D114" s="5" t="inlineStr">
        <is>
          <t xml:space="preserve">AGENCIA PLAZA MUNDO  </t>
        </is>
      </c>
      <c r="E114" s="5" t="inlineStr">
        <is>
          <t>Gerencia de Negocios (Agencias)</t>
        </is>
      </c>
    </row>
    <row r="115">
      <c r="A115" s="5" t="inlineStr">
        <is>
          <t xml:space="preserve">WALTER ALBERTO BARAHONA DIAZ </t>
        </is>
      </c>
      <c r="B115" s="4" t="inlineStr">
        <is>
          <t>748</t>
        </is>
      </c>
      <c r="C115" s="5" t="inlineStr">
        <is>
          <t>CAJERO</t>
        </is>
      </c>
      <c r="D115" s="5" t="inlineStr">
        <is>
          <t xml:space="preserve">AGENCIA PLAZA MUNDO  </t>
        </is>
      </c>
      <c r="E115" s="5" t="inlineStr">
        <is>
          <t>Gerencia de Negocios (Agencias)</t>
        </is>
      </c>
    </row>
    <row r="116">
      <c r="A116" s="5" t="inlineStr">
        <is>
          <t xml:space="preserve">ZOILA AYDEE LARIOS  </t>
        </is>
      </c>
      <c r="B116" s="4" t="inlineStr">
        <is>
          <t>59</t>
        </is>
      </c>
      <c r="C116" s="5" t="inlineStr">
        <is>
          <t>SERVICIOS VARIOS</t>
        </is>
      </c>
      <c r="D116" s="5" t="inlineStr">
        <is>
          <t xml:space="preserve">AGENCIA PLAZA MUNDO  </t>
        </is>
      </c>
      <c r="E116" s="5" t="inlineStr">
        <is>
          <t>Gerencia de Negocios (Agencias)</t>
        </is>
      </c>
    </row>
    <row r="117">
      <c r="A117" s="5" t="inlineStr">
        <is>
          <t xml:space="preserve">SANDRA MARINA  BERRIOS SANTOS </t>
        </is>
      </c>
      <c r="B117" s="4" t="inlineStr">
        <is>
          <t>861</t>
        </is>
      </c>
      <c r="C117" s="5" t="inlineStr">
        <is>
          <t>CAJERO</t>
        </is>
      </c>
      <c r="D117" s="5" t="inlineStr">
        <is>
          <t xml:space="preserve">AGENCIA SAN  MIGUEL  </t>
        </is>
      </c>
      <c r="E117" s="5" t="inlineStr">
        <is>
          <t>Gerencia de Negocios (Agencias)</t>
        </is>
      </c>
    </row>
    <row r="118">
      <c r="A118" s="5" t="inlineStr">
        <is>
          <t xml:space="preserve">ANA MARIA GIRON </t>
        </is>
      </c>
      <c r="B118" s="4" t="inlineStr">
        <is>
          <t>168</t>
        </is>
      </c>
      <c r="C118" s="5" t="inlineStr">
        <is>
          <t>EJECUTIVO DE NEGOCIOS</t>
        </is>
      </c>
      <c r="D118" s="5" t="inlineStr">
        <is>
          <t xml:space="preserve">AGENCIA SANTA  ANA  </t>
        </is>
      </c>
      <c r="E118" s="5" t="inlineStr">
        <is>
          <t>Gerencia de Negocios (Agencias)</t>
        </is>
      </c>
    </row>
    <row r="119">
      <c r="A119" s="5" t="inlineStr">
        <is>
          <t xml:space="preserve">ANDREA YAMILETH ESCOBAR CHICA </t>
        </is>
      </c>
      <c r="B119" s="4" t="inlineStr">
        <is>
          <t>818</t>
        </is>
      </c>
      <c r="C119" s="5" t="inlineStr">
        <is>
          <t>CAJERO</t>
        </is>
      </c>
      <c r="D119" s="5" t="inlineStr">
        <is>
          <t xml:space="preserve">AGENCIA SANTA  ANA  </t>
        </is>
      </c>
      <c r="E119" s="5" t="inlineStr">
        <is>
          <t>Gerencia de Negocios (Agencias)</t>
        </is>
      </c>
    </row>
    <row r="120">
      <c r="A120" s="5" t="inlineStr">
        <is>
          <t xml:space="preserve">GLENDA MARAYA SALAZAR GONZALEZ </t>
        </is>
      </c>
      <c r="B120" s="4" t="inlineStr">
        <is>
          <t>295</t>
        </is>
      </c>
      <c r="C120" s="5" t="inlineStr">
        <is>
          <t xml:space="preserve">JEFE DE AGENCIA  </t>
        </is>
      </c>
      <c r="D120" s="5" t="inlineStr">
        <is>
          <t xml:space="preserve">AGENCIA SANTA  ANA  </t>
        </is>
      </c>
      <c r="E120" s="5" t="inlineStr">
        <is>
          <t>Gerencia de Negocios (Agencias)</t>
        </is>
      </c>
    </row>
    <row r="121">
      <c r="A121" s="5" t="inlineStr">
        <is>
          <t xml:space="preserve">IRVIN ADEMIR PERAZA MOLINA </t>
        </is>
      </c>
      <c r="B121" s="4" t="inlineStr">
        <is>
          <t>747</t>
        </is>
      </c>
      <c r="C121" s="5" t="inlineStr">
        <is>
          <t>EJECUTIVO DE SEGUROS</t>
        </is>
      </c>
      <c r="D121" s="5" t="inlineStr">
        <is>
          <t xml:space="preserve">AGENCIA SANTA  ANA  </t>
        </is>
      </c>
      <c r="E121" s="5" t="inlineStr">
        <is>
          <t>Gerencia de Negocios (Agencias)</t>
        </is>
      </c>
    </row>
    <row r="122">
      <c r="A122" s="5" t="inlineStr">
        <is>
          <t xml:space="preserve">JEANNETTE ANGELINNE HERNANDEZ MEJIA </t>
        </is>
      </c>
      <c r="B122" s="4" t="inlineStr">
        <is>
          <t>312</t>
        </is>
      </c>
      <c r="C122" s="5" t="inlineStr">
        <is>
          <t>SUBJEFE DE  AGENCIA</t>
        </is>
      </c>
      <c r="D122" s="5" t="inlineStr">
        <is>
          <t xml:space="preserve">AGENCIA SANTA  ANA  </t>
        </is>
      </c>
      <c r="E122" s="5" t="inlineStr">
        <is>
          <t>Gerencia de Negocios (Agencias)</t>
        </is>
      </c>
    </row>
    <row r="123">
      <c r="A123" s="5" t="inlineStr">
        <is>
          <t xml:space="preserve">JOSE CRISTOBAL LOPEZ ESQUIVEL </t>
        </is>
      </c>
      <c r="B123" s="4" t="inlineStr">
        <is>
          <t>910</t>
        </is>
      </c>
      <c r="C123" s="5" t="inlineStr">
        <is>
          <t>MENSAJERO</t>
        </is>
      </c>
      <c r="D123" s="5" t="inlineStr">
        <is>
          <t xml:space="preserve">AGENCIA SANTA  ANA  </t>
        </is>
      </c>
      <c r="E123" s="5" t="inlineStr">
        <is>
          <t>Gerencia de Negocios (Agencias)</t>
        </is>
      </c>
    </row>
    <row r="124">
      <c r="A124" s="5" t="inlineStr">
        <is>
          <t xml:space="preserve">LUIS GERARDO DUEÑAS VALLE </t>
        </is>
      </c>
      <c r="B124" s="4" t="inlineStr">
        <is>
          <t>954</t>
        </is>
      </c>
      <c r="C124" s="5" t="inlineStr">
        <is>
          <t>CAJERO</t>
        </is>
      </c>
      <c r="D124" s="5" t="inlineStr">
        <is>
          <t xml:space="preserve">AGENCIA SANTA  ANA  </t>
        </is>
      </c>
      <c r="E124" s="5" t="inlineStr">
        <is>
          <t>Gerencia de Negocios (Agencias)</t>
        </is>
      </c>
    </row>
    <row r="125">
      <c r="A125" s="5" t="inlineStr">
        <is>
          <t xml:space="preserve">SOFIA AZMINIA MENA ARGUETA </t>
        </is>
      </c>
      <c r="B125" s="4" t="inlineStr">
        <is>
          <t>840</t>
        </is>
      </c>
      <c r="C125" s="5" t="inlineStr">
        <is>
          <t>CAJERO</t>
        </is>
      </c>
      <c r="D125" s="5" t="inlineStr">
        <is>
          <t xml:space="preserve">AGENCIA SANTA  ANA  </t>
        </is>
      </c>
      <c r="E125" s="5" t="inlineStr">
        <is>
          <t>Gerencia de Negocios (Agencias)</t>
        </is>
      </c>
    </row>
    <row r="126">
      <c r="A126" s="5" t="inlineStr">
        <is>
          <t xml:space="preserve">JESSICA YAMILETH LEIVA VASQUEZ </t>
        </is>
      </c>
      <c r="B126" s="4" t="inlineStr">
        <is>
          <t>575</t>
        </is>
      </c>
      <c r="C126" s="5" t="inlineStr">
        <is>
          <t>EJECUTIVA DE SEGUROS</t>
        </is>
      </c>
      <c r="D126" s="5" t="inlineStr">
        <is>
          <t xml:space="preserve">AGENCIA SONSONATE  </t>
        </is>
      </c>
      <c r="E126" s="5" t="inlineStr">
        <is>
          <t>Gerencia de Negocios (Agencias)</t>
        </is>
      </c>
    </row>
    <row r="127">
      <c r="A127" s="5" t="inlineStr">
        <is>
          <t xml:space="preserve">JOSE ALEXANDER TORRES PEREZ </t>
        </is>
      </c>
      <c r="B127" s="4" t="inlineStr">
        <is>
          <t>448</t>
        </is>
      </c>
      <c r="C127" s="5" t="inlineStr">
        <is>
          <t>MENSAJERO</t>
        </is>
      </c>
      <c r="D127" s="5" t="inlineStr">
        <is>
          <t xml:space="preserve">AGENCIA SONSONATE  </t>
        </is>
      </c>
      <c r="E127" s="5" t="inlineStr">
        <is>
          <t>Gerencia de Negocios (Agencias)</t>
        </is>
      </c>
    </row>
    <row r="128">
      <c r="A128" s="5" t="inlineStr">
        <is>
          <t xml:space="preserve">JOSUE ALEXANDER PEREZ HENRIQUEZ </t>
        </is>
      </c>
      <c r="B128" s="4" t="inlineStr">
        <is>
          <t>559</t>
        </is>
      </c>
      <c r="C128" s="5" t="inlineStr">
        <is>
          <t>EJECUTIVO DE NEGOCIOS</t>
        </is>
      </c>
      <c r="D128" s="5" t="inlineStr">
        <is>
          <t xml:space="preserve">AGENCIA SONSONATE  </t>
        </is>
      </c>
      <c r="E128" s="5" t="inlineStr">
        <is>
          <t>Gerencia de Negocios (Agencias)</t>
        </is>
      </c>
    </row>
    <row r="129">
      <c r="A129" s="5" t="inlineStr">
        <is>
          <t xml:space="preserve">KARLA MARCELA  ESCOBAR TRIGUEROS </t>
        </is>
      </c>
      <c r="B129" s="4" t="inlineStr">
        <is>
          <t>849</t>
        </is>
      </c>
      <c r="C129" s="5" t="inlineStr">
        <is>
          <t>CAJERO</t>
        </is>
      </c>
      <c r="D129" s="5" t="inlineStr">
        <is>
          <t xml:space="preserve">AGENCIA SONSONATE  </t>
        </is>
      </c>
      <c r="E129" s="5" t="inlineStr">
        <is>
          <t>Gerencia de Negocios (Agencias)</t>
        </is>
      </c>
    </row>
    <row r="130">
      <c r="A130" s="5" t="inlineStr">
        <is>
          <t>MARIA ANGELICA ESCOBAR RENDEROS</t>
        </is>
      </c>
      <c r="B130" s="4" t="inlineStr">
        <is>
          <t>287</t>
        </is>
      </c>
      <c r="C130" s="5" t="inlineStr">
        <is>
          <t xml:space="preserve">JEFE DE AGENCIA  </t>
        </is>
      </c>
      <c r="D130" s="5" t="inlineStr">
        <is>
          <t xml:space="preserve">AGENCIA SONSONATE  </t>
        </is>
      </c>
      <c r="E130" s="5" t="inlineStr">
        <is>
          <t>Gerencia de Negocios (Agencias)</t>
        </is>
      </c>
    </row>
    <row r="131">
      <c r="A131" s="5" t="inlineStr">
        <is>
          <t xml:space="preserve">MIGUEL ANGEL LEON MENA </t>
        </is>
      </c>
      <c r="B131" s="4" t="inlineStr">
        <is>
          <t>755</t>
        </is>
      </c>
      <c r="C131" s="5" t="inlineStr">
        <is>
          <t>CAJERO</t>
        </is>
      </c>
      <c r="D131" s="5" t="inlineStr">
        <is>
          <t xml:space="preserve">AGENCIA SONSONATE  </t>
        </is>
      </c>
      <c r="E131" s="5" t="inlineStr">
        <is>
          <t>Gerencia de Negocios (Agencias)</t>
        </is>
      </c>
    </row>
    <row r="132">
      <c r="A132" s="5" t="inlineStr">
        <is>
          <t xml:space="preserve">XIOMARA BEATRIZ MARTINEZ SERMEÑO </t>
        </is>
      </c>
      <c r="B132" s="4" t="inlineStr">
        <is>
          <t>526</t>
        </is>
      </c>
      <c r="C132" s="5" t="inlineStr">
        <is>
          <t>SUBJEFE DE  AGENCIA</t>
        </is>
      </c>
      <c r="D132" s="5" t="inlineStr">
        <is>
          <t xml:space="preserve">AGENCIA SONSONATE  </t>
        </is>
      </c>
      <c r="E132" s="5" t="inlineStr">
        <is>
          <t>Gerencia de Negocios (Agencias)</t>
        </is>
      </c>
    </row>
    <row r="133">
      <c r="A133" s="5" t="inlineStr">
        <is>
          <t xml:space="preserve">EDUARDO JOSE GAMEZ VILLATORO </t>
        </is>
      </c>
      <c r="B133" s="4" t="inlineStr">
        <is>
          <t>970</t>
        </is>
      </c>
      <c r="C133" s="5" t="inlineStr">
        <is>
          <t>CAJERO</t>
        </is>
      </c>
      <c r="D133" s="5" t="inlineStr">
        <is>
          <t xml:space="preserve">AGENCIA USULUTAN  </t>
        </is>
      </c>
      <c r="E133" s="5" t="inlineStr">
        <is>
          <t>Gerencia de Negocios (Agencias)</t>
        </is>
      </c>
    </row>
    <row r="134">
      <c r="A134" s="5" t="inlineStr">
        <is>
          <t xml:space="preserve">LUIS MANUEL VALENCIA GUERRERO </t>
        </is>
      </c>
      <c r="B134" s="4" t="inlineStr">
        <is>
          <t>917</t>
        </is>
      </c>
      <c r="C134" s="5" t="inlineStr">
        <is>
          <t>SUBJEFE DE  AGENCIA</t>
        </is>
      </c>
      <c r="D134" s="5" t="inlineStr">
        <is>
          <t xml:space="preserve">AGENCIA USULUTAN  </t>
        </is>
      </c>
      <c r="E134" s="5" t="inlineStr">
        <is>
          <t>Gerencia de Negocios (Agencias)</t>
        </is>
      </c>
    </row>
    <row r="135">
      <c r="A135" s="5" t="inlineStr">
        <is>
          <t xml:space="preserve">MELVIN ELISEO HERNANDEZ MACHADO </t>
        </is>
      </c>
      <c r="B135" s="4" t="inlineStr">
        <is>
          <t>951</t>
        </is>
      </c>
      <c r="C135" s="5" t="inlineStr">
        <is>
          <t>EJECUTIVO DE NEGOCIOS</t>
        </is>
      </c>
      <c r="D135" s="5" t="inlineStr">
        <is>
          <t xml:space="preserve">AGENCIA USULUTAN  </t>
        </is>
      </c>
      <c r="E135" s="5" t="inlineStr">
        <is>
          <t>Gerencia de Negocios (Agencias)</t>
        </is>
      </c>
    </row>
    <row r="136">
      <c r="A136" s="5" t="inlineStr">
        <is>
          <t xml:space="preserve">GEMA YESENIA VILLALOBOS HERNANDEZ </t>
        </is>
      </c>
      <c r="B136" s="4" t="inlineStr">
        <is>
          <t>477</t>
        </is>
      </c>
      <c r="C136" s="5" t="inlineStr">
        <is>
          <t>ANALISTA DE CARTERAS</t>
        </is>
      </c>
      <c r="D136" s="5" t="inlineStr">
        <is>
          <t>ADMINISTRACIÓN DE CARTERAS</t>
        </is>
      </c>
      <c r="E136" s="5" t="inlineStr">
        <is>
          <t>Gerencia de Operaciones</t>
        </is>
      </c>
    </row>
    <row r="137">
      <c r="A137" s="5" t="inlineStr">
        <is>
          <t xml:space="preserve">RICARDO JOSUE CACAO ROVELO </t>
        </is>
      </c>
      <c r="B137" s="4" t="inlineStr">
        <is>
          <t>732</t>
        </is>
      </c>
      <c r="C137" s="5" t="inlineStr">
        <is>
          <t>ANALISTA DE CARTERAS</t>
        </is>
      </c>
      <c r="D137" s="5" t="inlineStr">
        <is>
          <t>ADMINISTRACIÓN DE CARTERAS</t>
        </is>
      </c>
      <c r="E137" s="5" t="inlineStr">
        <is>
          <t>Gerencia de Operaciones</t>
        </is>
      </c>
    </row>
    <row r="138">
      <c r="A138" s="5" t="inlineStr">
        <is>
          <t>YANETH MARLENY LANDAVERDE MORALES</t>
        </is>
      </c>
      <c r="B138" s="4" t="inlineStr">
        <is>
          <t>16</t>
        </is>
      </c>
      <c r="C138" s="5" t="inlineStr">
        <is>
          <t>JEFE DE ADMINISTRACION DE CARTERA</t>
        </is>
      </c>
      <c r="D138" s="5" t="inlineStr">
        <is>
          <t>ADMINISTRACIÓN DE CARTERAS</t>
        </is>
      </c>
      <c r="E138" s="5" t="inlineStr">
        <is>
          <t>Gerencia de Operaciones</t>
        </is>
      </c>
    </row>
    <row r="139">
      <c r="A139" s="5" t="inlineStr">
        <is>
          <t xml:space="preserve">MARIO ANTONIO NAVARRO PINEDA </t>
        </is>
      </c>
      <c r="B139" s="4" t="inlineStr">
        <is>
          <t>284</t>
        </is>
      </c>
      <c r="C139" s="5" t="inlineStr">
        <is>
          <t>JEFE DE DEPOSITOS</t>
        </is>
      </c>
      <c r="D139" s="5" t="inlineStr">
        <is>
          <t>DEPARTAMENTO DE DEPOSITOS</t>
        </is>
      </c>
      <c r="E139" s="5" t="inlineStr">
        <is>
          <t>Gerencia de Operaciones</t>
        </is>
      </c>
    </row>
    <row r="140">
      <c r="A140" s="5" t="inlineStr">
        <is>
          <t xml:space="preserve">ANA BEATRIZ QUINTEROS AVELAR </t>
        </is>
      </c>
      <c r="B140" s="4" t="inlineStr">
        <is>
          <t>725</t>
        </is>
      </c>
      <c r="C140" s="5" t="inlineStr">
        <is>
          <t>ASISTENTE TECNICO DE OPERACIONES DE TARJETAS</t>
        </is>
      </c>
      <c r="D140" s="5" t="inlineStr">
        <is>
          <t>DEPARTAMENTO DE TARJETA DE CREDITO Y DEBITO</t>
        </is>
      </c>
      <c r="E140" s="5" t="inlineStr">
        <is>
          <t>Gerencia de Operaciones</t>
        </is>
      </c>
    </row>
    <row r="141">
      <c r="A141" s="5" t="inlineStr">
        <is>
          <t xml:space="preserve">CLAUDIA CAROLINA HERNANDEZ DE PAZ </t>
        </is>
      </c>
      <c r="B141" s="4" t="inlineStr">
        <is>
          <t>389</t>
        </is>
      </c>
      <c r="C141" s="5" t="inlineStr">
        <is>
          <t>ASISTENTE TECNICO DE INTERCAMBIO DE TARJETAS</t>
        </is>
      </c>
      <c r="D141" s="5" t="inlineStr">
        <is>
          <t>DEPARTAMENTO DE TARJETA DE CREDITO Y DEBITO</t>
        </is>
      </c>
      <c r="E141" s="5" t="inlineStr">
        <is>
          <t>Gerencia de Operaciones</t>
        </is>
      </c>
    </row>
    <row r="142">
      <c r="A142" s="5" t="inlineStr">
        <is>
          <t xml:space="preserve">GEOVANNI LIZAMA PORTILLO </t>
        </is>
      </c>
      <c r="B142" s="4" t="inlineStr">
        <is>
          <t>399</t>
        </is>
      </c>
      <c r="C142" s="5" t="inlineStr">
        <is>
          <t>JEFE DE TARJETA  DE CREDITO Y DEBITO</t>
        </is>
      </c>
      <c r="D142" s="5" t="inlineStr">
        <is>
          <t>DEPARTAMENTO DE TARJETA DE CREDITO Y DEBITO</t>
        </is>
      </c>
      <c r="E142" s="5" t="inlineStr">
        <is>
          <t>Gerencia de Operaciones</t>
        </is>
      </c>
    </row>
    <row r="143">
      <c r="A143" s="5" t="inlineStr">
        <is>
          <t xml:space="preserve">ROQUE RAFAEL REYES ESPINAL </t>
        </is>
      </c>
      <c r="B143" s="4" t="inlineStr">
        <is>
          <t>41</t>
        </is>
      </c>
      <c r="C143" s="5" t="inlineStr">
        <is>
          <t>GERENTE DE OPERACIONES</t>
        </is>
      </c>
      <c r="D143" s="5" t="inlineStr">
        <is>
          <t>GERENCIA DE OPERACIONES</t>
        </is>
      </c>
      <c r="E143" s="5" t="inlineStr">
        <is>
          <t>Gerencia de Operaciones</t>
        </is>
      </c>
    </row>
    <row r="144">
      <c r="A144" s="5" t="inlineStr">
        <is>
          <t>ALEJANDRA VERONICA CENTENO  LOPEZ</t>
        </is>
      </c>
      <c r="B144" s="4" t="inlineStr">
        <is>
          <t>899</t>
        </is>
      </c>
      <c r="C144" s="5" t="inlineStr">
        <is>
          <t xml:space="preserve">ANALISTA PROGRAMADOR </t>
        </is>
      </c>
      <c r="D144" s="5" t="inlineStr">
        <is>
          <t>DEPARTAMENTO DE ANALISIS Y PROGRAMACIÓN</t>
        </is>
      </c>
      <c r="E144" s="5" t="inlineStr">
        <is>
          <t>Gerencia de Sistemas</t>
        </is>
      </c>
    </row>
    <row r="145">
      <c r="A145" s="5" t="inlineStr">
        <is>
          <t xml:space="preserve">CLAUDIA MARGARITA CAMPOS GONZÁLEZ </t>
        </is>
      </c>
      <c r="B145" s="4" t="inlineStr">
        <is>
          <t>410</t>
        </is>
      </c>
      <c r="C145" s="5" t="inlineStr">
        <is>
          <t>JEFE DE ANALISIS Y PROGRAMACION</t>
        </is>
      </c>
      <c r="D145" s="5" t="inlineStr">
        <is>
          <t>DEPARTAMENTO DE ANALISIS Y PROGRAMACIÓN</t>
        </is>
      </c>
      <c r="E145" s="5" t="inlineStr">
        <is>
          <t>Gerencia de Sistemas</t>
        </is>
      </c>
    </row>
    <row r="146">
      <c r="A146" s="5" t="inlineStr">
        <is>
          <t xml:space="preserve">JEAN HARRY MIRANDA ARAUJO </t>
        </is>
      </c>
      <c r="B146" s="4" t="inlineStr">
        <is>
          <t>752</t>
        </is>
      </c>
      <c r="C146" s="5" t="inlineStr">
        <is>
          <t xml:space="preserve">ANALISTA PROGRAMADOR </t>
        </is>
      </c>
      <c r="D146" s="5" t="inlineStr">
        <is>
          <t>DEPARTAMENTO DE ANALISIS Y PROGRAMACIÓN</t>
        </is>
      </c>
      <c r="E146" s="5" t="inlineStr">
        <is>
          <t>Gerencia de Sistemas</t>
        </is>
      </c>
    </row>
    <row r="147">
      <c r="A147" s="5" t="inlineStr">
        <is>
          <t xml:space="preserve">HUGO MARVIN SERRANO SARAVIA </t>
        </is>
      </c>
      <c r="B147" s="4" t="inlineStr">
        <is>
          <t>90</t>
        </is>
      </c>
      <c r="C147" s="5" t="inlineStr">
        <is>
          <t>OPERADOR DE SISTEMAS</t>
        </is>
      </c>
      <c r="D147" s="5" t="inlineStr">
        <is>
          <t>DEPARTAMENTO DE OPERACIONES Y SOPORTE TECNICO</t>
        </is>
      </c>
      <c r="E147" s="5" t="inlineStr">
        <is>
          <t>Gerencia de Sistemas</t>
        </is>
      </c>
    </row>
    <row r="148">
      <c r="A148" s="5" t="inlineStr">
        <is>
          <t xml:space="preserve">ALEX VIRGILIO  AGUILAR ARIAS  </t>
        </is>
      </c>
      <c r="B148" s="4" t="inlineStr">
        <is>
          <t>878</t>
        </is>
      </c>
      <c r="C148" s="5" t="inlineStr">
        <is>
          <t>GERENTE DE SISTEMAS</t>
        </is>
      </c>
      <c r="D148" s="5" t="inlineStr">
        <is>
          <t>GERENCIA DE SISTEMAS</t>
        </is>
      </c>
      <c r="E148" s="5" t="inlineStr">
        <is>
          <t>Gerencia de Sistemas</t>
        </is>
      </c>
    </row>
    <row r="149">
      <c r="A149" s="5" t="inlineStr">
        <is>
          <t xml:space="preserve">FLOR MARISELA TORRES VELASQUEZ </t>
        </is>
      </c>
      <c r="B149" s="4" t="inlineStr">
        <is>
          <t>393</t>
        </is>
      </c>
      <c r="C149" s="5" t="inlineStr">
        <is>
          <t>LIDER DE PROYECTOS TECNOLOGICOS</t>
        </is>
      </c>
      <c r="D149" s="5" t="inlineStr">
        <is>
          <t>GERENCIA DE SISTEMAS</t>
        </is>
      </c>
      <c r="E149" s="5" t="inlineStr">
        <is>
          <t>Gerencia de Sistemas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2026-10-10T16:00:54Z</dcterms:modified>
</cp:coreProperties>
</file>